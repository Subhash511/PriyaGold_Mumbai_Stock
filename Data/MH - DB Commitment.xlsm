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857A39E2-67AF-9BA6-E15C-A4B3A0C75593}"/>
  <workbookPr filterPrivacy="1" codeName="ThisWorkbook"/>
  <xr:revisionPtr revIDLastSave="0" documentId="13_ncr:1_{4526EF56-09BA-4B33-928F-F3E6B5BFC71E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Biscuit" sheetId="10" r:id="rId1"/>
    <sheet name="Juice" sheetId="11" r:id="rId2"/>
    <sheet name="Database" sheetId="5" r:id="rId3"/>
    <sheet name="Target" sheetId="14" r:id="rId4"/>
    <sheet name="Unique" sheetId="15" r:id="rId5"/>
    <sheet name="Item_Master" sheetId="6" r:id="rId6"/>
    <sheet name="Dist_Detail_Master" sheetId="13" r:id="rId7"/>
  </sheets>
  <definedNames>
    <definedName name="_xlnm._FilterDatabase" localSheetId="0" hidden="1">Biscuit!$A$4:$E$91</definedName>
    <definedName name="_xlnm._FilterDatabase" localSheetId="2" hidden="1">Database!$P$1:$P$21591</definedName>
    <definedName name="ExternalData_1" localSheetId="6" hidden="1">Dist_Detail_Master!$A$1:$BQ$211</definedName>
    <definedName name="_xlnm.Print_Area" localSheetId="0">Biscuit!$C$1:$Q$91</definedName>
    <definedName name="_xlnm.Print_Area" localSheetId="1">Juice!$C$1:$R$50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" i="11" l="1"/>
  <c r="B49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1" i="11"/>
  <c r="B19" i="11"/>
  <c r="B18" i="11"/>
  <c r="B16" i="11"/>
  <c r="B15" i="11"/>
  <c r="B14" i="11"/>
  <c r="B13" i="11"/>
  <c r="B12" i="11"/>
  <c r="B11" i="11"/>
  <c r="B10" i="11"/>
  <c r="B9" i="11"/>
  <c r="B8" i="11"/>
  <c r="B7" i="11"/>
  <c r="B6" i="11"/>
  <c r="B5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1" i="11"/>
  <c r="A19" i="11"/>
  <c r="A18" i="11"/>
  <c r="A6" i="11"/>
  <c r="A7" i="11"/>
  <c r="A8" i="11"/>
  <c r="A9" i="11"/>
  <c r="A10" i="11"/>
  <c r="A11" i="11"/>
  <c r="A12" i="11"/>
  <c r="A13" i="11"/>
  <c r="A14" i="11"/>
  <c r="A15" i="11"/>
  <c r="A16" i="11"/>
  <c r="A5" i="11"/>
  <c r="B90" i="10"/>
  <c r="B88" i="10"/>
  <c r="B87" i="10"/>
  <c r="B85" i="10"/>
  <c r="B84" i="10"/>
  <c r="B82" i="10"/>
  <c r="B81" i="10"/>
  <c r="B80" i="10"/>
  <c r="B79" i="10"/>
  <c r="B77" i="10"/>
  <c r="B76" i="10"/>
  <c r="B75" i="10"/>
  <c r="B74" i="10"/>
  <c r="B72" i="10"/>
  <c r="B71" i="10"/>
  <c r="B70" i="10"/>
  <c r="B68" i="10"/>
  <c r="B67" i="10"/>
  <c r="B66" i="10"/>
  <c r="B64" i="10"/>
  <c r="B63" i="10"/>
  <c r="B62" i="10"/>
  <c r="B61" i="10"/>
  <c r="B59" i="10"/>
  <c r="B58" i="10"/>
  <c r="B56" i="10"/>
  <c r="B55" i="10"/>
  <c r="B54" i="10"/>
  <c r="B53" i="10"/>
  <c r="B52" i="10"/>
  <c r="B51" i="10"/>
  <c r="B49" i="10"/>
  <c r="B48" i="10"/>
  <c r="B47" i="10"/>
  <c r="B46" i="10"/>
  <c r="B45" i="10"/>
  <c r="B44" i="10"/>
  <c r="B43" i="10"/>
  <c r="B42" i="10"/>
  <c r="B41" i="10"/>
  <c r="B40" i="10"/>
  <c r="B38" i="10"/>
  <c r="B37" i="10"/>
  <c r="B35" i="10"/>
  <c r="B34" i="10"/>
  <c r="B32" i="10"/>
  <c r="B31" i="10"/>
  <c r="B30" i="10"/>
  <c r="B28" i="10"/>
  <c r="B27" i="10"/>
  <c r="B26" i="10"/>
  <c r="B24" i="10"/>
  <c r="B23" i="10"/>
  <c r="B22" i="10"/>
  <c r="B21" i="10"/>
  <c r="B20" i="10"/>
  <c r="B17" i="10"/>
  <c r="B18" i="10"/>
  <c r="B16" i="10"/>
  <c r="B14" i="10"/>
  <c r="B13" i="10"/>
  <c r="B12" i="10"/>
  <c r="B11" i="10"/>
  <c r="B8" i="10"/>
  <c r="B9" i="10"/>
  <c r="B7" i="10"/>
  <c r="B6" i="10"/>
  <c r="B5" i="10"/>
  <c r="I19" i="11"/>
  <c r="I18" i="11"/>
  <c r="I16" i="11"/>
  <c r="I15" i="11"/>
  <c r="I14" i="11"/>
  <c r="I13" i="11"/>
  <c r="I12" i="11"/>
  <c r="I11" i="11"/>
  <c r="I10" i="11"/>
  <c r="I9" i="11"/>
  <c r="I8" i="11"/>
  <c r="I7" i="11"/>
  <c r="I6" i="11"/>
  <c r="D1" i="15" a="1"/>
  <c r="D1" i="15" s="1"/>
  <c r="H86" i="10"/>
  <c r="H83" i="10"/>
  <c r="H65" i="10"/>
  <c r="H60" i="10"/>
  <c r="H50" i="10"/>
  <c r="H39" i="10"/>
  <c r="H36" i="10"/>
  <c r="H33" i="10"/>
  <c r="H29" i="10"/>
  <c r="H25" i="10"/>
  <c r="H19" i="10"/>
  <c r="H15" i="10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I165" i="14"/>
  <c r="A1" i="15" l="1" a="1"/>
  <c r="A1" i="15" s="1"/>
  <c r="I49" i="11" l="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1" i="11"/>
  <c r="I5" i="11"/>
  <c r="Q1" i="11"/>
  <c r="N2" i="6" a="1"/>
  <c r="N2" i="6" s="1"/>
  <c r="T1" i="10" l="1" a="1"/>
  <c r="T1" i="10" s="1"/>
  <c r="C86" i="10"/>
  <c r="C83" i="10"/>
  <c r="P83" i="10" s="1"/>
  <c r="C78" i="10"/>
  <c r="C73" i="10"/>
  <c r="H73" i="10" s="1"/>
  <c r="P73" i="10" s="1"/>
  <c r="C69" i="10"/>
  <c r="H69" i="10" s="1"/>
  <c r="P69" i="10" s="1"/>
  <c r="C65" i="10"/>
  <c r="C60" i="10"/>
  <c r="P60" i="10" s="1"/>
  <c r="C57" i="10"/>
  <c r="H57" i="10" s="1"/>
  <c r="P57" i="10" s="1"/>
  <c r="C50" i="10"/>
  <c r="P50" i="10" s="1"/>
  <c r="C39" i="10"/>
  <c r="P39" i="10" s="1"/>
  <c r="C36" i="10"/>
  <c r="P36" i="10" s="1"/>
  <c r="C33" i="10"/>
  <c r="C29" i="10"/>
  <c r="C25" i="10"/>
  <c r="P25" i="10" s="1"/>
  <c r="C19" i="10"/>
  <c r="P19" i="10" s="1"/>
  <c r="C15" i="10"/>
  <c r="C10" i="10"/>
  <c r="H10" i="10" s="1"/>
  <c r="P6" i="10"/>
  <c r="P7" i="10"/>
  <c r="P8" i="10"/>
  <c r="P9" i="10"/>
  <c r="P11" i="10"/>
  <c r="P12" i="10"/>
  <c r="P13" i="10"/>
  <c r="P14" i="10"/>
  <c r="P15" i="10"/>
  <c r="P16" i="10"/>
  <c r="P17" i="10"/>
  <c r="P18" i="10"/>
  <c r="P20" i="10"/>
  <c r="P21" i="10"/>
  <c r="P22" i="10"/>
  <c r="P23" i="10"/>
  <c r="P24" i="10"/>
  <c r="P26" i="10"/>
  <c r="P27" i="10"/>
  <c r="P28" i="10"/>
  <c r="P29" i="10"/>
  <c r="P30" i="10"/>
  <c r="P31" i="10"/>
  <c r="P32" i="10"/>
  <c r="P33" i="10"/>
  <c r="P34" i="10"/>
  <c r="P35" i="10"/>
  <c r="P37" i="10"/>
  <c r="P38" i="10"/>
  <c r="P40" i="10"/>
  <c r="P41" i="10"/>
  <c r="P42" i="10"/>
  <c r="P43" i="10"/>
  <c r="P44" i="10"/>
  <c r="P45" i="10"/>
  <c r="P46" i="10"/>
  <c r="P47" i="10"/>
  <c r="P48" i="10"/>
  <c r="P49" i="10"/>
  <c r="P51" i="10"/>
  <c r="P52" i="10"/>
  <c r="P53" i="10"/>
  <c r="P54" i="10"/>
  <c r="P55" i="10"/>
  <c r="P56" i="10"/>
  <c r="P58" i="10"/>
  <c r="P59" i="10"/>
  <c r="P61" i="10"/>
  <c r="P62" i="10"/>
  <c r="P63" i="10"/>
  <c r="P64" i="10"/>
  <c r="P65" i="10"/>
  <c r="P66" i="10"/>
  <c r="P67" i="10"/>
  <c r="P68" i="10"/>
  <c r="P70" i="10"/>
  <c r="P71" i="10"/>
  <c r="P72" i="10"/>
  <c r="P74" i="10"/>
  <c r="P75" i="10"/>
  <c r="P76" i="10"/>
  <c r="P77" i="10"/>
  <c r="P79" i="10"/>
  <c r="P80" i="10"/>
  <c r="P81" i="10"/>
  <c r="P82" i="10"/>
  <c r="P84" i="10"/>
  <c r="P85" i="10"/>
  <c r="P86" i="10"/>
  <c r="P87" i="10"/>
  <c r="P88" i="10"/>
  <c r="P5" i="10"/>
  <c r="P10" i="10" l="1"/>
  <c r="H78" i="10"/>
  <c r="P78" i="10" s="1"/>
  <c r="D10" i="10"/>
  <c r="D15" i="10"/>
  <c r="D19" i="10"/>
  <c r="D25" i="10"/>
  <c r="D29" i="10"/>
  <c r="D33" i="10"/>
  <c r="D36" i="10"/>
  <c r="D39" i="10"/>
  <c r="D50" i="10"/>
  <c r="D57" i="10"/>
  <c r="D60" i="10"/>
  <c r="D65" i="10"/>
  <c r="D69" i="10"/>
  <c r="D73" i="10"/>
  <c r="D78" i="10"/>
  <c r="D83" i="10"/>
  <c r="D86" i="10"/>
  <c r="H89" i="10" l="1"/>
  <c r="P89" i="10" s="1"/>
  <c r="J349" i="6" l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2" i="6"/>
  <c r="B244" i="5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B294" i="5" l="1"/>
  <c r="B180" i="5"/>
  <c r="B295" i="5"/>
  <c r="B237" i="5"/>
  <c r="B39" i="5"/>
  <c r="B158" i="5"/>
  <c r="B221" i="5"/>
  <c r="B90" i="5"/>
  <c r="B27" i="5"/>
  <c r="B145" i="5"/>
  <c r="B74" i="5"/>
  <c r="B209" i="5"/>
  <c r="B262" i="5"/>
  <c r="B219" i="5"/>
  <c r="B88" i="5"/>
  <c r="B156" i="5"/>
  <c r="B272" i="5"/>
  <c r="B135" i="5"/>
  <c r="B203" i="5"/>
  <c r="B132" i="5"/>
  <c r="B198" i="5"/>
  <c r="B105" i="5"/>
  <c r="B169" i="5"/>
  <c r="B284" i="5"/>
  <c r="B229" i="5"/>
  <c r="B165" i="5"/>
  <c r="B225" i="5"/>
  <c r="B98" i="5"/>
  <c r="B278" i="5"/>
  <c r="B163" i="5"/>
  <c r="B97" i="5"/>
  <c r="B277" i="5"/>
  <c r="B199" i="5"/>
  <c r="B133" i="5"/>
  <c r="B66" i="5"/>
  <c r="B251" i="5"/>
  <c r="B15" i="5"/>
  <c r="B131" i="5"/>
  <c r="B64" i="5"/>
  <c r="B65" i="5"/>
  <c r="B197" i="5"/>
  <c r="B250" i="5"/>
  <c r="B129" i="5"/>
  <c r="B123" i="5"/>
  <c r="B4" i="5"/>
  <c r="B11" i="5"/>
  <c r="B94" i="5"/>
  <c r="B194" i="5"/>
  <c r="B42" i="5"/>
  <c r="B310" i="5"/>
  <c r="B31" i="5"/>
  <c r="B79" i="5"/>
  <c r="B139" i="5"/>
  <c r="B21" i="5"/>
  <c r="B69" i="5"/>
  <c r="B205" i="5"/>
  <c r="B257" i="5"/>
  <c r="B49" i="5"/>
  <c r="B285" i="5"/>
  <c r="B106" i="5"/>
  <c r="B230" i="5"/>
  <c r="B164" i="5"/>
  <c r="B212" i="5"/>
  <c r="B33" i="5"/>
  <c r="B81" i="5"/>
  <c r="B297" i="5"/>
  <c r="B150" i="5"/>
  <c r="B144" i="5"/>
  <c r="B208" i="5"/>
  <c r="B73" i="5"/>
  <c r="B26" i="5"/>
  <c r="B261" i="5"/>
  <c r="B136" i="5"/>
  <c r="B204" i="5"/>
  <c r="B18" i="5"/>
  <c r="B255" i="5"/>
  <c r="B50" i="5"/>
  <c r="B288" i="5"/>
  <c r="B110" i="5"/>
  <c r="B174" i="5"/>
  <c r="B48" i="5"/>
  <c r="B104" i="5"/>
  <c r="B168" i="5"/>
  <c r="B228" i="5"/>
  <c r="B283" i="5"/>
  <c r="B281" i="5"/>
  <c r="B276" i="5"/>
  <c r="B162" i="5"/>
  <c r="B89" i="5"/>
  <c r="B157" i="5"/>
  <c r="B273" i="5"/>
  <c r="B36" i="5"/>
  <c r="B216" i="5"/>
  <c r="B85" i="5"/>
  <c r="B153" i="5"/>
  <c r="B269" i="5"/>
  <c r="B55" i="5"/>
  <c r="B175" i="5"/>
  <c r="B296" i="5"/>
  <c r="B235" i="5"/>
  <c r="B202" i="5"/>
  <c r="B148" i="5"/>
  <c r="B30" i="5"/>
  <c r="B210" i="5"/>
  <c r="B264" i="5"/>
  <c r="B78" i="5"/>
  <c r="B143" i="5"/>
  <c r="B207" i="5"/>
  <c r="B72" i="5"/>
  <c r="B25" i="5"/>
  <c r="B260" i="5"/>
  <c r="B215" i="5"/>
  <c r="B84" i="5"/>
  <c r="B152" i="5"/>
  <c r="B267" i="5"/>
  <c r="B124" i="5"/>
  <c r="B62" i="5"/>
  <c r="B189" i="5"/>
  <c r="B304" i="5"/>
  <c r="B246" i="5"/>
  <c r="B231" i="5"/>
  <c r="B108" i="5"/>
  <c r="B287" i="5"/>
  <c r="B16" i="5"/>
  <c r="B200" i="5"/>
  <c r="B252" i="5"/>
  <c r="B70" i="5"/>
  <c r="B22" i="5"/>
  <c r="B154" i="5"/>
  <c r="B217" i="5"/>
  <c r="B86" i="5"/>
  <c r="B270" i="5"/>
  <c r="B91" i="5"/>
  <c r="B159" i="5"/>
  <c r="B40" i="5"/>
  <c r="B13" i="5"/>
  <c r="B82" i="5"/>
  <c r="B265" i="5"/>
  <c r="B213" i="5"/>
  <c r="B34" i="5"/>
  <c r="B7" i="5"/>
  <c r="B41" i="5"/>
  <c r="B93" i="5"/>
  <c r="B161" i="5"/>
  <c r="B222" i="5"/>
  <c r="B274" i="5"/>
  <c r="B147" i="5"/>
  <c r="B77" i="5"/>
  <c r="B291" i="5"/>
  <c r="B75" i="5"/>
  <c r="B236" i="5"/>
  <c r="B20" i="5"/>
  <c r="B68" i="5"/>
  <c r="B138" i="5"/>
  <c r="B107" i="5"/>
  <c r="B286" i="5"/>
  <c r="B195" i="5"/>
  <c r="B12" i="5"/>
  <c r="B128" i="5"/>
  <c r="B58" i="5"/>
  <c r="B249" i="5"/>
  <c r="B311" i="5"/>
  <c r="B115" i="5"/>
  <c r="B178" i="5"/>
  <c r="B298" i="5"/>
  <c r="B191" i="5"/>
  <c r="B126" i="5"/>
  <c r="B6" i="5"/>
  <c r="B247" i="5"/>
  <c r="B306" i="5"/>
  <c r="B54" i="5"/>
  <c r="B19" i="5"/>
  <c r="B67" i="5"/>
  <c r="B137" i="5"/>
  <c r="B256" i="5"/>
  <c r="B56" i="5"/>
  <c r="B113" i="5"/>
  <c r="B177" i="5"/>
  <c r="B290" i="5"/>
  <c r="B127" i="5"/>
  <c r="B8" i="5"/>
  <c r="B192" i="5"/>
  <c r="B53" i="5"/>
  <c r="B248" i="5"/>
  <c r="B308" i="5"/>
  <c r="B47" i="5"/>
  <c r="B103" i="5"/>
  <c r="B167" i="5"/>
  <c r="B227" i="5"/>
  <c r="B282" i="5"/>
  <c r="B226" i="5"/>
  <c r="B280" i="5"/>
  <c r="B166" i="5"/>
  <c r="B46" i="5"/>
  <c r="B224" i="5"/>
  <c r="B35" i="5"/>
  <c r="B83" i="5"/>
  <c r="B151" i="5"/>
  <c r="B214" i="5"/>
  <c r="B266" i="5"/>
  <c r="B87" i="5"/>
  <c r="B155" i="5"/>
  <c r="B37" i="5"/>
  <c r="B271" i="5"/>
  <c r="B218" i="5"/>
  <c r="B196" i="5"/>
  <c r="B220" i="5"/>
  <c r="B38" i="5"/>
  <c r="B14" i="5"/>
  <c r="B130" i="5"/>
  <c r="B61" i="5"/>
  <c r="B122" i="5"/>
  <c r="B293" i="5"/>
  <c r="B243" i="5"/>
  <c r="B302" i="5"/>
  <c r="B186" i="5"/>
  <c r="B119" i="5"/>
  <c r="B183" i="5"/>
  <c r="B60" i="5"/>
  <c r="B300" i="5"/>
  <c r="B241" i="5"/>
  <c r="B179" i="5"/>
  <c r="B57" i="5"/>
  <c r="B117" i="5"/>
  <c r="B239" i="5"/>
  <c r="B299" i="5"/>
  <c r="B211" i="5"/>
  <c r="B32" i="5"/>
  <c r="B80" i="5"/>
  <c r="B149" i="5"/>
  <c r="B52" i="5"/>
  <c r="B92" i="5"/>
  <c r="B160" i="5"/>
  <c r="B307" i="5"/>
  <c r="B28" i="5"/>
  <c r="B76" i="5"/>
  <c r="B146" i="5"/>
  <c r="B263" i="5"/>
  <c r="B51" i="5"/>
  <c r="B111" i="5"/>
  <c r="B190" i="5"/>
  <c r="B305" i="5"/>
  <c r="B99" i="5"/>
  <c r="B187" i="5"/>
  <c r="B45" i="5"/>
  <c r="B279" i="5"/>
  <c r="B3" i="5"/>
  <c r="B121" i="5"/>
  <c r="B185" i="5"/>
  <c r="B242" i="5"/>
  <c r="B59" i="5"/>
  <c r="B240" i="5"/>
  <c r="B292" i="5"/>
  <c r="B118" i="5"/>
  <c r="B116" i="5"/>
  <c r="B181" i="5"/>
  <c r="B268" i="5"/>
  <c r="B238" i="5"/>
  <c r="B43" i="5"/>
  <c r="B95" i="5"/>
  <c r="B223" i="5"/>
  <c r="B9" i="5"/>
  <c r="B193" i="5"/>
  <c r="B112" i="5"/>
  <c r="B176" i="5"/>
  <c r="B289" i="5"/>
  <c r="B134" i="5"/>
  <c r="B201" i="5"/>
  <c r="B253" i="5"/>
  <c r="B109" i="5"/>
  <c r="B173" i="5"/>
  <c r="B63" i="5"/>
  <c r="B188" i="5"/>
  <c r="B5" i="5"/>
  <c r="B125" i="5"/>
  <c r="B245" i="5"/>
  <c r="B303" i="5"/>
  <c r="B44" i="5"/>
  <c r="B24" i="5"/>
  <c r="B17" i="5"/>
  <c r="B141" i="5"/>
  <c r="B259" i="5"/>
  <c r="B96" i="5"/>
  <c r="B275" i="5"/>
  <c r="B23" i="5"/>
  <c r="B71" i="5"/>
  <c r="B140" i="5"/>
  <c r="B206" i="5"/>
  <c r="B258" i="5"/>
  <c r="B120" i="5"/>
  <c r="B184" i="5"/>
  <c r="B301" i="5"/>
  <c r="B2" i="5"/>
  <c r="B182" i="5"/>
  <c r="B114" i="5"/>
  <c r="B309" i="5"/>
  <c r="B142" i="5"/>
  <c r="B254" i="5"/>
  <c r="B10" i="5"/>
  <c r="I4" i="11"/>
  <c r="P1" i="10" l="1"/>
  <c r="I22" i="11" l="1"/>
  <c r="H91" i="10"/>
  <c r="I20" i="11" l="1"/>
  <c r="I17" i="11"/>
  <c r="I50" i="11"/>
  <c r="B170" i="5" l="1"/>
  <c r="B232" i="5"/>
  <c r="B100" i="5"/>
  <c r="B234" i="5"/>
  <c r="B172" i="5"/>
  <c r="B102" i="5"/>
  <c r="B101" i="5"/>
  <c r="B29" i="5"/>
  <c r="B233" i="5"/>
  <c r="B171" i="5"/>
  <c r="R19" i="11" l="1"/>
  <c r="N19" i="11"/>
  <c r="O18" i="11"/>
  <c r="M19" i="11"/>
  <c r="N18" i="11"/>
  <c r="Q18" i="11"/>
  <c r="J19" i="11"/>
  <c r="K18" i="11"/>
  <c r="P19" i="11"/>
  <c r="J18" i="11"/>
  <c r="P18" i="11"/>
  <c r="M18" i="11"/>
  <c r="L19" i="11"/>
  <c r="O19" i="11"/>
  <c r="L18" i="11"/>
  <c r="Q19" i="11"/>
  <c r="R18" i="11"/>
  <c r="K19" i="11"/>
  <c r="R5" i="11"/>
  <c r="R16" i="11"/>
  <c r="L15" i="11"/>
  <c r="P13" i="11"/>
  <c r="J12" i="11"/>
  <c r="N10" i="11"/>
  <c r="R8" i="11"/>
  <c r="L7" i="11"/>
  <c r="O15" i="11"/>
  <c r="O11" i="11"/>
  <c r="O7" i="11"/>
  <c r="K6" i="11"/>
  <c r="K13" i="11"/>
  <c r="K9" i="11"/>
  <c r="Q9" i="11"/>
  <c r="R15" i="11"/>
  <c r="L14" i="11"/>
  <c r="P12" i="11"/>
  <c r="J11" i="11"/>
  <c r="N9" i="11"/>
  <c r="R7" i="11"/>
  <c r="L6" i="11"/>
  <c r="M15" i="11"/>
  <c r="M13" i="11"/>
  <c r="M11" i="11"/>
  <c r="K8" i="11"/>
  <c r="N16" i="11"/>
  <c r="R14" i="11"/>
  <c r="L13" i="11"/>
  <c r="P11" i="11"/>
  <c r="J10" i="11"/>
  <c r="N8" i="11"/>
  <c r="R6" i="11"/>
  <c r="K15" i="11"/>
  <c r="K11" i="11"/>
  <c r="K7" i="11"/>
  <c r="Q16" i="11"/>
  <c r="Q12" i="11"/>
  <c r="Q8" i="11"/>
  <c r="M9" i="11"/>
  <c r="N15" i="11"/>
  <c r="R13" i="11"/>
  <c r="L12" i="11"/>
  <c r="P10" i="11"/>
  <c r="J9" i="11"/>
  <c r="N7" i="11"/>
  <c r="O16" i="11"/>
  <c r="O14" i="11"/>
  <c r="O12" i="11"/>
  <c r="O6" i="11"/>
  <c r="Q7" i="11"/>
  <c r="P15" i="11"/>
  <c r="R10" i="11"/>
  <c r="P7" i="11"/>
  <c r="J6" i="11"/>
  <c r="M10" i="11"/>
  <c r="O9" i="11"/>
  <c r="K10" i="11"/>
  <c r="J13" i="11"/>
  <c r="N11" i="11"/>
  <c r="P6" i="11"/>
  <c r="Q13" i="11"/>
  <c r="O8" i="11"/>
  <c r="J16" i="11"/>
  <c r="N14" i="11"/>
  <c r="R12" i="11"/>
  <c r="L11" i="11"/>
  <c r="P9" i="11"/>
  <c r="J8" i="11"/>
  <c r="N6" i="11"/>
  <c r="Q14" i="11"/>
  <c r="Q10" i="11"/>
  <c r="Q6" i="11"/>
  <c r="M16" i="11"/>
  <c r="M12" i="11"/>
  <c r="M8" i="11"/>
  <c r="P16" i="11"/>
  <c r="J15" i="11"/>
  <c r="N13" i="11"/>
  <c r="R11" i="11"/>
  <c r="L10" i="11"/>
  <c r="P8" i="11"/>
  <c r="J7" i="11"/>
  <c r="K16" i="11"/>
  <c r="K14" i="11"/>
  <c r="K12" i="11"/>
  <c r="O10" i="11"/>
  <c r="M7" i="11"/>
  <c r="J14" i="11"/>
  <c r="N12" i="11"/>
  <c r="L9" i="11"/>
  <c r="M14" i="11"/>
  <c r="M6" i="11"/>
  <c r="O13" i="11"/>
  <c r="L16" i="11"/>
  <c r="P14" i="11"/>
  <c r="R9" i="11"/>
  <c r="L8" i="11"/>
  <c r="Q15" i="11"/>
  <c r="Q11" i="11"/>
  <c r="P5" i="11"/>
  <c r="Q5" i="11"/>
  <c r="N5" i="11"/>
  <c r="O5" i="11"/>
  <c r="L5" i="11"/>
  <c r="M5" i="11"/>
  <c r="J5" i="11"/>
  <c r="K5" i="11"/>
  <c r="I11" i="10"/>
  <c r="J88" i="10"/>
  <c r="J77" i="10"/>
  <c r="J67" i="10"/>
  <c r="J56" i="10"/>
  <c r="J47" i="10"/>
  <c r="J38" i="10"/>
  <c r="J27" i="10"/>
  <c r="J17" i="10"/>
  <c r="J6" i="10"/>
  <c r="J68" i="10"/>
  <c r="J48" i="10"/>
  <c r="J28" i="10"/>
  <c r="J7" i="10"/>
  <c r="I71" i="10"/>
  <c r="I51" i="10"/>
  <c r="I28" i="10"/>
  <c r="I9" i="10"/>
  <c r="I80" i="10"/>
  <c r="I70" i="10"/>
  <c r="I59" i="10"/>
  <c r="I49" i="10"/>
  <c r="I41" i="10"/>
  <c r="I30" i="10"/>
  <c r="I20" i="10"/>
  <c r="I8" i="10"/>
  <c r="J76" i="10"/>
  <c r="J34" i="10"/>
  <c r="I58" i="10"/>
  <c r="J85" i="10"/>
  <c r="J75" i="10"/>
  <c r="J64" i="10"/>
  <c r="J54" i="10"/>
  <c r="J45" i="10"/>
  <c r="J35" i="10"/>
  <c r="J24" i="10"/>
  <c r="J14" i="10"/>
  <c r="J84" i="10"/>
  <c r="J63" i="10"/>
  <c r="J46" i="10"/>
  <c r="J23" i="10"/>
  <c r="I87" i="10"/>
  <c r="I66" i="10"/>
  <c r="I46" i="10"/>
  <c r="I23" i="10"/>
  <c r="I88" i="10"/>
  <c r="I77" i="10"/>
  <c r="I67" i="10"/>
  <c r="I56" i="10"/>
  <c r="I47" i="10"/>
  <c r="I38" i="10"/>
  <c r="I27" i="10"/>
  <c r="I17" i="10"/>
  <c r="I6" i="10"/>
  <c r="J71" i="10"/>
  <c r="J51" i="10"/>
  <c r="J31" i="10"/>
  <c r="J9" i="10"/>
  <c r="I74" i="10"/>
  <c r="I53" i="10"/>
  <c r="I34" i="10"/>
  <c r="I13" i="10"/>
  <c r="J70" i="10"/>
  <c r="J49" i="10"/>
  <c r="J30" i="10"/>
  <c r="J20" i="10"/>
  <c r="J55" i="10"/>
  <c r="J37" i="10"/>
  <c r="I55" i="10"/>
  <c r="I16" i="10"/>
  <c r="I82" i="10"/>
  <c r="I52" i="10"/>
  <c r="I32" i="10"/>
  <c r="I12" i="10"/>
  <c r="J81" i="10"/>
  <c r="J21" i="10"/>
  <c r="I63" i="10"/>
  <c r="I26" i="10"/>
  <c r="I5" i="10"/>
  <c r="J16" i="10"/>
  <c r="I40" i="10"/>
  <c r="J82" i="10"/>
  <c r="J72" i="10"/>
  <c r="J62" i="10"/>
  <c r="J52" i="10"/>
  <c r="J43" i="10"/>
  <c r="J32" i="10"/>
  <c r="J22" i="10"/>
  <c r="J12" i="10"/>
  <c r="J79" i="10"/>
  <c r="J61" i="10"/>
  <c r="J42" i="10"/>
  <c r="J18" i="10"/>
  <c r="I81" i="10"/>
  <c r="I61" i="10"/>
  <c r="I42" i="10"/>
  <c r="I21" i="10"/>
  <c r="I85" i="10"/>
  <c r="K85" i="10" s="1"/>
  <c r="M85" i="10" s="1"/>
  <c r="N85" i="10" s="1"/>
  <c r="I75" i="10"/>
  <c r="I64" i="10"/>
  <c r="I54" i="10"/>
  <c r="I45" i="10"/>
  <c r="I35" i="10"/>
  <c r="I24" i="10"/>
  <c r="K24" i="10" s="1"/>
  <c r="M24" i="10" s="1"/>
  <c r="N24" i="10" s="1"/>
  <c r="I14" i="10"/>
  <c r="J87" i="10"/>
  <c r="J66" i="10"/>
  <c r="J44" i="10"/>
  <c r="J26" i="10"/>
  <c r="J5" i="10"/>
  <c r="I68" i="10"/>
  <c r="I48" i="10"/>
  <c r="I31" i="10"/>
  <c r="I7" i="10"/>
  <c r="K7" i="10" s="1"/>
  <c r="M7" i="10" s="1"/>
  <c r="N7" i="10" s="1"/>
  <c r="J80" i="10"/>
  <c r="J59" i="10"/>
  <c r="J41" i="10"/>
  <c r="J8" i="10"/>
  <c r="J74" i="10"/>
  <c r="J13" i="10"/>
  <c r="I76" i="10"/>
  <c r="I37" i="10"/>
  <c r="I72" i="10"/>
  <c r="I62" i="10"/>
  <c r="I43" i="10"/>
  <c r="I22" i="10"/>
  <c r="J58" i="10"/>
  <c r="J40" i="10"/>
  <c r="I84" i="10"/>
  <c r="I44" i="10"/>
  <c r="J53" i="10"/>
  <c r="I79" i="10"/>
  <c r="I18" i="10"/>
  <c r="J11" i="10"/>
  <c r="R30" i="11"/>
  <c r="O34" i="11"/>
  <c r="P34" i="11"/>
  <c r="P31" i="11"/>
  <c r="O29" i="11"/>
  <c r="Q34" i="11"/>
  <c r="Q26" i="11"/>
  <c r="P24" i="11"/>
  <c r="R25" i="11"/>
  <c r="O48" i="11"/>
  <c r="R46" i="11"/>
  <c r="P41" i="11"/>
  <c r="R40" i="11"/>
  <c r="P46" i="11"/>
  <c r="O41" i="11"/>
  <c r="R42" i="11"/>
  <c r="O43" i="11"/>
  <c r="O35" i="11"/>
  <c r="O23" i="11"/>
  <c r="R35" i="11"/>
  <c r="R31" i="11"/>
  <c r="O27" i="11"/>
  <c r="O47" i="11"/>
  <c r="R24" i="11"/>
  <c r="Q45" i="11"/>
  <c r="R37" i="11"/>
  <c r="O26" i="11"/>
  <c r="Q29" i="11"/>
  <c r="O40" i="11"/>
  <c r="O30" i="11"/>
  <c r="Q28" i="11"/>
  <c r="R48" i="11"/>
  <c r="Q44" i="11"/>
  <c r="P42" i="11"/>
  <c r="Q48" i="11"/>
  <c r="P47" i="11"/>
  <c r="P33" i="11"/>
  <c r="R23" i="11"/>
  <c r="O36" i="11"/>
  <c r="Q36" i="11"/>
  <c r="Q24" i="11"/>
  <c r="P26" i="11"/>
  <c r="P25" i="11"/>
  <c r="O25" i="11"/>
  <c r="Q41" i="11"/>
  <c r="Q30" i="11"/>
  <c r="P39" i="11"/>
  <c r="R26" i="11"/>
  <c r="O42" i="11"/>
  <c r="R45" i="11"/>
  <c r="R49" i="11"/>
  <c r="P48" i="11"/>
  <c r="O37" i="11"/>
  <c r="O46" i="11"/>
  <c r="R34" i="11"/>
  <c r="R29" i="11"/>
  <c r="P21" i="11"/>
  <c r="P22" i="11" s="1"/>
  <c r="P27" i="11"/>
  <c r="P35" i="11"/>
  <c r="P43" i="11"/>
  <c r="O33" i="11"/>
  <c r="P44" i="11"/>
  <c r="Q37" i="11"/>
  <c r="Q25" i="11"/>
  <c r="P49" i="11"/>
  <c r="O45" i="11"/>
  <c r="Q42" i="11"/>
  <c r="P40" i="11"/>
  <c r="Q43" i="11"/>
  <c r="Q31" i="11"/>
  <c r="O24" i="11"/>
  <c r="O49" i="11"/>
  <c r="Q47" i="11"/>
  <c r="R36" i="11"/>
  <c r="P23" i="11"/>
  <c r="Q35" i="11"/>
  <c r="Q23" i="11"/>
  <c r="R39" i="11"/>
  <c r="O28" i="11"/>
  <c r="R47" i="11"/>
  <c r="Q40" i="11"/>
  <c r="P28" i="11"/>
  <c r="P45" i="11"/>
  <c r="R43" i="11"/>
  <c r="R21" i="11"/>
  <c r="R22" i="11" s="1"/>
  <c r="Q39" i="11"/>
  <c r="Q27" i="11"/>
  <c r="O21" i="11"/>
  <c r="O22" i="11" s="1"/>
  <c r="R27" i="11"/>
  <c r="Q38" i="11"/>
  <c r="R28" i="11"/>
  <c r="R33" i="11"/>
  <c r="P38" i="11"/>
  <c r="Q33" i="11"/>
  <c r="P30" i="11"/>
  <c r="O31" i="11"/>
  <c r="R38" i="11"/>
  <c r="Q21" i="11"/>
  <c r="Q22" i="11" s="1"/>
  <c r="P29" i="11"/>
  <c r="O39" i="11"/>
  <c r="O44" i="11"/>
  <c r="Q49" i="11"/>
  <c r="P37" i="11"/>
  <c r="O38" i="11"/>
  <c r="R44" i="11"/>
  <c r="P36" i="11"/>
  <c r="R41" i="11"/>
  <c r="Q46" i="11"/>
  <c r="M35" i="11"/>
  <c r="M36" i="11"/>
  <c r="M31" i="11"/>
  <c r="N29" i="11"/>
  <c r="J36" i="11"/>
  <c r="M48" i="11"/>
  <c r="J34" i="11"/>
  <c r="M25" i="11"/>
  <c r="N25" i="11"/>
  <c r="J24" i="11"/>
  <c r="L42" i="11"/>
  <c r="K46" i="11"/>
  <c r="J23" i="11"/>
  <c r="M39" i="11"/>
  <c r="K23" i="11"/>
  <c r="L30" i="11"/>
  <c r="L49" i="11"/>
  <c r="J47" i="11"/>
  <c r="L39" i="11"/>
  <c r="L25" i="11"/>
  <c r="M34" i="11"/>
  <c r="K29" i="11"/>
  <c r="J26" i="11"/>
  <c r="L26" i="11"/>
  <c r="J44" i="11"/>
  <c r="J90" i="10"/>
  <c r="J21" i="11"/>
  <c r="J22" i="11" s="1"/>
  <c r="N36" i="11"/>
  <c r="J39" i="11"/>
  <c r="M40" i="11"/>
  <c r="L31" i="11"/>
  <c r="J43" i="11"/>
  <c r="N40" i="11"/>
  <c r="M23" i="11"/>
  <c r="K36" i="11"/>
  <c r="L90" i="10"/>
  <c r="K39" i="11"/>
  <c r="M41" i="11"/>
  <c r="N49" i="11"/>
  <c r="M49" i="11"/>
  <c r="L33" i="11"/>
  <c r="N31" i="11"/>
  <c r="J28" i="11"/>
  <c r="J30" i="11"/>
  <c r="M42" i="11"/>
  <c r="L36" i="11"/>
  <c r="L24" i="11"/>
  <c r="I90" i="10"/>
  <c r="J45" i="11"/>
  <c r="L21" i="11"/>
  <c r="L22" i="11" s="1"/>
  <c r="L23" i="11"/>
  <c r="N35" i="11"/>
  <c r="K38" i="11"/>
  <c r="M29" i="11"/>
  <c r="K35" i="11"/>
  <c r="K40" i="11"/>
  <c r="M38" i="11"/>
  <c r="N45" i="11"/>
  <c r="J40" i="11"/>
  <c r="M30" i="11"/>
  <c r="K41" i="11"/>
  <c r="K24" i="11"/>
  <c r="L40" i="11"/>
  <c r="N27" i="11"/>
  <c r="J33" i="11"/>
  <c r="L27" i="11"/>
  <c r="K28" i="11"/>
  <c r="K33" i="11"/>
  <c r="L45" i="11"/>
  <c r="M26" i="11"/>
  <c r="K45" i="11"/>
  <c r="M46" i="11"/>
  <c r="K37" i="11"/>
  <c r="N33" i="11"/>
  <c r="L43" i="11"/>
  <c r="J35" i="11"/>
  <c r="M27" i="11"/>
  <c r="L37" i="11"/>
  <c r="M24" i="11"/>
  <c r="M28" i="11"/>
  <c r="J25" i="11"/>
  <c r="N28" i="11"/>
  <c r="M43" i="11"/>
  <c r="J37" i="11"/>
  <c r="K44" i="11"/>
  <c r="L41" i="11"/>
  <c r="K31" i="11"/>
  <c r="K47" i="11"/>
  <c r="M33" i="11"/>
  <c r="N41" i="11"/>
  <c r="N43" i="11"/>
  <c r="N30" i="11"/>
  <c r="J42" i="11"/>
  <c r="M21" i="11"/>
  <c r="M22" i="11" s="1"/>
  <c r="L38" i="11"/>
  <c r="N26" i="11"/>
  <c r="J38" i="11"/>
  <c r="N44" i="11"/>
  <c r="N24" i="11"/>
  <c r="K25" i="11"/>
  <c r="M45" i="11"/>
  <c r="K26" i="11"/>
  <c r="L34" i="11"/>
  <c r="N42" i="11"/>
  <c r="N48" i="11"/>
  <c r="J46" i="11"/>
  <c r="N38" i="11"/>
  <c r="J27" i="11"/>
  <c r="J48" i="11"/>
  <c r="K34" i="11"/>
  <c r="K30" i="11"/>
  <c r="K48" i="11"/>
  <c r="L47" i="11"/>
  <c r="M37" i="11"/>
  <c r="N47" i="11"/>
  <c r="M44" i="11"/>
  <c r="K43" i="11"/>
  <c r="K42" i="11"/>
  <c r="K21" i="11"/>
  <c r="K22" i="11" s="1"/>
  <c r="N23" i="11"/>
  <c r="N21" i="11"/>
  <c r="N22" i="11" s="1"/>
  <c r="N39" i="11"/>
  <c r="K49" i="11"/>
  <c r="M47" i="11"/>
  <c r="L46" i="11"/>
  <c r="K27" i="11"/>
  <c r="N37" i="11"/>
  <c r="L29" i="11"/>
  <c r="J29" i="11"/>
  <c r="J41" i="11"/>
  <c r="N46" i="11"/>
  <c r="L44" i="11"/>
  <c r="N34" i="11"/>
  <c r="L35" i="11"/>
  <c r="L48" i="11"/>
  <c r="J49" i="11"/>
  <c r="J31" i="11"/>
  <c r="L28" i="11"/>
  <c r="J86" i="10" l="1"/>
  <c r="K6" i="10"/>
  <c r="M6" i="10" s="1"/>
  <c r="N6" i="10" s="1"/>
  <c r="K23" i="10"/>
  <c r="M23" i="10" s="1"/>
  <c r="N23" i="10" s="1"/>
  <c r="I10" i="10"/>
  <c r="J65" i="10"/>
  <c r="J10" i="10"/>
  <c r="I25" i="10"/>
  <c r="I86" i="10"/>
  <c r="K8" i="10"/>
  <c r="M8" i="10" s="1"/>
  <c r="N8" i="10" s="1"/>
  <c r="K9" i="10"/>
  <c r="M9" i="10" s="1"/>
  <c r="N9" i="10" s="1"/>
  <c r="J39" i="10"/>
  <c r="I39" i="10"/>
  <c r="I33" i="10"/>
  <c r="J57" i="10"/>
  <c r="I29" i="10"/>
  <c r="J83" i="10"/>
  <c r="I83" i="10"/>
  <c r="J69" i="10"/>
  <c r="J78" i="10"/>
  <c r="J73" i="10"/>
  <c r="I78" i="10"/>
  <c r="I73" i="10"/>
  <c r="I69" i="10"/>
  <c r="I65" i="10"/>
  <c r="I60" i="10"/>
  <c r="K60" i="10" s="1"/>
  <c r="M60" i="10" s="1"/>
  <c r="N60" i="10" s="1"/>
  <c r="I57" i="10"/>
  <c r="J50" i="10"/>
  <c r="I50" i="10"/>
  <c r="J36" i="10"/>
  <c r="I36" i="10"/>
  <c r="J33" i="10"/>
  <c r="J29" i="10"/>
  <c r="J25" i="10"/>
  <c r="I19" i="10"/>
  <c r="J19" i="10"/>
  <c r="I15" i="10"/>
  <c r="J15" i="10"/>
  <c r="K79" i="10"/>
  <c r="M79" i="10" s="1"/>
  <c r="N79" i="10" s="1"/>
  <c r="K87" i="10"/>
  <c r="M87" i="10" s="1"/>
  <c r="N87" i="10" s="1"/>
  <c r="K13" i="10"/>
  <c r="M13" i="10" s="1"/>
  <c r="N13" i="10" s="1"/>
  <c r="K32" i="10"/>
  <c r="M32" i="10" s="1"/>
  <c r="N32" i="10" s="1"/>
  <c r="K49" i="10"/>
  <c r="M49" i="10" s="1"/>
  <c r="N49" i="10" s="1"/>
  <c r="K77" i="10"/>
  <c r="M77" i="10" s="1"/>
  <c r="N77" i="10" s="1"/>
  <c r="K34" i="10"/>
  <c r="M34" i="10" s="1"/>
  <c r="N34" i="10" s="1"/>
  <c r="K22" i="10"/>
  <c r="M22" i="10" s="1"/>
  <c r="N22" i="10" s="1"/>
  <c r="K62" i="10"/>
  <c r="M62" i="10" s="1"/>
  <c r="N62" i="10" s="1"/>
  <c r="K51" i="10"/>
  <c r="M51" i="10" s="1"/>
  <c r="N51" i="10" s="1"/>
  <c r="K26" i="10"/>
  <c r="M26" i="10" s="1"/>
  <c r="N26" i="10" s="1"/>
  <c r="K16" i="10"/>
  <c r="M16" i="10" s="1"/>
  <c r="N16" i="10" s="1"/>
  <c r="K52" i="10"/>
  <c r="M52" i="10" s="1"/>
  <c r="N52" i="10" s="1"/>
  <c r="K44" i="10"/>
  <c r="M44" i="10" s="1"/>
  <c r="N44" i="10" s="1"/>
  <c r="K46" i="10"/>
  <c r="M46" i="10" s="1"/>
  <c r="N46" i="10" s="1"/>
  <c r="K76" i="10"/>
  <c r="M76" i="10" s="1"/>
  <c r="N76" i="10" s="1"/>
  <c r="K67" i="10"/>
  <c r="M67" i="10" s="1"/>
  <c r="N67" i="10" s="1"/>
  <c r="K45" i="10"/>
  <c r="M45" i="10" s="1"/>
  <c r="N45" i="10" s="1"/>
  <c r="K56" i="10"/>
  <c r="M56" i="10" s="1"/>
  <c r="N56" i="10" s="1"/>
  <c r="K55" i="10"/>
  <c r="M55" i="10" s="1"/>
  <c r="N55" i="10" s="1"/>
  <c r="K74" i="10"/>
  <c r="M74" i="10" s="1"/>
  <c r="N74" i="10" s="1"/>
  <c r="K31" i="10"/>
  <c r="M31" i="10" s="1"/>
  <c r="N31" i="10" s="1"/>
  <c r="K47" i="10"/>
  <c r="M47" i="10" s="1"/>
  <c r="N47" i="10" s="1"/>
  <c r="K53" i="10"/>
  <c r="M53" i="10" s="1"/>
  <c r="N53" i="10" s="1"/>
  <c r="K82" i="10"/>
  <c r="M82" i="10" s="1"/>
  <c r="N82" i="10" s="1"/>
  <c r="K72" i="10"/>
  <c r="M72" i="10" s="1"/>
  <c r="N72" i="10" s="1"/>
  <c r="K58" i="10"/>
  <c r="M58" i="10" s="1"/>
  <c r="N58" i="10" s="1"/>
  <c r="K27" i="10"/>
  <c r="M27" i="10" s="1"/>
  <c r="N27" i="10" s="1"/>
  <c r="K66" i="10"/>
  <c r="M66" i="10" s="1"/>
  <c r="N66" i="10" s="1"/>
  <c r="K71" i="10"/>
  <c r="M71" i="10" s="1"/>
  <c r="N71" i="10" s="1"/>
  <c r="K64" i="10"/>
  <c r="M64" i="10" s="1"/>
  <c r="N64" i="10" s="1"/>
  <c r="K61" i="10"/>
  <c r="M61" i="10" s="1"/>
  <c r="N61" i="10" s="1"/>
  <c r="K11" i="10"/>
  <c r="M11" i="10" s="1"/>
  <c r="N11" i="10" s="1"/>
  <c r="K88" i="10"/>
  <c r="M88" i="10" s="1"/>
  <c r="N88" i="10" s="1"/>
  <c r="K37" i="10"/>
  <c r="M37" i="10" s="1"/>
  <c r="N37" i="10" s="1"/>
  <c r="K54" i="10"/>
  <c r="M54" i="10" s="1"/>
  <c r="N54" i="10" s="1"/>
  <c r="K59" i="10"/>
  <c r="M59" i="10" s="1"/>
  <c r="N59" i="10" s="1"/>
  <c r="K43" i="10"/>
  <c r="M43" i="10" s="1"/>
  <c r="N43" i="10" s="1"/>
  <c r="K75" i="10"/>
  <c r="M75" i="10" s="1"/>
  <c r="N75" i="10" s="1"/>
  <c r="K21" i="10"/>
  <c r="M21" i="10" s="1"/>
  <c r="N21" i="10" s="1"/>
  <c r="K41" i="10"/>
  <c r="M41" i="10" s="1"/>
  <c r="N41" i="10" s="1"/>
  <c r="K84" i="10"/>
  <c r="M84" i="10" s="1"/>
  <c r="N84" i="10" s="1"/>
  <c r="K18" i="10"/>
  <c r="M18" i="10" s="1"/>
  <c r="N18" i="10" s="1"/>
  <c r="K28" i="10"/>
  <c r="M28" i="10" s="1"/>
  <c r="N28" i="10" s="1"/>
  <c r="K30" i="10"/>
  <c r="M30" i="10" s="1"/>
  <c r="N30" i="10" s="1"/>
  <c r="K63" i="10"/>
  <c r="M63" i="10" s="1"/>
  <c r="N63" i="10" s="1"/>
  <c r="K70" i="10"/>
  <c r="M70" i="10" s="1"/>
  <c r="N70" i="10" s="1"/>
  <c r="K35" i="10"/>
  <c r="M35" i="10" s="1"/>
  <c r="N35" i="10" s="1"/>
  <c r="K20" i="10"/>
  <c r="M20" i="10" s="1"/>
  <c r="N20" i="10" s="1"/>
  <c r="K17" i="10"/>
  <c r="M17" i="10" s="1"/>
  <c r="N17" i="10" s="1"/>
  <c r="K48" i="10"/>
  <c r="M48" i="10" s="1"/>
  <c r="N48" i="10" s="1"/>
  <c r="K12" i="10"/>
  <c r="M12" i="10" s="1"/>
  <c r="N12" i="10" s="1"/>
  <c r="K80" i="10"/>
  <c r="M80" i="10" s="1"/>
  <c r="N80" i="10" s="1"/>
  <c r="K14" i="10"/>
  <c r="M14" i="10" s="1"/>
  <c r="N14" i="10" s="1"/>
  <c r="K68" i="10"/>
  <c r="M68" i="10" s="1"/>
  <c r="N68" i="10" s="1"/>
  <c r="K38" i="10"/>
  <c r="M38" i="10" s="1"/>
  <c r="N38" i="10" s="1"/>
  <c r="K40" i="10"/>
  <c r="M40" i="10" s="1"/>
  <c r="N40" i="10" s="1"/>
  <c r="K42" i="10"/>
  <c r="M42" i="10" s="1"/>
  <c r="N42" i="10" s="1"/>
  <c r="K81" i="10"/>
  <c r="M81" i="10" s="1"/>
  <c r="N81" i="10" s="1"/>
  <c r="K5" i="10"/>
  <c r="M5" i="10" s="1"/>
  <c r="N5" i="10" s="1"/>
  <c r="K90" i="10"/>
  <c r="M90" i="10" s="1"/>
  <c r="N90" i="10" s="1"/>
  <c r="P20" i="11"/>
  <c r="R20" i="11"/>
  <c r="Q20" i="11"/>
  <c r="O20" i="11"/>
  <c r="Q17" i="11"/>
  <c r="R17" i="11"/>
  <c r="R50" i="11"/>
  <c r="P17" i="11"/>
  <c r="Q50" i="11"/>
  <c r="O17" i="11"/>
  <c r="O50" i="11"/>
  <c r="P50" i="11"/>
  <c r="M20" i="11"/>
  <c r="M17" i="11"/>
  <c r="N20" i="11"/>
  <c r="K20" i="11"/>
  <c r="M50" i="11"/>
  <c r="J50" i="11"/>
  <c r="N17" i="11"/>
  <c r="L17" i="11"/>
  <c r="L50" i="11"/>
  <c r="L91" i="10"/>
  <c r="K17" i="11"/>
  <c r="J17" i="11"/>
  <c r="N50" i="11"/>
  <c r="L20" i="11"/>
  <c r="J20" i="11"/>
  <c r="K50" i="11"/>
  <c r="K86" i="10" l="1"/>
  <c r="M86" i="10" s="1"/>
  <c r="N86" i="10" s="1"/>
  <c r="K65" i="10"/>
  <c r="M65" i="10" s="1"/>
  <c r="N65" i="10" s="1"/>
  <c r="K33" i="10"/>
  <c r="M33" i="10" s="1"/>
  <c r="N33" i="10" s="1"/>
  <c r="K25" i="10"/>
  <c r="M25" i="10" s="1"/>
  <c r="N25" i="10" s="1"/>
  <c r="K39" i="10"/>
  <c r="M39" i="10" s="1"/>
  <c r="N39" i="10" s="1"/>
  <c r="K10" i="10"/>
  <c r="M10" i="10" s="1"/>
  <c r="N10" i="10" s="1"/>
  <c r="K29" i="10"/>
  <c r="M29" i="10" s="1"/>
  <c r="N29" i="10" s="1"/>
  <c r="J89" i="10"/>
  <c r="J91" i="10" s="1"/>
  <c r="K57" i="10"/>
  <c r="M57" i="10" s="1"/>
  <c r="N57" i="10" s="1"/>
  <c r="I89" i="10"/>
  <c r="I91" i="10" s="1"/>
  <c r="K83" i="10"/>
  <c r="M83" i="10" s="1"/>
  <c r="N83" i="10" s="1"/>
  <c r="K69" i="10"/>
  <c r="M69" i="10" s="1"/>
  <c r="N69" i="10" s="1"/>
  <c r="K78" i="10"/>
  <c r="M78" i="10" s="1"/>
  <c r="N78" i="10" s="1"/>
  <c r="K73" i="10"/>
  <c r="M73" i="10" s="1"/>
  <c r="N73" i="10" s="1"/>
  <c r="K50" i="10"/>
  <c r="M50" i="10" s="1"/>
  <c r="N50" i="10" s="1"/>
  <c r="K36" i="10"/>
  <c r="M36" i="10" s="1"/>
  <c r="N36" i="10" s="1"/>
  <c r="K15" i="10"/>
  <c r="M15" i="10" s="1"/>
  <c r="N15" i="10" s="1"/>
  <c r="K19" i="10"/>
  <c r="M19" i="10" s="1"/>
  <c r="N19" i="10" s="1"/>
  <c r="K91" i="10" l="1"/>
  <c r="M91" i="10" s="1"/>
  <c r="N91" i="10" s="1"/>
  <c r="K89" i="10"/>
  <c r="M89" i="10" s="1"/>
  <c r="N89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96717F-8E74-4D4E-9E04-448F0B8AFA5D}" keepAlive="1" name="Query - Dist_Detail_Master" description="Connection to the 'Dist_Detail_Master' query in the workbook." type="5" refreshedVersion="8" background="1" saveData="1">
    <dbPr connection="Provider=Microsoft.Mashup.OleDb.1;Data Source=$Workbook$;Location=Dist_Detail_Master;Extended Properties=&quot;&quot;" command="SELECT * FROM [Dist_Detail_Maste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<sst xmlns="http://schemas.openxmlformats.org/spreadsheetml/2006/main" count="18843" uniqueCount="2517">
  <si>
    <t>Biscuit</t>
  </si>
  <si>
    <t>November</t>
  </si>
  <si>
    <t>SURYA FOOD &amp; AGRO LTD. NOIDA</t>
  </si>
  <si>
    <t>Sr. No.</t>
  </si>
  <si>
    <t>Item Name</t>
  </si>
  <si>
    <t>Pkg.</t>
  </si>
  <si>
    <t>₹ x Pcs.</t>
  </si>
  <si>
    <t>Opening</t>
  </si>
  <si>
    <t>Closing</t>
  </si>
  <si>
    <t>Digestive</t>
  </si>
  <si>
    <t>B.B. Pista</t>
  </si>
  <si>
    <t>Classic Cream</t>
  </si>
  <si>
    <t>Chocolate</t>
  </si>
  <si>
    <t>Crème Cracker</t>
  </si>
  <si>
    <t>OTHER</t>
  </si>
  <si>
    <t>Total C.B (With Other)</t>
  </si>
  <si>
    <t>Juice, Cake, Cookies &amp; Confi.</t>
  </si>
  <si>
    <t>Cat.</t>
  </si>
  <si>
    <t>Juices</t>
  </si>
  <si>
    <t>Tetra
Fresh Gold 1 Ltr.</t>
  </si>
  <si>
    <t>Pomegranate</t>
  </si>
  <si>
    <t>1 x 12</t>
  </si>
  <si>
    <t>Apple</t>
  </si>
  <si>
    <t>Orange</t>
  </si>
  <si>
    <t>Mix Fruit</t>
  </si>
  <si>
    <t>Litchi</t>
  </si>
  <si>
    <t>Pine Apple</t>
  </si>
  <si>
    <t>Guava</t>
  </si>
  <si>
    <t>250 ML</t>
  </si>
  <si>
    <t>250 x 24</t>
  </si>
  <si>
    <t>TREAT</t>
  </si>
  <si>
    <t>125 ML</t>
  </si>
  <si>
    <t>160 ML</t>
  </si>
  <si>
    <t>160 x 30</t>
  </si>
  <si>
    <t>600 ML</t>
  </si>
  <si>
    <t>600 x 24</t>
  </si>
  <si>
    <t>1.2 L</t>
  </si>
  <si>
    <t>1.2 x 12</t>
  </si>
  <si>
    <t>Total C.B.</t>
  </si>
  <si>
    <t>Trojan Delite</t>
  </si>
  <si>
    <t>ATC</t>
  </si>
  <si>
    <t>₹ 5/-</t>
  </si>
  <si>
    <t>Magic Cake</t>
  </si>
  <si>
    <t>₹ 20/-</t>
  </si>
  <si>
    <t>₹ 40/-</t>
  </si>
  <si>
    <t>Chocolates &amp; Confectionery</t>
  </si>
  <si>
    <t>Chocogold Fruit &amp; Nuts</t>
  </si>
  <si>
    <t>24 x 8</t>
  </si>
  <si>
    <t>Chocogold</t>
  </si>
  <si>
    <t>30 x 24</t>
  </si>
  <si>
    <t>₹ 10/-</t>
  </si>
  <si>
    <t>24 x 12</t>
  </si>
  <si>
    <t xml:space="preserve">Snakker </t>
  </si>
  <si>
    <t>₹ 2/-</t>
  </si>
  <si>
    <t>HUNK</t>
  </si>
  <si>
    <t>Snip Snap</t>
  </si>
  <si>
    <t>Partner</t>
  </si>
  <si>
    <t>Choco</t>
  </si>
  <si>
    <t>24 x 24</t>
  </si>
  <si>
    <t>Straw</t>
  </si>
  <si>
    <t>Éclair</t>
  </si>
  <si>
    <t>Mini Jar</t>
  </si>
  <si>
    <t>140 x 12</t>
  </si>
  <si>
    <t>Big Jar</t>
  </si>
  <si>
    <t>Shokk</t>
  </si>
  <si>
    <t>Pouch</t>
  </si>
  <si>
    <t>Jar</t>
  </si>
  <si>
    <t>TOFFITO
PLUS</t>
  </si>
  <si>
    <t>SNAKKER
TOFFEE</t>
  </si>
  <si>
    <t>Billing_Group</t>
  </si>
  <si>
    <t>Month</t>
  </si>
  <si>
    <t>Distributor Code</t>
  </si>
  <si>
    <t>Distributor Name</t>
  </si>
  <si>
    <t>City Name</t>
  </si>
  <si>
    <t>State Name</t>
  </si>
  <si>
    <t>Item Code</t>
  </si>
  <si>
    <t>Item Description</t>
  </si>
  <si>
    <t>Item Category</t>
  </si>
  <si>
    <t>Item Sub Category</t>
  </si>
  <si>
    <t>Receive</t>
  </si>
  <si>
    <t>Total</t>
  </si>
  <si>
    <t>Sale</t>
  </si>
  <si>
    <t>April</t>
  </si>
  <si>
    <t>FBBPU01CHBIP009</t>
  </si>
  <si>
    <t>PUFF TANGY LEMON 40 GM X 150 PKT</t>
  </si>
  <si>
    <t>Puff Crme - Lemon -5</t>
  </si>
  <si>
    <t>FCO0216COCOT001</t>
  </si>
  <si>
    <t>TROJAN DELITE 22 GM X 6 PCS X 30 PKT</t>
  </si>
  <si>
    <t>Trojan-ATC</t>
  </si>
  <si>
    <t>FBBBB01BUBIB024</t>
  </si>
  <si>
    <t>BUTTER BITE 65 GM X 60 P.K.T</t>
  </si>
  <si>
    <t>Butter Bite -.10/-</t>
  </si>
  <si>
    <t>FBBBB01BUBIB032</t>
  </si>
  <si>
    <t>BUTTER BITE 130 GM X 30 P.K.T</t>
  </si>
  <si>
    <t>Butter Bite -.20/-</t>
  </si>
  <si>
    <t>FBBBC01CSBIB021</t>
  </si>
  <si>
    <t>BUTTER BITE CASHEW 60 GM X 72 PKT</t>
  </si>
  <si>
    <t>B.B Cashew -10</t>
  </si>
  <si>
    <t>FBBBL01JABIB020</t>
  </si>
  <si>
    <t>BUTTER LITE NAMKEEN JEERA 35 GM X120 PKT</t>
  </si>
  <si>
    <t>Butter Lite Jeera-.5/-</t>
  </si>
  <si>
    <t>FBBBL01JABIB022</t>
  </si>
  <si>
    <t>BUTTER LITE NAMKEEN JEERA 70 GM X 60 PKT</t>
  </si>
  <si>
    <t>Butter Lite Jeera-.10/-</t>
  </si>
  <si>
    <t>FBBCS01CHBIC008</t>
  </si>
  <si>
    <t>CHOCO CHEKKERS 35 ( 28+7 ) GM X 120 PKT</t>
  </si>
  <si>
    <t>Chooo Chekkers-.5/-</t>
  </si>
  <si>
    <t>FBBCS01CHBIC006</t>
  </si>
  <si>
    <t>CHOCO CHEKKERS 70 GM ( 56 +14 ) X 60 PKT</t>
  </si>
  <si>
    <t>Chooo Chekkers-.10/-</t>
  </si>
  <si>
    <t>FBBBU01BOBIB523</t>
  </si>
  <si>
    <t>BOURBON 55 GM X 60 PKTS</t>
  </si>
  <si>
    <t>Bourbon-.10/-</t>
  </si>
  <si>
    <t>FBBPU01CHBIP002</t>
  </si>
  <si>
    <t>PUFF CHOCO SANDWICH 40 GM X 150 PKT</t>
  </si>
  <si>
    <t>Puff Crme - Choco -5</t>
  </si>
  <si>
    <t>FBBPU01CHBIP024</t>
  </si>
  <si>
    <t>PUFF STAWBERRY SANDWICH 40 GM X 150 PKT</t>
  </si>
  <si>
    <t>Puff Crme - Straw -5</t>
  </si>
  <si>
    <t>FBBCT01CTBICR02</t>
  </si>
  <si>
    <t>CRACKLE COCONUT 35 GM X 120 PKT</t>
  </si>
  <si>
    <t>Coconut Crunch-.5/-</t>
  </si>
  <si>
    <t>FBBCT01CTBICR01</t>
  </si>
  <si>
    <t>CRACKLE COCONUT 70 GM X 60 PKT</t>
  </si>
  <si>
    <t>Coconut Crunch-.10/-</t>
  </si>
  <si>
    <t>FBB1001BUBIB002</t>
  </si>
  <si>
    <t>BUTTER DELITE 35 GM X 150 PKTS</t>
  </si>
  <si>
    <t>Butter Delite - 5</t>
  </si>
  <si>
    <t>FBBBI01SNBIB001</t>
  </si>
  <si>
    <t>BIG GOLD 80 GM X 60 PKT</t>
  </si>
  <si>
    <t>Big Gold - 10</t>
  </si>
  <si>
    <t>FOTOTOTOT0TH052</t>
  </si>
  <si>
    <t>HUNK CHO.CARAMEL NOGA TIFFINBOX 20-GMX30</t>
  </si>
  <si>
    <t>HUNK - 5</t>
  </si>
  <si>
    <t>FECECECECECE161</t>
  </si>
  <si>
    <t>ECLAIR POUCH 10/-</t>
  </si>
  <si>
    <t>Eclair-Pouch  10/-</t>
  </si>
  <si>
    <t>FOTOTOTOTOTA122</t>
  </si>
  <si>
    <t>AMORE LITCHI-4.5-GMX50PCSX36POUCH</t>
  </si>
  <si>
    <t>Other</t>
  </si>
  <si>
    <t>FBBBU01BOBIB789</t>
  </si>
  <si>
    <t>BOURBON 110 GM X 30 PKTS</t>
  </si>
  <si>
    <t>Bourbon-.20/-</t>
  </si>
  <si>
    <t>FBBCH01CHBIC031</t>
  </si>
  <si>
    <t>C.C.CHOCOLATE 148 GM X 30 P.K.T</t>
  </si>
  <si>
    <t>Classic Cream Choco -.20/-</t>
  </si>
  <si>
    <t>FBBCN01CNBIC018</t>
  </si>
  <si>
    <t>C.N.C 45 GM (36g + 9g FREE) X 140 Pkts</t>
  </si>
  <si>
    <t>C.N.C. - 5</t>
  </si>
  <si>
    <t>FBBCC01CHBIC978</t>
  </si>
  <si>
    <t>CLASSIC CREME CHOCLATE 37 GM X 120 PKT</t>
  </si>
  <si>
    <t>Classic Cream Choco -.5/-</t>
  </si>
  <si>
    <t>FBBCC01CHBIC980</t>
  </si>
  <si>
    <t>CLASSIC CREME CHOCLATE 74 GM X 60 PKT</t>
  </si>
  <si>
    <t>Classic Cream Choco -.10/-</t>
  </si>
  <si>
    <t>FBBCE01ELBIE787</t>
  </si>
  <si>
    <t>CLASSIC CREME ELAICHI 148 GM X 30 PKT</t>
  </si>
  <si>
    <t>Classic Cream Elaichi -.20/-</t>
  </si>
  <si>
    <t>FBBCE01ELBIE785</t>
  </si>
  <si>
    <t>CLASSIC CREME ELAICHI 37 GM X 120 PKT</t>
  </si>
  <si>
    <t>Classic Cream Elaichi -.5/-</t>
  </si>
  <si>
    <t>FBBCE01ELBIE786</t>
  </si>
  <si>
    <t>CLASSIC CREME ELAICHI 74 GM X 60 PKT</t>
  </si>
  <si>
    <t>Classic Cream Elaichi -.10/-</t>
  </si>
  <si>
    <t>FBBCO01ORBIC797</t>
  </si>
  <si>
    <t>CLASSIC CREME ORANGE 148 GM X 30 PKT</t>
  </si>
  <si>
    <t>Classic Cream Orange -.20/-</t>
  </si>
  <si>
    <t>FBBCO01ORBIC795</t>
  </si>
  <si>
    <t>CLASSIC CREME ORANGE 37 GM X 120 PKT</t>
  </si>
  <si>
    <t>Classic Cream Orange -.5/-</t>
  </si>
  <si>
    <t>FBBCO01ORBIC796</t>
  </si>
  <si>
    <t>CLASSIC CREME ORANGE 74 GM X 60 PKT</t>
  </si>
  <si>
    <t>Classic Cream Orange -.10/-</t>
  </si>
  <si>
    <t>FBBCT01CTBICR05</t>
  </si>
  <si>
    <t>CRACKLE COCONUT BISCUITS 140 GM X 30 PKT</t>
  </si>
  <si>
    <t>Coconut Crunch-.20/-</t>
  </si>
  <si>
    <t>FOTOT0TOT0TE006</t>
  </si>
  <si>
    <t>ECLAIRS 4.5 GMX50 PCS( POUCH) 225 GMX30</t>
  </si>
  <si>
    <t>Eclair-Pouch  50/-</t>
  </si>
  <si>
    <t>FBBSC01BUBIS003</t>
  </si>
  <si>
    <t>SNAKKER CHOCO SANDWICH 500 GM X 12 PKT</t>
  </si>
  <si>
    <t>INST</t>
  </si>
  <si>
    <t>FOTOTOTOTOTS467</t>
  </si>
  <si>
    <t>SNAKKER COFFEE 200+20 X 12-JAR</t>
  </si>
  <si>
    <t>Snakker Minty Jar</t>
  </si>
  <si>
    <t>FOTOTOTOTOTS477</t>
  </si>
  <si>
    <t>SNAKKER WAFFER-CHOCO 20-gm30X24-pcs 5/</t>
  </si>
  <si>
    <t>Snakker- 5/-</t>
  </si>
  <si>
    <t>FBB1001BUBIBB03</t>
  </si>
  <si>
    <t>BUTTER DELITE 140 GM X 30PKT</t>
  </si>
  <si>
    <t>Butter Delite - 20</t>
  </si>
  <si>
    <t>FBBCN01CNBIC0GT</t>
  </si>
  <si>
    <t>C.N.C 80 GM X 70 PKT</t>
  </si>
  <si>
    <t>C.N.C. - 10</t>
  </si>
  <si>
    <t>FBB1001BUBIBB02</t>
  </si>
  <si>
    <t>BUTTER DELITE 70 GM X 60 PKT1</t>
  </si>
  <si>
    <t>Butter Delite - 10</t>
  </si>
  <si>
    <t>FBBCZ01CZBICZ11</t>
  </si>
  <si>
    <t>CHEESE CRACKER 35 GM X 150 PKT</t>
  </si>
  <si>
    <t>Cheese/ Top Cracker - 5</t>
  </si>
  <si>
    <t>FBBCZ01CZBICZ12</t>
  </si>
  <si>
    <t>CHEESE CRACKER 70 GM X 60 PKT1</t>
  </si>
  <si>
    <t>Cheese/ Top Cracker - 10</t>
  </si>
  <si>
    <t>FBBML01MRBIF23H</t>
  </si>
  <si>
    <t>MARIE LITE 40 GM X 120 PKT</t>
  </si>
  <si>
    <t>Marie Lite -5</t>
  </si>
  <si>
    <t>FBBML01MRBIH5U6</t>
  </si>
  <si>
    <t>MARIE LITE 80 GM X 60 PKT</t>
  </si>
  <si>
    <t>Marie Lite -10</t>
  </si>
  <si>
    <t>FBBSN01SNBISZ07</t>
  </si>
  <si>
    <t>SNACKS 35 GM X 140 PKT</t>
  </si>
  <si>
    <t>Snacks - 5</t>
  </si>
  <si>
    <t>FBBCZ01CZBIC024</t>
  </si>
  <si>
    <t>CHEESE CRACKER160 (150g + 10g ) X 30 PKT</t>
  </si>
  <si>
    <t>Cheese/ Top Cracker - 20</t>
  </si>
  <si>
    <t>FBBCN01CNBICHG4</t>
  </si>
  <si>
    <t>C.N.C 35 GM X 140 PKT</t>
  </si>
  <si>
    <t>FBBBI01SNBIB005</t>
  </si>
  <si>
    <t>BIG GOLD 40 GM X 120 PKT</t>
  </si>
  <si>
    <t>Big Gold - 5</t>
  </si>
  <si>
    <t>FBBBB01BUBIB010</t>
  </si>
  <si>
    <t>BUTTER BITE 35 GM X 120 PKT</t>
  </si>
  <si>
    <t>Butter Bite -.5/-</t>
  </si>
  <si>
    <t>FBBPU01CHBIP013</t>
  </si>
  <si>
    <t>PUFF CHOCO SANDWICH 80 GM X 60 PKT</t>
  </si>
  <si>
    <t>Puff Crme - Choco -10</t>
  </si>
  <si>
    <t>FBBPU01CHBIP012</t>
  </si>
  <si>
    <t>PUFF STAWBERRY SANDWICH 80 GM X 60 PKT</t>
  </si>
  <si>
    <t>Puff Crme - Straw -10</t>
  </si>
  <si>
    <t>FBBPU01CHBIP010</t>
  </si>
  <si>
    <t>PUFF TANGY LEMON 80 GM X 60 PKT</t>
  </si>
  <si>
    <t>Puff Crme - Lemon -10</t>
  </si>
  <si>
    <t>FBBBI01SNBIB008</t>
  </si>
  <si>
    <t>Big Gold Rs.20/-</t>
  </si>
  <si>
    <t>Big Gold - 20</t>
  </si>
  <si>
    <t>FOTOTOTOTOTS324</t>
  </si>
  <si>
    <t>SNAKKER CHOCO JAR 2/-7gm x150 X 9 JAR</t>
  </si>
  <si>
    <t>Snakker- 2/-</t>
  </si>
  <si>
    <t>FOTOTOTOTOTC584</t>
  </si>
  <si>
    <t>CHOCOGOLD PRE.M. CHO.14-GMX30X24 MRP-5/-</t>
  </si>
  <si>
    <t>Chocogold- 5/-</t>
  </si>
  <si>
    <t>FOTOTOTOTOTC615</t>
  </si>
  <si>
    <t>CHOCOGOLD PRE.M.CHO.30GM X24 X12 MRP12/-</t>
  </si>
  <si>
    <t>Chocogold- 10/-</t>
  </si>
  <si>
    <t>FOTOTOTOTOTP388</t>
  </si>
  <si>
    <t>PARTNER CHOCOLATE 30 X 12 JAR 5/-</t>
  </si>
  <si>
    <t>Partner Choco</t>
  </si>
  <si>
    <t>FOTOTOTOTOTP387</t>
  </si>
  <si>
    <t>PARTNER ORANGE 30 X 12 JAR 5/-</t>
  </si>
  <si>
    <t>Partner Orange</t>
  </si>
  <si>
    <t>FOTOTOTOTOTP389</t>
  </si>
  <si>
    <t>PARTNER STRABERRY 30 X 12 JAR 5/-</t>
  </si>
  <si>
    <t>Partner Straw.</t>
  </si>
  <si>
    <t>FOTOTOTOTOTE155</t>
  </si>
  <si>
    <t>ECLAIR POUCH (4.5-GM 50PCS X30PKT) 1/-</t>
  </si>
  <si>
    <t>FOTOTOTOTOTE140</t>
  </si>
  <si>
    <t>ECLAIR SMALL JAR 130+10 PCS. 12-JAR</t>
  </si>
  <si>
    <t>clair-Mini Jar</t>
  </si>
  <si>
    <t>FOTOT0TOT0THU01</t>
  </si>
  <si>
    <t>HUNK 30X24 PKT Rs.5/-</t>
  </si>
  <si>
    <t>FBBCB01CZBIC020</t>
  </si>
  <si>
    <t>CHEEZ BIT 150GM JAR X 30 PKT</t>
  </si>
  <si>
    <t>Cheez Bit - 50</t>
  </si>
  <si>
    <t>FBBBP01BPBIB001</t>
  </si>
  <si>
    <t>BUTTER BITE BADAM PISTA 150 GM X 24 PKT</t>
  </si>
  <si>
    <t>FBBBC01CSBIB027</t>
  </si>
  <si>
    <t>BUTTER BITE CASHEW 150 GM X 24 PKT</t>
  </si>
  <si>
    <t>B.B Cashew -45</t>
  </si>
  <si>
    <t>FBBCJ01JABIC001</t>
  </si>
  <si>
    <t>CHATPATA JEERA 200 GM X 30 PKT (MRP 50 )</t>
  </si>
  <si>
    <t>FBBCA01CZBIC002</t>
  </si>
  <si>
    <t>CHATPATTA CASHEW JAR 200 X 30 PKT</t>
  </si>
  <si>
    <t>FBBCC01CHBIC979</t>
  </si>
  <si>
    <t>CLASSIC CREME CHOCLATE 148 GM X 30 PKT</t>
  </si>
  <si>
    <t>FOTOT0TOT0T4043</t>
  </si>
  <si>
    <t>SNAKKER CHOCO WITH WAFFER 30 X 24 PCS</t>
  </si>
  <si>
    <t>FOTOT0TOT0TSN36</t>
  </si>
  <si>
    <t>SNAKKER COFFEE 50 PCSX36-POUCH</t>
  </si>
  <si>
    <t>Snakker Minty Pouch</t>
  </si>
  <si>
    <t>FBBML01MRBIM012</t>
  </si>
  <si>
    <t>MARIE LITE 160 GM X 30 PKTS</t>
  </si>
  <si>
    <t>Marie Lite -20</t>
  </si>
  <si>
    <t>FBBSN01SNBIS05H</t>
  </si>
  <si>
    <t>SNACKS 64 GM X 30 PKT</t>
  </si>
  <si>
    <t>Snacks - 10</t>
  </si>
  <si>
    <t>FBBCZ01CZBIC003</t>
  </si>
  <si>
    <t>CHEESE CRACKER 35 GM (28g + 7g )X150 PKT</t>
  </si>
  <si>
    <t>FBBCZ01CZBIC036</t>
  </si>
  <si>
    <t>CHEESE CRACKER140 (120g + 20g ) X 30 PKT</t>
  </si>
  <si>
    <t>FOTOTOTOTOTS464</t>
  </si>
  <si>
    <t>SHOKK 4 GMX50PCSX36POUCH</t>
  </si>
  <si>
    <t>Shokk Pouch</t>
  </si>
  <si>
    <t>FOTOTOTOT0TT003</t>
  </si>
  <si>
    <t>TOFFITO MILK CARAMEL (50PCS X 36) POUCH</t>
  </si>
  <si>
    <t>TOFFITO Pouch</t>
  </si>
  <si>
    <t>FOTOTOTOT0TT004</t>
  </si>
  <si>
    <t>TOFFITO STRAWBERRY (50PCS X 36 POUCH</t>
  </si>
  <si>
    <t>FBBOT01BUBIB253</t>
  </si>
  <si>
    <t>BUTTER DELITE 5/- (H)</t>
  </si>
  <si>
    <t>FBBBL01BUBIB254</t>
  </si>
  <si>
    <t>BUTTER DELITE 10/- (H)</t>
  </si>
  <si>
    <t>FBBBL01BUBIB255</t>
  </si>
  <si>
    <t>BUTTER DELITE 20/- (H)</t>
  </si>
  <si>
    <t>FBBB401SNBIB001</t>
  </si>
  <si>
    <t>BIG GOLD 132 GM X 30 PKT</t>
  </si>
  <si>
    <t>FOTOT0TOT0TCN55</t>
  </si>
  <si>
    <t>C.N.C 40 GM X 140 PKT</t>
  </si>
  <si>
    <t>FBBSN01SNBIS0H7</t>
  </si>
  <si>
    <t>SNACKS 70 GM X 70 PKT</t>
  </si>
  <si>
    <t>FBBBC01CSBIB036</t>
  </si>
  <si>
    <t>BUTTER BITE CASHEW 200 GM X 24 PKT</t>
  </si>
  <si>
    <t>FBBBL01JABIB023</t>
  </si>
  <si>
    <t>BUTTER LITE NAMKEEN JEERA 140 GM X30 PKT</t>
  </si>
  <si>
    <t>Butter Lite Jeera-.20/-</t>
  </si>
  <si>
    <t>FBBSC01CHBIS001</t>
  </si>
  <si>
    <t>SNAKKER CHOCO BIS 50GM X 20 NOS X 3 JAR</t>
  </si>
  <si>
    <t>Snakker Creme-.10/-</t>
  </si>
  <si>
    <t>FBBCB01CZBIC003</t>
  </si>
  <si>
    <t>Cheez Bit Jar Rs.50/-</t>
  </si>
  <si>
    <t>FCPCKCPC1C1M001</t>
  </si>
  <si>
    <t xml:space="preserve">MAGIC FRUIT CAKE 150 GM X 84 PKT- RS 40 </t>
  </si>
  <si>
    <t>Magic Cake- 40/-</t>
  </si>
  <si>
    <t>FPETRMJOTOTM014</t>
  </si>
  <si>
    <t>MANGO TREAT 160 ML X 30 PKT</t>
  </si>
  <si>
    <t>Treat-160 ML</t>
  </si>
  <si>
    <t>FF2TRTMAJAJM066</t>
  </si>
  <si>
    <t>MANGO TREAT 250ML*30 PCS</t>
  </si>
  <si>
    <t>Treat Pet-250 ML</t>
  </si>
  <si>
    <t>FJUTRMJMJMJM028</t>
  </si>
  <si>
    <t>MANGO TREAT ( 2 LTR X 6 )</t>
  </si>
  <si>
    <t>Treat Pet-2 L</t>
  </si>
  <si>
    <t>FBBBI01SNBIB002</t>
  </si>
  <si>
    <t>BIG GOLD 160 GM X 30 PKT</t>
  </si>
  <si>
    <t>FBBSN01SNBIS090</t>
  </si>
  <si>
    <t>SNACKS 140 GM X 35 PKTS</t>
  </si>
  <si>
    <t>Snacks - F.P.</t>
  </si>
  <si>
    <t>FBBCZ01CZBICZ13</t>
  </si>
  <si>
    <t>CHEESE CRACKER 140 GM X 30 PKT</t>
  </si>
  <si>
    <t>FBBCC01CHBICOC5</t>
  </si>
  <si>
    <t>CHOCO CHEKKERS 130 GM X 30 PKT</t>
  </si>
  <si>
    <t>Chooo Chekkers-.20/-</t>
  </si>
  <si>
    <t>FOTOTOTOTOTS472</t>
  </si>
  <si>
    <t>SHOKK JAR 140 PCS X 12 JAR</t>
  </si>
  <si>
    <t>Shokk Jar</t>
  </si>
  <si>
    <t>FOTOTOTOTOTS469</t>
  </si>
  <si>
    <t>SNAKKER COFFEE MINI 140 X12 JAR</t>
  </si>
  <si>
    <t>FBBCN01CNBIC039</t>
  </si>
  <si>
    <t>C.N.C 160 GM X 35 P.K.T</t>
  </si>
  <si>
    <t>C.N.C. - F.P.</t>
  </si>
  <si>
    <t>FBBSN01SNBIS024</t>
  </si>
  <si>
    <t>SNACKS 35 ( 28 GM + 7 GM ) X 140 PKT</t>
  </si>
  <si>
    <t>FBBCN01CNBIC004</t>
  </si>
  <si>
    <t>C.N.C 40 Gm(32g + 8g FREE) X 140 Pkts</t>
  </si>
  <si>
    <t>FBBCS01CHBIC007</t>
  </si>
  <si>
    <t>CHOCO CHEKKERS 140 GM(100 +40 ) X 30 PKT</t>
  </si>
  <si>
    <t>FBBCO01ORBIC033</t>
  </si>
  <si>
    <t>Classic Creme Orange Rs.5/-</t>
  </si>
  <si>
    <t>FBBCO01ORBIC034</t>
  </si>
  <si>
    <t>Classic Creme Orange Rs.10/-</t>
  </si>
  <si>
    <t>FBBCE01ELBIC031</t>
  </si>
  <si>
    <t>Classic Creme Elaichi Rs.5/-</t>
  </si>
  <si>
    <t>FBBCE01ELBIC032</t>
  </si>
  <si>
    <t>Classic Creme Elaichi Rs.10/-</t>
  </si>
  <si>
    <t>FBBCC01CHBIC028</t>
  </si>
  <si>
    <t>Classic Creme Chocolate Rs.5/-</t>
  </si>
  <si>
    <t>FBBCC01CHBIC030</t>
  </si>
  <si>
    <t>Classic Creme Chocolate Rs.10/-</t>
  </si>
  <si>
    <t>FBBML01MRBIM003</t>
  </si>
  <si>
    <t>MARIE LITE BIS 40 GM X 120 P.K.T</t>
  </si>
  <si>
    <t>FBBML01MRBIM004</t>
  </si>
  <si>
    <t>MARIE LITE BIS 80 GM X 60 P.K.T</t>
  </si>
  <si>
    <t>FBB1001BUBIB004</t>
  </si>
  <si>
    <t>BUTTER DELITE 70 GM X 60 PKT</t>
  </si>
  <si>
    <t>FBB1001BUBIB032</t>
  </si>
  <si>
    <t>BUTTER DELITE 140 GM X 20 PKT</t>
  </si>
  <si>
    <t>FBBCZ01CZBIC030</t>
  </si>
  <si>
    <t>CHEESE CRACKER 70 GM X 60 PKT</t>
  </si>
  <si>
    <t>FOTOTOTOTOTS473</t>
  </si>
  <si>
    <t>SNAKKER WAFFER WITH CHOCO-18.46GMX30X24P</t>
  </si>
  <si>
    <t>FBBOR01ORBIC035</t>
  </si>
  <si>
    <t>Classic Creme Orange Rs.20/-</t>
  </si>
  <si>
    <t>FBBEL01ELBIC020</t>
  </si>
  <si>
    <t>Classic Creme Elaichi Rs.20/-</t>
  </si>
  <si>
    <t>FBBCN01CNBIC030</t>
  </si>
  <si>
    <t>C.N.C 80 GM (64g+16g FREE) X 70 PKTS</t>
  </si>
  <si>
    <t>FOTOTOTOT0TT005</t>
  </si>
  <si>
    <t>TOFFITO MANGO CREAM 50PCS X 36 POUCH</t>
  </si>
  <si>
    <t>FBBSN01BUBIC978</t>
  </si>
  <si>
    <t>CNC BISCUITS 40 GM X 140 PKT (J)</t>
  </si>
  <si>
    <t>FBBCW01CSBIB026</t>
  </si>
  <si>
    <t>BUTTER BITE CASHEW 60 GM X 40 PKT</t>
  </si>
  <si>
    <t>FOTOT0TOT0TPA12</t>
  </si>
  <si>
    <t>PARTNER CHOCOLATE 30X12 JAR 5/-</t>
  </si>
  <si>
    <t>FBBSN01SNBIS081</t>
  </si>
  <si>
    <t>SNACKS 70 GM X 70 PKTS</t>
  </si>
  <si>
    <t>FBB1001BUBIB026</t>
  </si>
  <si>
    <t xml:space="preserve">BUTTER DELITE 60 GM X 80 PKT </t>
  </si>
  <si>
    <t>FBBSN01SNBIS027</t>
  </si>
  <si>
    <t>SNACKS 70 GM ( 56 GM +14 GM ) X 70 PKT</t>
  </si>
  <si>
    <t>FBBBU01BOBIB100</t>
  </si>
  <si>
    <t>Bourbon Rs.20/-</t>
  </si>
  <si>
    <t>FBBML01MRBIM006</t>
  </si>
  <si>
    <t>Marie Lite Rs.20/-</t>
  </si>
  <si>
    <t>FBBCT01CTBIC020</t>
  </si>
  <si>
    <t>Coconut Crunch Rs. 20/-</t>
  </si>
  <si>
    <t>FBBCC01CHBICOC3</t>
  </si>
  <si>
    <t>CHOCO CHEKKERS 80 GM X 40 PKT</t>
  </si>
  <si>
    <t>FBBDG01DGBID002</t>
  </si>
  <si>
    <t>DIGESTIVE 185 GM X 30 PKT ( MRP-25 )</t>
  </si>
  <si>
    <t>FBBBC01CSBIB028</t>
  </si>
  <si>
    <t>B.B Cashew Rs.20/-</t>
  </si>
  <si>
    <t>B.B Cashew -20</t>
  </si>
  <si>
    <t>FJUFGTRMJMJM037</t>
  </si>
  <si>
    <t>MANGO TREAT 600 ML X 24 PCS</t>
  </si>
  <si>
    <t>Treat Pet-600 ML</t>
  </si>
  <si>
    <t>FJUTRMJMJMJM019</t>
  </si>
  <si>
    <t>MANGO TREAT (12 X 1.2 LTR)</t>
  </si>
  <si>
    <t>Treat Pet-1.2 L</t>
  </si>
  <si>
    <t>FOTOTOTOTOTS454</t>
  </si>
  <si>
    <t>SHOKK KACHA AAM 220 X 12-JAR</t>
  </si>
  <si>
    <t>FBBDG01DGBIDG03</t>
  </si>
  <si>
    <t>DIGESTIVE 750 GM X 12 PKTS</t>
  </si>
  <si>
    <t>FCO0216COCOI033</t>
  </si>
  <si>
    <t>ITALIANO BUTTER 100 GM X 18 PKT</t>
  </si>
  <si>
    <t>Italiano-Butter</t>
  </si>
  <si>
    <t>FBBML01MRBIM251</t>
  </si>
  <si>
    <t>MARIE LITE ( 300 GM X 24 P.K.T)</t>
  </si>
  <si>
    <t>Marie Lite -F.P.</t>
  </si>
  <si>
    <t>FJUTRMJMJMJM057</t>
  </si>
  <si>
    <t>MANGO TREAT 400 ML X 24 PKT</t>
  </si>
  <si>
    <t>FOTOTOTOTOTN022</t>
  </si>
  <si>
    <t>NARIYAL BARFI COCONUT 200+20X12JAR</t>
  </si>
  <si>
    <t>NARIYAL BARFI - Jar</t>
  </si>
  <si>
    <t>FOTOTOTOTOTN021</t>
  </si>
  <si>
    <t>NARIYAL BARFI COCONUT 50PCSX36POUCH</t>
  </si>
  <si>
    <t>NARIYAL BARFI - Pouch</t>
  </si>
  <si>
    <t>FBBB401SNBIBG4H</t>
  </si>
  <si>
    <t>BIG GOLD 200 GM X 20 PKT</t>
  </si>
  <si>
    <t>Big Gold - F.P.</t>
  </si>
  <si>
    <t>FJUFGGJGJGJG001</t>
  </si>
  <si>
    <t>GUAVA FRESH GOLD (12 X 1 L)</t>
  </si>
  <si>
    <t>Fresh Gold (1Ltr)-Guava</t>
  </si>
  <si>
    <t>FJUFGOJOJOJO001</t>
  </si>
  <si>
    <t>ORANGE FRESH GOLD (12 X 1 L)</t>
  </si>
  <si>
    <t>Fresh Gold (1Ltr)-Orange</t>
  </si>
  <si>
    <t>FJUFGMDMDMDM003</t>
  </si>
  <si>
    <t>MIX FRUIT FRESH GOLD (12 X 1 L)</t>
  </si>
  <si>
    <t>Fresh Gold (1Ltr)-Mix Fruit</t>
  </si>
  <si>
    <t>FFGFG16OJPJP078</t>
  </si>
  <si>
    <t>POMEGRANATE FRESH GOLD (1LTR X 12 PCS)</t>
  </si>
  <si>
    <t>Fresh Gold (1Ltr)-Pomegranate</t>
  </si>
  <si>
    <t>FJUOT0TT8T8K006</t>
  </si>
  <si>
    <t>KAKTUS ENERGY DRINK 250 ML X 30 PCS</t>
  </si>
  <si>
    <t>FBBCN01CNBIC008</t>
  </si>
  <si>
    <t>C.N.C 40 GM (32g + 8g FREE) X 140 PKTS</t>
  </si>
  <si>
    <t>FOTOT0TOT0TH014</t>
  </si>
  <si>
    <t>HUNK CHO.CARAMAL 20.1-GMX20X24-POUCH</t>
  </si>
  <si>
    <t>FFJFJJUFGFGL018</t>
  </si>
  <si>
    <t>LITCHI FRESH GOLD ( 12 X 1 L )</t>
  </si>
  <si>
    <t>Fresh Gold (1Ltr)-Litchi</t>
  </si>
  <si>
    <t>FOTOT0TOT0TT032</t>
  </si>
  <si>
    <t>TOFFITO MANGO CREAM 50PCSX36-POUCH</t>
  </si>
  <si>
    <t>FBBML01MRBIM02G</t>
  </si>
  <si>
    <t>MARIE LITE 80 GM X 30 PKT</t>
  </si>
  <si>
    <t>FOTOTOTOTOTC616</t>
  </si>
  <si>
    <t>CHOCOGOLD FRUT &amp; NUT 30GM X 24X8 MRP25/-</t>
  </si>
  <si>
    <t>Chocogold Fruit &amp; Nuts- 20/-</t>
  </si>
  <si>
    <t>FOTOTOTOTOTE129</t>
  </si>
  <si>
    <t>ECLAIR JAMBO JAR 5GM X 700X6 MRP1/-</t>
  </si>
  <si>
    <t>clair-Big Jar</t>
  </si>
  <si>
    <t>FTOTOTOTOTOT006</t>
  </si>
  <si>
    <t>TOFFITO MILK CARAML JAR (200+20X12)</t>
  </si>
  <si>
    <t>TOFFITO Jar</t>
  </si>
  <si>
    <t>FOTOTOTOTOTT008</t>
  </si>
  <si>
    <t>TOFFITO STRAWBERRY JAR (200+20X12)</t>
  </si>
  <si>
    <t>FOTOT0TOT0TTO31</t>
  </si>
  <si>
    <t>TOFFITO MILK CARAMEL 50PCSX36-POUCH</t>
  </si>
  <si>
    <t>FOTOTOTOTOTS466</t>
  </si>
  <si>
    <t>SNAKKER COFFEE 50-PCS X 36-POUCH</t>
  </si>
  <si>
    <t>FOTOTOTOT0TT010</t>
  </si>
  <si>
    <t>TOFFITO MANGO CREAM JAR ( 200+20X12)</t>
  </si>
  <si>
    <t>FBBBP01BPBIB033</t>
  </si>
  <si>
    <t>BUTTER BITE BADAM PISTA 200 GM X 24 PKT</t>
  </si>
  <si>
    <t>FBBSC01SKBIS001</t>
  </si>
  <si>
    <t>Snakker Crme Rs.20/-</t>
  </si>
  <si>
    <t>Snakker Creme-.20/-</t>
  </si>
  <si>
    <t>FBBSN01SNBIS062</t>
  </si>
  <si>
    <t>SNACKS ZIG ZAG 350 GM X 12 PKT</t>
  </si>
  <si>
    <t>FBBML01MRBIM010</t>
  </si>
  <si>
    <t>MARIE LITE 300 GM X 24 PKT(MRP-65)</t>
  </si>
  <si>
    <t>FBBBB01BUBIB042</t>
  </si>
  <si>
    <t>BUTTER BITE 200 GM X 24 PKT( MRP-35 )</t>
  </si>
  <si>
    <t>Butter Bite -F.P.</t>
  </si>
  <si>
    <t>FBBCH01CHBIC004</t>
  </si>
  <si>
    <t>Classic Creme CHOCOLATE 74 GM X 40 P.K.T</t>
  </si>
  <si>
    <t>FBBOR01ORBIC015</t>
  </si>
  <si>
    <t>Classic Creme ORANGE BIS 74 GM X 40 PKT</t>
  </si>
  <si>
    <t>FOTOT0TOT0TE007</t>
  </si>
  <si>
    <t>ECLAIR POUCH (4.5GMX50PCSX30 PKT) 1/-</t>
  </si>
  <si>
    <t>FOTOT0TOT0TPA11</t>
  </si>
  <si>
    <t>PARTNER ORANGE 30X12 JAR 5/-</t>
  </si>
  <si>
    <t>FOTOT0TOT0TPA13</t>
  </si>
  <si>
    <t>PARTNER STRAWBERRY 30X12 JAR 5/-</t>
  </si>
  <si>
    <t>FBBPU01CHBIP011</t>
  </si>
  <si>
    <t>PUFF CHOCO SANDWICH 40 GM X 100 PKT</t>
  </si>
  <si>
    <t>FBBPU01STBIP001</t>
  </si>
  <si>
    <t>PUFF STAWBERRY SANDWICH 40 GM X 100 PKT</t>
  </si>
  <si>
    <t>FBBPU01CHBIP017</t>
  </si>
  <si>
    <t>PUFF STAWBERRY SANDWICH 80 GM X 40 PKT</t>
  </si>
  <si>
    <t>FBBSN01SNBIS080</t>
  </si>
  <si>
    <t>SNACKS 35 GM X 140 PKTS</t>
  </si>
  <si>
    <t>FCO0216COCOI027</t>
  </si>
  <si>
    <t>ITALIANO COCONUT 100 GM X 18 PKT</t>
  </si>
  <si>
    <t>Italiano-Coconut</t>
  </si>
  <si>
    <t>FBBB401SNBIB05G</t>
  </si>
  <si>
    <t>BIG GOLD 33 GM X 100 PKT</t>
  </si>
  <si>
    <t>FBBB401SNBIB4G5</t>
  </si>
  <si>
    <t>BIG GOLD 66 GM X 40 PKT</t>
  </si>
  <si>
    <t>FBBBU01BOBIB015</t>
  </si>
  <si>
    <t>BOURBON 65 GM X 60 PKTS (MRP-15)</t>
  </si>
  <si>
    <t>FBBBB01BUBIB037</t>
  </si>
  <si>
    <t>BUTTER BITE 520 GM X 12 PKTS</t>
  </si>
  <si>
    <t>FCO0216COCOI023</t>
  </si>
  <si>
    <t>ITALIANO CHOCOLATE 100 GM X24 PKT-MRP-65</t>
  </si>
  <si>
    <t>Italiano-Chocolate</t>
  </si>
  <si>
    <t>FBBBB01BUBIBB06</t>
  </si>
  <si>
    <t>BUTTER BITE 35 GM X 144 PKT</t>
  </si>
  <si>
    <t>FBBCA01CSBIC006</t>
  </si>
  <si>
    <t>Chatpatta Cashew/Jeera Rs.50</t>
  </si>
  <si>
    <t>FBBML01MRBIM009</t>
  </si>
  <si>
    <t>MARIE LITE BIS 55 GM X 80 P.K.T ( RAIL )</t>
  </si>
  <si>
    <t>RAIL</t>
  </si>
  <si>
    <t>FCO0216COCOI032</t>
  </si>
  <si>
    <t xml:space="preserve">ITALIANO CHOCOLATE 100 GM X 18 PKT </t>
  </si>
  <si>
    <t>FCPCK01C1C1SNC5</t>
  </si>
  <si>
    <t>SNAKKER CAKE Rs.5/-</t>
  </si>
  <si>
    <t>Snakker Cake- 5/-</t>
  </si>
  <si>
    <t>FOTOT0TOT0TS023</t>
  </si>
  <si>
    <t>SNAKKER 18.46 GM X 30 X 24 PKTS</t>
  </si>
  <si>
    <t>FBB1001BUBIB006</t>
  </si>
  <si>
    <t>BUTTER DELITE 350 GM X 12 PKT</t>
  </si>
  <si>
    <t>FBBCZ01CZBIC037</t>
  </si>
  <si>
    <t>CHEESE CRACKER 350 GM X 12 P.K.T</t>
  </si>
  <si>
    <t>FOTDG01OT0TD001</t>
  </si>
  <si>
    <t>DIGESTIVE BISCUIT- 200 GM X 48 PKT</t>
  </si>
  <si>
    <t>FBBCZ01CZBIC005</t>
  </si>
  <si>
    <t>CHEESE CRACKER 55 GM X 80 PKT</t>
  </si>
  <si>
    <t>FBBSN01SNBIS526</t>
  </si>
  <si>
    <t>SNACKS 75 GM X 160 PKT</t>
  </si>
  <si>
    <t>FBBBB01BUBIB030</t>
  </si>
  <si>
    <t>BUTTER BITE 100 GM X 60 PKT ( RAIL )</t>
  </si>
  <si>
    <t>FBB1001BUBIB005</t>
  </si>
  <si>
    <t>BUTTER DELITE 55 GM X 80 PKT</t>
  </si>
  <si>
    <t>FOTOT0TOT0TC010</t>
  </si>
  <si>
    <t>CHOCOGOLD FRUIT &amp; NUT MILK 30 X 24 X 24</t>
  </si>
  <si>
    <t>FBBPU01CHBIP019</t>
  </si>
  <si>
    <t>PUFF STAWBERRY SANDWICH 80 GM X 24 PKT</t>
  </si>
  <si>
    <t>FJUTRMJMJMJM055</t>
  </si>
  <si>
    <t>MANGO TREAT 200 ML X 30</t>
  </si>
  <si>
    <t>Treat-200 ML</t>
  </si>
  <si>
    <t>FBBBL01BUBIB015</t>
  </si>
  <si>
    <t>BUTTER LITE NAMKEEN JEERA 40 GM X120 PKT</t>
  </si>
  <si>
    <t>FBBCT01CTBIC008</t>
  </si>
  <si>
    <t>CRACKLE COCONUT 300 GM X 24 PKT-MRP-65</t>
  </si>
  <si>
    <t>FBBCC01CHBIC033</t>
  </si>
  <si>
    <t>Classic Creme CHOCOLATE 37 GM X 144 P.K.T</t>
  </si>
  <si>
    <t>FBBBC01BUBIB001</t>
  </si>
  <si>
    <t>B.B CASHEW 200 GM X 48 PKTS ( MAT )</t>
  </si>
  <si>
    <t>FBBCE01ELBIC015</t>
  </si>
  <si>
    <t>Classic Creme ELAICHI BIS 37 GM X 144 PKT</t>
  </si>
  <si>
    <t>FBBCS01CHBIC012</t>
  </si>
  <si>
    <t>CHOCO CHEKKERS 55 GM X 80 PKT</t>
  </si>
  <si>
    <t>FBB1001BUBIB2O2</t>
  </si>
  <si>
    <t>BUTTER DELITE 35 GM X 100 PKT</t>
  </si>
  <si>
    <t>FBB1001BUBIBJ25</t>
  </si>
  <si>
    <t>BUTTER DELITE 70 GM X 40 PKT</t>
  </si>
  <si>
    <t>FBBCC01CHBIC0.3</t>
  </si>
  <si>
    <t>CHOCO CHEKKERS 35 GM X 144 PKT</t>
  </si>
  <si>
    <t>FBBBP01BNBIB001</t>
  </si>
  <si>
    <t>B.B.BADAM PISTA 200 GM X 48 PKT ( MAT )</t>
  </si>
  <si>
    <t>FBBBU01BOBIB020</t>
  </si>
  <si>
    <t>BOURBON 110 GM X 30 PKT - MRP 30</t>
  </si>
  <si>
    <t>FBBBC01CSBIB594</t>
  </si>
  <si>
    <t>BUTTER BITE CASHEW 200 GM X 48 PKT</t>
  </si>
  <si>
    <t>CSD</t>
  </si>
  <si>
    <t>FBBCN01SNBIC639</t>
  </si>
  <si>
    <t>C.N. C. 75 GM X 160</t>
  </si>
  <si>
    <t>FBBCN01CNBIC037</t>
  </si>
  <si>
    <t>C.N.C 80 GM (64g + 16g FREE) X 30 PKTS</t>
  </si>
  <si>
    <t>FBBCN01CNBIC136</t>
  </si>
  <si>
    <t>C.N.C.150G + 30 G X 40 PKT BIG BAZAR</t>
  </si>
  <si>
    <t>FOTOT0TOT0TC127</t>
  </si>
  <si>
    <t>CHOCOGOLD PRE. MILK CHOCO 30 X 24 X 24</t>
  </si>
  <si>
    <t>FBBCT01CTBICR06</t>
  </si>
  <si>
    <t>CRACKLE COCONUT 300 GM X 24 PKT- MRP-60</t>
  </si>
  <si>
    <t>FCO0216COCOI021</t>
  </si>
  <si>
    <t>ITALIANO BUTTER 100 GM X 24 PKT-MRP-65</t>
  </si>
  <si>
    <t>FCO0216COCOI022</t>
  </si>
  <si>
    <t>ITALIANO COCONUT 100 GM X 24 PKT-MRP-65</t>
  </si>
  <si>
    <t>FJUTRMJMJMJM054</t>
  </si>
  <si>
    <t>MANGO TREAT 160 ML X 40 PKT</t>
  </si>
  <si>
    <t>FBBPU01CHBIP016</t>
  </si>
  <si>
    <t>PUFF TANGY LEMON 80 GM X 40 PKT</t>
  </si>
  <si>
    <t>FBBCO01ORBIC021</t>
  </si>
  <si>
    <t>Classic Creme ORANGE BIS 37 GM X 144 P.K.T</t>
  </si>
  <si>
    <t>FBBPU01CHBIP015</t>
  </si>
  <si>
    <t>PUFF CHOCO SANDWICH 80 GM X 40 PKT</t>
  </si>
  <si>
    <t>FBBPU01CHBIP014</t>
  </si>
  <si>
    <t>PUFF TANGY LEMON 40 GM X 100 PKT</t>
  </si>
  <si>
    <t>FJUTRMJMJMJM070</t>
  </si>
  <si>
    <t>MANGO TREAT 125 ML X 40 PCS</t>
  </si>
  <si>
    <t>Treat-125 ML</t>
  </si>
  <si>
    <t>FBBCN01CNBICZZ4</t>
  </si>
  <si>
    <t>C.N.C. 64 GM X 30 PKT</t>
  </si>
  <si>
    <t>FBBCZ01BUBIT002</t>
  </si>
  <si>
    <t>TOP CRACKER 70 GM X 40 PKT</t>
  </si>
  <si>
    <t>FBBCZ01BUBIT2H2</t>
  </si>
  <si>
    <t>TOP CRACKER 140 GM X 30 PKT</t>
  </si>
  <si>
    <t>FBBCZ01BUBITG5D</t>
  </si>
  <si>
    <t>TOP CRACKER 35 GM X 100 PKT</t>
  </si>
  <si>
    <t>FBBJT01JABIBLN5</t>
  </si>
  <si>
    <t xml:space="preserve">BUTTER LITE NAMKEEN JEERA 140 GM X 20 PK </t>
  </si>
  <si>
    <t>FBBNJ01BUBIB003</t>
  </si>
  <si>
    <t>BUTTER LITE NAMKEEN JEERA 40GMX100 PKT</t>
  </si>
  <si>
    <t>FBBCC01CHBIG4JH</t>
  </si>
  <si>
    <t>CHOCO CHEKKERS 140 GM X 20 PKT</t>
  </si>
  <si>
    <t>FOTOT0TOT0TS026</t>
  </si>
  <si>
    <t>SHOKK 4 GM X 50 PCS X 36 POUCH</t>
  </si>
  <si>
    <t>FOTOT0TOT0THU04</t>
  </si>
  <si>
    <t>HUNK CHOCO CARAMEL 20.1 GMX24-POUCH</t>
  </si>
  <si>
    <t>FBBSN01SNBIS137</t>
  </si>
  <si>
    <t>SNACKS 150 GM +30 GM X 40 PKT BIG BAZAR</t>
  </si>
  <si>
    <t>May</t>
  </si>
  <si>
    <t>FBBML01MRBIML05</t>
  </si>
  <si>
    <t>MARIE LITE 40 GM X 100 PKT</t>
  </si>
  <si>
    <t>FBBCC01CHBICZ04</t>
  </si>
  <si>
    <t>CHOCO CHEKKERS 40 GM X 100 PKT</t>
  </si>
  <si>
    <t>FBBML01MRBIM036</t>
  </si>
  <si>
    <t>MARIE LITE Jumbo Pack 400 GM X 12 PKT</t>
  </si>
  <si>
    <t>June</t>
  </si>
  <si>
    <t>July</t>
  </si>
  <si>
    <t>FBB1001BUBIB039</t>
  </si>
  <si>
    <t>Butter Delite Rs.35/-</t>
  </si>
  <si>
    <t>Butter Delite - F.P.</t>
  </si>
  <si>
    <t>FBBSN01BUBIC090</t>
  </si>
  <si>
    <t>CNC BISCUITS 80 GM X 70 PKT (J)</t>
  </si>
  <si>
    <t>FJUFGLJLJLJL002</t>
  </si>
  <si>
    <t>LITCHI FRESH GOLD (12 X 1 L)</t>
  </si>
  <si>
    <t>FOTOT0TOT0TS021</t>
  </si>
  <si>
    <t>SNAKKER CHOCO WITH WAFFERS 18.46 G X 720</t>
  </si>
  <si>
    <t>FBBBI01SNBIB009</t>
  </si>
  <si>
    <t>BIG GOLD 200 GM X 20 PKT ( MRP-35 )</t>
  </si>
  <si>
    <t>FBB1001BUBIB019</t>
  </si>
  <si>
    <t>BUTTER DELITE 200 GM X 20 PKT</t>
  </si>
  <si>
    <t>FBBML01MRBIML51</t>
  </si>
  <si>
    <t>MARIE LITE 300 GM X 16 PKT</t>
  </si>
  <si>
    <t>FBBNJ01BUBIBL06</t>
  </si>
  <si>
    <t>BUTTER LITE NAMKEEN JEERA 80 GM X 40PKT</t>
  </si>
  <si>
    <t>FBBML01MRBIM265</t>
  </si>
  <si>
    <t>MARIE LITE 230 GM X 20 PKTS</t>
  </si>
  <si>
    <t>FBBPU01BUBIPU01</t>
  </si>
  <si>
    <t>PUFF CHOCO SANDWICH 40GMX144PKT</t>
  </si>
  <si>
    <t>FBBPU01BUBIPS01</t>
  </si>
  <si>
    <t>PUFF STAWBERRY SANDWICH 40GMX144PKT</t>
  </si>
  <si>
    <t>FBBSN01SNBISZ01</t>
  </si>
  <si>
    <t>SNACKS 180 GM X 20 PKT</t>
  </si>
  <si>
    <t>FBBCZ01BUBIT0HH</t>
  </si>
  <si>
    <t>TOP CRACKER 200 GM X 20 PKT</t>
  </si>
  <si>
    <t>FBBCR01CRBIC3KL</t>
  </si>
  <si>
    <t>CREME CRACKER 300 GM X 16 PKT</t>
  </si>
  <si>
    <t>Crme Cracker - 45</t>
  </si>
  <si>
    <t>FBBPU01LMBIR9T6</t>
  </si>
  <si>
    <t>PUFF TANGY LEMON 40 GM X 144 PKT</t>
  </si>
  <si>
    <t>FBBCZ01CNBICK5K</t>
  </si>
  <si>
    <t>C.N.C 32 GM X 100 PKT</t>
  </si>
  <si>
    <t>FBBSN01SNBIS55D</t>
  </si>
  <si>
    <t>SNACKS 32 GM X 100 PKT</t>
  </si>
  <si>
    <t>August</t>
  </si>
  <si>
    <t>FOTOT0TOT0TSN12</t>
  </si>
  <si>
    <t>SNAKKER MINI-12 GM X25X24-POUCH</t>
  </si>
  <si>
    <t>FOTOT0TOT0TTO30</t>
  </si>
  <si>
    <t>TOFFITO STRAWB.50PCSX36-POUCH</t>
  </si>
  <si>
    <t>September</t>
  </si>
  <si>
    <t>October</t>
  </si>
  <si>
    <t>FBBCS01CHBIC013</t>
  </si>
  <si>
    <t>CHOCO CHEKKERS 350 GM X 12 P.K.T</t>
  </si>
  <si>
    <t>FBB2501CHBIC005</t>
  </si>
  <si>
    <t>CLUB CREME CHOCOLATE 350 GM X 12 PKT</t>
  </si>
  <si>
    <t>FBBCE01ELBIC042</t>
  </si>
  <si>
    <t>CLUB CREME ELAICHI BIS 350 GM X 12 PKT</t>
  </si>
  <si>
    <t>FBB2601ORBIC001</t>
  </si>
  <si>
    <t>CLUB CREME ORANGE 350 GM X 12 PKT</t>
  </si>
  <si>
    <t>FBBCN01CNBIC010</t>
  </si>
  <si>
    <t>C.N.C 350 GM X 12 PKT</t>
  </si>
  <si>
    <t>FOTOTOTOTOTT075</t>
  </si>
  <si>
    <t>TOFFITO MILK CARAMEL JAR (140 PCS)</t>
  </si>
  <si>
    <t>FBBPU01CHBIM001</t>
  </si>
  <si>
    <t>MAMBO CHOCO SANDWICH 80 GM X 60 PKT</t>
  </si>
  <si>
    <t>FBBMB01CHBIM003</t>
  </si>
  <si>
    <t>MAMBO STAWBERRY 80 GM X 60 PKT-(MRP-30 )</t>
  </si>
  <si>
    <t>FBBMB01LMBIM002</t>
  </si>
  <si>
    <t>MAMBO TANGY LEMON 80 GM X 60 PKT</t>
  </si>
  <si>
    <t>FBBCN01CNBIC002</t>
  </si>
  <si>
    <t>C.N.C 32-gmX144-pkt</t>
  </si>
  <si>
    <t>FBBSN01SNBIS3.D</t>
  </si>
  <si>
    <t>SNACKS 32 GM X 144 PKT</t>
  </si>
  <si>
    <t>FBBEL01ELBIC010</t>
  </si>
  <si>
    <t>Classic Creme ELAICHI BIS 74 GM X 40 PKT</t>
  </si>
  <si>
    <t>FBBSC01BUBIS002</t>
  </si>
  <si>
    <t>SNAKKER CREAM 100 X 30 PKT ( MRP-20 )</t>
  </si>
  <si>
    <t>FOTOTOTOTOTS338</t>
  </si>
  <si>
    <t>SNAKKER MINI -12-GM X 25 X 24-POUCH</t>
  </si>
  <si>
    <t>FBBNJ01BUBIBR6T</t>
  </si>
  <si>
    <t>BUTTER LITE NAMKEEN JEERA 35 GM X 144 P</t>
  </si>
  <si>
    <t>S.N.</t>
  </si>
  <si>
    <t>Group Name</t>
  </si>
  <si>
    <t>Division Name</t>
  </si>
  <si>
    <t>Category</t>
  </si>
  <si>
    <t>Conversion Ratio</t>
  </si>
  <si>
    <t>Sub Category</t>
  </si>
  <si>
    <t>MRP</t>
  </si>
  <si>
    <t>Billing Group</t>
  </si>
  <si>
    <t>Data</t>
  </si>
  <si>
    <t>Biscuits</t>
  </si>
  <si>
    <t>January</t>
  </si>
  <si>
    <t>February</t>
  </si>
  <si>
    <t>Family Pack</t>
  </si>
  <si>
    <t>March</t>
  </si>
  <si>
    <t>Big Gold</t>
  </si>
  <si>
    <t>December</t>
  </si>
  <si>
    <t>Bourbon</t>
  </si>
  <si>
    <t>FBBBB01BUBIB023</t>
  </si>
  <si>
    <t>BUTTER BITE 250 GM X 48 PKTS</t>
  </si>
  <si>
    <t>FBBBB01BUBIB008</t>
  </si>
  <si>
    <t>BUTTER BITE 250 GM X 48 PKTS ( MAT )</t>
  </si>
  <si>
    <t>Butter Bite</t>
  </si>
  <si>
    <t>FOT1001OT0TB001</t>
  </si>
  <si>
    <t>BUTTER DELIGHT - 500 GM X 24 PKT</t>
  </si>
  <si>
    <t>Jumbo Pack</t>
  </si>
  <si>
    <t>Butter Delite</t>
  </si>
  <si>
    <t>FBB1001BUBIBB01</t>
  </si>
  <si>
    <t>BUTTER DELITE 35 GM X 150 PKT</t>
  </si>
  <si>
    <t>BUTTER LITE NAMKEEN JEERA 140 GM X 20 PK</t>
  </si>
  <si>
    <t>B.L. Namkeen Jeera</t>
  </si>
  <si>
    <t>FBBNJ01BUBIBLN6</t>
  </si>
  <si>
    <t>BUTTER LITE NAMKEEN JEERA 140 GM X 30 PK</t>
  </si>
  <si>
    <t>FBBBL01JABIB025</t>
  </si>
  <si>
    <t>BUTTER LITE NAMKEEN JEERA 55 GM X 80 PKT</t>
  </si>
  <si>
    <t>C.N.C</t>
  </si>
  <si>
    <t>FBBCN01CNBIC007</t>
  </si>
  <si>
    <t>C.N.C 55 GM X 80 PKTS</t>
  </si>
  <si>
    <t>jar</t>
  </si>
  <si>
    <t>FBBCJ01JABICJT1</t>
  </si>
  <si>
    <t>CHATPATTA JEERA 200 GM X 30 PKT ( MRP 45</t>
  </si>
  <si>
    <t>Cheese Cracker</t>
  </si>
  <si>
    <t>FBBCZ01CZBIC015</t>
  </si>
  <si>
    <t>CHEESE CRACKER 200 GM X 48 PKTS1</t>
  </si>
  <si>
    <t>Cheese/ Top Cracker - F.P.</t>
  </si>
  <si>
    <t>FBBCZ01CZBIC078</t>
  </si>
  <si>
    <t>CHEESE CRACKER 200 GM X 48 PKTS-MRP-35</t>
  </si>
  <si>
    <t>FBBCB01CZBIC010</t>
  </si>
  <si>
    <t xml:space="preserve">CHEEZ BIT LOOSE 300 GM X 10 PKT (MRP-70) </t>
  </si>
  <si>
    <t>Loose Pouch</t>
  </si>
  <si>
    <t>FBBCB01CZBIC001</t>
  </si>
  <si>
    <t>CHEEZ BIT( 150 GM X 30 PKTS ) JAR C.S.D</t>
  </si>
  <si>
    <t>Choco Chekkers</t>
  </si>
  <si>
    <t>FBBCH01CHBIC003</t>
  </si>
  <si>
    <t>Classic Creme CHOCOLATE 37 GM X 100 P.K.T</t>
  </si>
  <si>
    <t>FBB2501CHBIC001</t>
  </si>
  <si>
    <t>CLUB CREME CHOCOLATE 74 GM X 60 PKT</t>
  </si>
  <si>
    <t>FBBCO01ORBIC022</t>
  </si>
  <si>
    <t>CLUB CREME ORANGE 74 GM X 60 PKT</t>
  </si>
  <si>
    <t>Crme Cracker</t>
  </si>
  <si>
    <t>FBBCR01CZBIC001</t>
  </si>
  <si>
    <t>CREME CRACKER 300 GM X 16 PKT1</t>
  </si>
  <si>
    <t>FGGGV01GLBIG003</t>
  </si>
  <si>
    <t>GLUCOSE V 75 GM X 200 PKTS</t>
  </si>
  <si>
    <t>FBBMB01CHBIM002</t>
  </si>
  <si>
    <t>MAMBO CHOCO SAND.80 GM X 60 PKT-(MRP-30)</t>
  </si>
  <si>
    <t>FBBMB01CHBIM001</t>
  </si>
  <si>
    <t>MAMBO STAWBERRY SANDWICH 80 GM X 60 PKT</t>
  </si>
  <si>
    <t>Marie Lite</t>
  </si>
  <si>
    <t>FBBML01MRBIML09</t>
  </si>
  <si>
    <t>MARIE LITE 250 GM X 48 PKT ( NEW )</t>
  </si>
  <si>
    <t>FKBML01MRBIM216</t>
  </si>
  <si>
    <t>MARIE LITE 250 GM X 48 PKTS</t>
  </si>
  <si>
    <t>FBBML01MRBIM005</t>
  </si>
  <si>
    <t>MARIE LITE 300 GM X 24 PKT( MRP - 60 )</t>
  </si>
  <si>
    <t>FBBML01MRBIM007</t>
  </si>
  <si>
    <t>Marie Lite Rs.35/-</t>
  </si>
  <si>
    <t>FBBML01MRBIML02</t>
  </si>
  <si>
    <t>Marie Lite Rs.45/-</t>
  </si>
  <si>
    <t>FBBPU01CHBIP018</t>
  </si>
  <si>
    <t>PUFF CHOCO SANDWICH 40 GM X 144 PKT</t>
  </si>
  <si>
    <t>Puffs</t>
  </si>
  <si>
    <t>FBBPU01CHBIP020</t>
  </si>
  <si>
    <t>PUFF CHOCO SANDWICH 80 GM X 24 PKT</t>
  </si>
  <si>
    <t>Snacks</t>
  </si>
  <si>
    <t>FBBSN01SNBIS031</t>
  </si>
  <si>
    <t>SNACKS 75 GM X 160 PKT ( MRP-12 )</t>
  </si>
  <si>
    <t>FBBSN01SNBIS046</t>
  </si>
  <si>
    <t>SNACKS ZIG ZAG 55 GM X 80 PKT</t>
  </si>
  <si>
    <t>Snakker</t>
  </si>
  <si>
    <t>Top Creaker</t>
  </si>
  <si>
    <t>TETRAPACK</t>
  </si>
  <si>
    <t>juice</t>
  </si>
  <si>
    <t>FFGFGAJAJAJF108</t>
  </si>
  <si>
    <t>FRESH GOLD APPLE BEV. (12 X 1 LTR ) CSD</t>
  </si>
  <si>
    <t>Fresh Gold (1Ltr)-Apple</t>
  </si>
  <si>
    <t>FJUJUMXMDMDG038</t>
  </si>
  <si>
    <t>GUAVA 200 ML X30 PC</t>
  </si>
  <si>
    <t>Juice</t>
  </si>
  <si>
    <t>PET BOTTLE</t>
  </si>
  <si>
    <t>FJUJUMXMDMDM144</t>
  </si>
  <si>
    <t>MANGO TREAT 1200 ML X 12 PKT</t>
  </si>
  <si>
    <t>cookies</t>
  </si>
  <si>
    <t>Cake</t>
  </si>
  <si>
    <t>FCP20CPC1C1MC01</t>
  </si>
  <si>
    <t>MAGIC FRUIT CAKE 75 GM X 168 PKT( MRP-20</t>
  </si>
  <si>
    <t>Magic Cake- 20/-</t>
  </si>
  <si>
    <t>MAGIC FRUIT CAKE 150 GM X 84 PKT- RS 40</t>
  </si>
  <si>
    <t>BOX</t>
  </si>
  <si>
    <t>Conf.</t>
  </si>
  <si>
    <t>FOTOT0TOT0TV001</t>
  </si>
  <si>
    <t>VALENCIA F&amp;N CHOCOLATE 60 GM X12 PC 90/-</t>
  </si>
  <si>
    <t>FOTOT0T0TOTS001</t>
  </si>
  <si>
    <t>SNAKKER POUCH 144GMX24PKT MRP-100</t>
  </si>
  <si>
    <t>Bottle</t>
  </si>
  <si>
    <t>FCPMCCPC1C1M237</t>
  </si>
  <si>
    <t>Magic Cake - CHOCOLATE &amp; FRUIT Cake 75 gm</t>
  </si>
  <si>
    <t>ITALIANO CHOCOLATE 100 GM X 18 PKT</t>
  </si>
  <si>
    <t>FFGFGMDMDMDM069</t>
  </si>
  <si>
    <t>FRESH GOLD 1 Ltr-MIX FRUIT</t>
  </si>
  <si>
    <t>FFGFGOJOJOJO073</t>
  </si>
  <si>
    <t>FRESH GOLD 1 Ltr - ORANGE</t>
  </si>
  <si>
    <t>FFJOTJUFGFGF001</t>
  </si>
  <si>
    <t>FRESHGOLD APPLE BEVERAGE 1 LTR X 12 PCS</t>
  </si>
  <si>
    <t>FFJOTJUFGFGF002</t>
  </si>
  <si>
    <t>FRESHGOLD GUAVA BEVERAGE 1 LTR X 12 PCS</t>
  </si>
  <si>
    <t>FFJOTJUFGFGF003</t>
  </si>
  <si>
    <t>FRESHGOLD LITCHI BEVERAGE 1 LTR X 12 PC</t>
  </si>
  <si>
    <t>FFJOTJUFGFGF004</t>
  </si>
  <si>
    <t>FRESHGOLD MIX FRUIT BEVERAGE 1LTRX12 PCS</t>
  </si>
  <si>
    <t>FFJOTJUFGFGF005</t>
  </si>
  <si>
    <t>FRESHGOLD ORANGE BEVERAGE 1 LTR X 12 PCS</t>
  </si>
  <si>
    <t>FFJFJJUFGFGG004</t>
  </si>
  <si>
    <t>GUAVA FRESH GOLD ( 12 X 1 LTR )</t>
  </si>
  <si>
    <t>FFJFJJUFGFGM004</t>
  </si>
  <si>
    <t>MANGO TREAT PET BOTTLE 2 LTR X 6 BOTTLE</t>
  </si>
  <si>
    <t>FFJFJJUFGFGMT01</t>
  </si>
  <si>
    <t>MANGO TREAT PET BOTTLE 600 ML X 24</t>
  </si>
  <si>
    <t>FFJFJJUFGFGM009</t>
  </si>
  <si>
    <t>MIX FRUIT FRESH GOLD ( 12 X 1 LTR )</t>
  </si>
  <si>
    <t>FFJFJJUFGFGO001</t>
  </si>
  <si>
    <t>ORANGE FRESH GOLD ( 12 X 1 LTR )</t>
  </si>
  <si>
    <t>FFJFJ0TFGFGP001</t>
  </si>
  <si>
    <t>POMEGRANATE FRESHGOLD ( 12 X 1 LTR</t>
  </si>
  <si>
    <t>FOTOT0TOT0TV002</t>
  </si>
  <si>
    <t>VALENCIA PREMIUM MILK CHOCO.60 GM X12PC</t>
  </si>
  <si>
    <t>FFGFGFRGJGJG036</t>
  </si>
  <si>
    <t>GUAVA FRESH GOLD ( 12X1 L ) CSD</t>
  </si>
  <si>
    <t>FFGFGLJLJLJL033</t>
  </si>
  <si>
    <t>LITCHI FRESH GOLD (12 X 1 L) CSD</t>
  </si>
  <si>
    <t>FOTOTOTOTOTH049</t>
  </si>
  <si>
    <t>HUNK CHO. CARAMAL20.1-GM X 20 X 24-POUCH</t>
  </si>
  <si>
    <t>FOTOTOTOTOTC608</t>
  </si>
  <si>
    <t>CHOCOGOLD FRUTI &amp; NUT MILK CHO.30X24X24 (CSD)</t>
  </si>
  <si>
    <t>FOTOTOTOTOTC593</t>
  </si>
  <si>
    <t>CHOCOGOLD PRIMUIM MILK CHO. 30X24X24 (CSD)</t>
  </si>
  <si>
    <t>FOT050T0TOTC002</t>
  </si>
  <si>
    <t>Choco.Valencia Prem Milk Choco 30Gm24X24</t>
  </si>
  <si>
    <t>FOT050T0TOTC001</t>
  </si>
  <si>
    <t>Choco.Valencia Fruit, Nut Choco 30Gm24X24</t>
  </si>
  <si>
    <t>FBBBP01BNBIB597</t>
  </si>
  <si>
    <t>BUTTER BITE BADAM PISTA 200 X 48 PKT</t>
  </si>
  <si>
    <t>FBBBP01BPBIB020</t>
  </si>
  <si>
    <t>BUTTER BITE BADAM PISTA 520 GM X 12 PKT</t>
  </si>
  <si>
    <t>FBBBC01CSBIB002</t>
  </si>
  <si>
    <t>BUTTER BITE CASHEW 520 GM X 12 PKTS</t>
  </si>
  <si>
    <t>FBBBL01BUBIB029</t>
  </si>
  <si>
    <t>BUTTER LITE NAMKEEN JEERA 350 GM X 12PKT</t>
  </si>
  <si>
    <t>FBBCZ01CZBIC022</t>
  </si>
  <si>
    <t>CHEESE CRACKER 200 GM X 48 PKTS</t>
  </si>
  <si>
    <t>Crackle Coconut</t>
  </si>
  <si>
    <t>FCO0216COCOW35E</t>
  </si>
  <si>
    <t>TROJAN DELITE 22 GM X 24 PKT X 30 UNIT</t>
  </si>
  <si>
    <t>MARIE LITE BIS 80 GM X 40 P.K.T</t>
  </si>
  <si>
    <t>Part_2</t>
  </si>
  <si>
    <t>Part_1</t>
  </si>
  <si>
    <t>FBBML01MRBIRTT</t>
  </si>
  <si>
    <t>FOTOT0TOT0TS044</t>
  </si>
  <si>
    <t>SNAKKER CHOCO WITH WAFFER 3 /- JAR 12 GM</t>
  </si>
  <si>
    <t>Fin. Year</t>
  </si>
  <si>
    <t>2024 - 25</t>
  </si>
  <si>
    <r>
      <rPr>
        <sz val="11"/>
        <color rgb="FF1F1F1F"/>
        <rFont val="Calibri"/>
        <family val="2"/>
        <scheme val="minor"/>
      </rPr>
      <t>F.P.</t>
    </r>
  </si>
  <si>
    <t>Chai Biscuit</t>
  </si>
  <si>
    <t>Milky Brust</t>
  </si>
  <si>
    <t>Puff Creme</t>
  </si>
  <si>
    <t>Stawberry</t>
  </si>
  <si>
    <t>F.P.</t>
  </si>
  <si>
    <t>Loose</t>
  </si>
  <si>
    <t>Cheez Bit</t>
  </si>
  <si>
    <t>Chatpatta Cashew</t>
  </si>
  <si>
    <t>Chatpatta Zeera Top</t>
  </si>
  <si>
    <t>Kickker</t>
  </si>
  <si>
    <t>Straw.</t>
  </si>
  <si>
    <t>₹ 35 x 30</t>
  </si>
  <si>
    <t>₹ 5 x 140</t>
  </si>
  <si>
    <t>₹ 10 x 60</t>
  </si>
  <si>
    <t>₹ 20 x 30</t>
  </si>
  <si>
    <t>₹ 35 x 20</t>
  </si>
  <si>
    <t>₹ 45 x 24</t>
  </si>
  <si>
    <t>₹ 10 x 72</t>
  </si>
  <si>
    <t>₹ 5 x 120</t>
  </si>
  <si>
    <t>₹ 5 x 150</t>
  </si>
  <si>
    <t>₹ 10 x 40</t>
  </si>
  <si>
    <t>₹ 45 x 16</t>
  </si>
  <si>
    <t>₹ 10 x 70</t>
  </si>
  <si>
    <t>₹ 50 x 30</t>
  </si>
  <si>
    <t>₹ 70 x 10</t>
  </si>
  <si>
    <t xml:space="preserve">₹   x 20 </t>
  </si>
  <si>
    <t>₹    x 20</t>
  </si>
  <si>
    <t>FOTOT0T0TOTH001</t>
  </si>
  <si>
    <t>HUNK POUCH 221.1 GM X 24 PKT MRP-150/-</t>
  </si>
  <si>
    <t>125 x 40</t>
  </si>
  <si>
    <t>75 x 168</t>
  </si>
  <si>
    <t>150 x 84</t>
  </si>
  <si>
    <t>150 x 9</t>
  </si>
  <si>
    <t>700 x 6</t>
  </si>
  <si>
    <t xml:space="preserve">
Milk Caramel
</t>
  </si>
  <si>
    <t>₹5 x 720</t>
  </si>
  <si>
    <t>₹  20 x 35</t>
  </si>
  <si>
    <t>₹ 20 x 35</t>
  </si>
  <si>
    <r>
      <rPr>
        <b/>
        <sz val="12"/>
        <color rgb="FF1F1F1F"/>
        <rFont val="Calibri"/>
        <family val="2"/>
        <scheme val="minor"/>
      </rPr>
      <t>Receive</t>
    </r>
  </si>
  <si>
    <r>
      <rPr>
        <b/>
        <sz val="12"/>
        <color rgb="FF1F1F1F"/>
        <rFont val="Calibri"/>
        <family val="2"/>
        <scheme val="minor"/>
      </rPr>
      <t>Total</t>
    </r>
  </si>
  <si>
    <r>
      <rPr>
        <b/>
        <sz val="12"/>
        <color rgb="FF1F1F1F"/>
        <rFont val="Calibri"/>
        <family val="2"/>
        <scheme val="minor"/>
      </rPr>
      <t>Sale</t>
    </r>
  </si>
  <si>
    <t>₹      x 20</t>
  </si>
  <si>
    <t>Treat Pet Bottle - Mango</t>
  </si>
  <si>
    <t>Treat Tetra Pack - Mango</t>
  </si>
  <si>
    <t>₹   x Pcs.</t>
  </si>
  <si>
    <t>FRESHGOLD</t>
  </si>
  <si>
    <t>Chatpata Zeera - 50</t>
  </si>
  <si>
    <t>Chatpata Cashew - 50</t>
  </si>
  <si>
    <t>Cheez Bit - LOOSE - 70</t>
  </si>
  <si>
    <t>month</t>
  </si>
  <si>
    <t>Other-Other</t>
  </si>
  <si>
    <t>Other-Bis</t>
  </si>
  <si>
    <t>Monthly Target</t>
  </si>
  <si>
    <t>2 Week Target</t>
  </si>
  <si>
    <t>1 Week Target</t>
  </si>
  <si>
    <t>3 Week Target</t>
  </si>
  <si>
    <t>10 x 120</t>
  </si>
  <si>
    <t>Chatpatta Jeera - 50</t>
  </si>
  <si>
    <t>ACUSDB0039</t>
  </si>
  <si>
    <t>BHARAT TRADERS</t>
  </si>
  <si>
    <t>Brand</t>
  </si>
  <si>
    <t>FBB1601MLBIM001</t>
  </si>
  <si>
    <t>MILKY BRUST 35 GM X 150 PKT</t>
  </si>
  <si>
    <t>Milky Brust - Rs. 5</t>
  </si>
  <si>
    <t>FBB1601MLBIM002</t>
  </si>
  <si>
    <t>MILKY BRUST 70 GM X 60 PKT</t>
  </si>
  <si>
    <t>Milky Brust - Rs. 10</t>
  </si>
  <si>
    <t>MILKY BRUST 140 GM X 30 PKT</t>
  </si>
  <si>
    <t>Milky Brust - Rs. 20</t>
  </si>
  <si>
    <t>BUTTER DELITE 60 GM X 80 PKT</t>
  </si>
  <si>
    <t>CHEEZ BIT LOOSE 300 GM X 10 PKT (MRP-70)</t>
  </si>
  <si>
    <t>ASSORTED BIG 1 KG+404 GM X 8 PKT-MRP-325</t>
  </si>
  <si>
    <t>Gift Pack - Big</t>
  </si>
  <si>
    <t>ASSORTED MEDIUM 1.164 KG X10 PKT MRP-235</t>
  </si>
  <si>
    <t>Gift Pack - Medium</t>
  </si>
  <si>
    <t>ASSORTED SMALL 734 GM X 12 PKT -MRP-165</t>
  </si>
  <si>
    <t>Gift Pack - Small</t>
  </si>
  <si>
    <t>ASSO.PRE GOLDEN 1.230 KG X 8PKT- MRP-350</t>
  </si>
  <si>
    <t>Gift Pack - Premium</t>
  </si>
  <si>
    <t>FNON1N2N2N1T080</t>
  </si>
  <si>
    <t>TOM TOM MASALA INSTANT NOODLES 70 GM</t>
  </si>
  <si>
    <t>Tom Tom Rs. 10</t>
  </si>
  <si>
    <t>Noodle</t>
  </si>
  <si>
    <t>Others</t>
  </si>
  <si>
    <t>TOM TOM</t>
  </si>
  <si>
    <t>Maharashtra</t>
  </si>
  <si>
    <t>Big Gold-.5/-</t>
  </si>
  <si>
    <t>Big Gold-.10/-</t>
  </si>
  <si>
    <t>Milky Brust-.5/-</t>
  </si>
  <si>
    <t>Milky Brust-.10/-</t>
  </si>
  <si>
    <t>Milky Brust-.20/-</t>
  </si>
  <si>
    <t>Jeera Gold</t>
  </si>
  <si>
    <t>30 x 12</t>
  </si>
  <si>
    <t>50 x 30</t>
  </si>
  <si>
    <t>50 x 36</t>
  </si>
  <si>
    <t>s</t>
  </si>
  <si>
    <t>NA</t>
  </si>
  <si>
    <t>Target</t>
  </si>
  <si>
    <t>Purchase Diff.</t>
  </si>
  <si>
    <t>Purchase Commitment</t>
  </si>
  <si>
    <t>Sale Diff.</t>
  </si>
  <si>
    <t>Sale Commitment</t>
  </si>
  <si>
    <t>SS Name :</t>
  </si>
  <si>
    <t>Town :</t>
  </si>
  <si>
    <r>
      <rPr>
        <b/>
        <sz val="11"/>
        <color rgb="FF1F1F1F"/>
        <rFont val="Arial MT"/>
      </rPr>
      <t>Receive</t>
    </r>
  </si>
  <si>
    <r>
      <rPr>
        <b/>
        <sz val="11"/>
        <color rgb="FF1F1F1F"/>
        <rFont val="Arial MT"/>
      </rPr>
      <t>Total</t>
    </r>
  </si>
  <si>
    <r>
      <rPr>
        <b/>
        <sz val="11"/>
        <color rgb="FF1F1F1F"/>
        <rFont val="Arial MT"/>
      </rPr>
      <t>Sale</t>
    </r>
  </si>
  <si>
    <t>Distributer :</t>
  </si>
  <si>
    <t xml:space="preserve">Town : </t>
  </si>
  <si>
    <r>
      <rPr>
        <sz val="11"/>
        <color rgb="FF1F1F1F"/>
        <rFont val="Calibri"/>
        <family val="2"/>
        <scheme val="minor"/>
      </rPr>
      <t>Butter Bite</t>
    </r>
  </si>
  <si>
    <r>
      <rPr>
        <sz val="11"/>
        <color rgb="FF1F1F1F"/>
        <rFont val="Calibri"/>
        <family val="2"/>
        <scheme val="minor"/>
      </rPr>
      <t>Butter Bite Cashew</t>
    </r>
  </si>
  <si>
    <r>
      <rPr>
        <sz val="11"/>
        <color rgb="FF1F1F1F"/>
        <rFont val="Calibri"/>
        <family val="2"/>
        <scheme val="minor"/>
      </rPr>
      <t>Coconut Crunch</t>
    </r>
  </si>
  <si>
    <r>
      <rPr>
        <sz val="11"/>
        <color rgb="FF1F1F1F"/>
        <rFont val="Calibri"/>
        <family val="2"/>
        <scheme val="minor"/>
      </rPr>
      <t>Snakker Creme</t>
    </r>
  </si>
  <si>
    <r>
      <rPr>
        <sz val="11"/>
        <color rgb="FF1F1F1F"/>
        <rFont val="Calibri"/>
        <family val="2"/>
        <scheme val="minor"/>
      </rPr>
      <t>Bourbon</t>
    </r>
  </si>
  <si>
    <r>
      <rPr>
        <sz val="10"/>
        <color rgb="FF1F1F1F"/>
        <rFont val="Calibri"/>
        <family val="2"/>
        <scheme val="minor"/>
      </rPr>
      <t>Orange</t>
    </r>
  </si>
  <si>
    <r>
      <rPr>
        <sz val="10"/>
        <color rgb="FF1F1F1F"/>
        <rFont val="Calibri"/>
        <family val="2"/>
        <scheme val="minor"/>
      </rPr>
      <t>Elaichi</t>
    </r>
  </si>
  <si>
    <r>
      <rPr>
        <sz val="10"/>
        <color rgb="FF1F1F1F"/>
        <rFont val="Calibri"/>
        <family val="2"/>
        <scheme val="minor"/>
      </rPr>
      <t>Ch.Vanilla</t>
    </r>
  </si>
  <si>
    <r>
      <rPr>
        <sz val="10"/>
        <color rgb="FF1F1F1F"/>
        <rFont val="Calibri"/>
        <family val="2"/>
        <scheme val="minor"/>
      </rPr>
      <t>Lemon Tangy</t>
    </r>
  </si>
  <si>
    <r>
      <rPr>
        <sz val="11"/>
        <color rgb="FF1F1F1F"/>
        <rFont val="Calibri"/>
        <family val="2"/>
        <scheme val="minor"/>
      </rPr>
      <t>Marie Lite</t>
    </r>
  </si>
  <si>
    <r>
      <rPr>
        <sz val="11"/>
        <color rgb="FF1F1F1F"/>
        <rFont val="Calibri"/>
        <family val="2"/>
        <scheme val="minor"/>
      </rPr>
      <t>C.N.C.</t>
    </r>
  </si>
  <si>
    <r>
      <rPr>
        <sz val="11"/>
        <color rgb="FF1F1F1F"/>
        <rFont val="Calibri"/>
        <family val="2"/>
        <scheme val="minor"/>
      </rPr>
      <t>Butter Delite</t>
    </r>
  </si>
  <si>
    <r>
      <rPr>
        <sz val="11"/>
        <color rgb="FF1F1F1F"/>
        <rFont val="Calibri"/>
        <family val="2"/>
        <scheme val="minor"/>
      </rPr>
      <t>Cheese/ Top Cracker</t>
    </r>
  </si>
  <si>
    <r>
      <rPr>
        <b/>
        <sz val="12"/>
        <color rgb="FF1F1F1F"/>
        <rFont val="Calibri"/>
        <family val="2"/>
        <scheme val="minor"/>
      </rPr>
      <t>Total C.B</t>
    </r>
  </si>
  <si>
    <t>Chooo 
Chekkers</t>
  </si>
  <si>
    <t>S No</t>
  </si>
  <si>
    <t>STATE NAME</t>
  </si>
  <si>
    <t>ASM Name</t>
  </si>
  <si>
    <t>SS Code</t>
  </si>
  <si>
    <t>SS NAME</t>
  </si>
  <si>
    <t>SS TOWN</t>
  </si>
  <si>
    <t>Dist. Code</t>
  </si>
  <si>
    <t>Dealer Name (As Per GST)</t>
  </si>
  <si>
    <t>District Name</t>
  </si>
  <si>
    <t>Town Name</t>
  </si>
  <si>
    <t>Distance KM's From SS Point</t>
  </si>
  <si>
    <t>DB GST Number</t>
  </si>
  <si>
    <t>DB Contact Person Name</t>
  </si>
  <si>
    <t>DB Contact Person Mob Number</t>
  </si>
  <si>
    <t>DB Complete Postal Address</t>
  </si>
  <si>
    <t>DB PIN Code</t>
  </si>
  <si>
    <t>DB Email ID</t>
  </si>
  <si>
    <t>DB Status</t>
  </si>
  <si>
    <t>SR Name</t>
  </si>
  <si>
    <t>Cross Checking</t>
  </si>
  <si>
    <t>Bis. Target</t>
  </si>
  <si>
    <t>Conf. Target</t>
  </si>
  <si>
    <t>Noodle  Traget</t>
  </si>
  <si>
    <t>Total Target</t>
  </si>
  <si>
    <t xml:space="preserve">Bis. Target  </t>
  </si>
  <si>
    <t>Bis. Apr</t>
  </si>
  <si>
    <t>Bis. May</t>
  </si>
  <si>
    <t>Bis. Jun</t>
  </si>
  <si>
    <t>Bis. Jul</t>
  </si>
  <si>
    <t>Bis. Aug</t>
  </si>
  <si>
    <t>Bis. Sep</t>
  </si>
  <si>
    <t>Bis. Oct</t>
  </si>
  <si>
    <t>Bis. Nov</t>
  </si>
  <si>
    <t>Bis. Dec</t>
  </si>
  <si>
    <t>Bis. Jan</t>
  </si>
  <si>
    <t>Bis. Feb</t>
  </si>
  <si>
    <t>Bis. Mar</t>
  </si>
  <si>
    <t xml:space="preserve">Conf. Target  </t>
  </si>
  <si>
    <t>Conf. Apr</t>
  </si>
  <si>
    <t>Conf. May</t>
  </si>
  <si>
    <t>Conf. Jun</t>
  </si>
  <si>
    <t>Conf. Jul</t>
  </si>
  <si>
    <t>Conf. Aug</t>
  </si>
  <si>
    <t>Conf. Sep</t>
  </si>
  <si>
    <t>Conf. Oct</t>
  </si>
  <si>
    <t>Conf. Nov</t>
  </si>
  <si>
    <t>Conf. Dec</t>
  </si>
  <si>
    <t>Conf. Jan</t>
  </si>
  <si>
    <t>Conf. Feb</t>
  </si>
  <si>
    <t>Conf. Mar</t>
  </si>
  <si>
    <t xml:space="preserve">Juice Target  </t>
  </si>
  <si>
    <t>Juice Apr</t>
  </si>
  <si>
    <t>Juice May</t>
  </si>
  <si>
    <t>Juice Jun</t>
  </si>
  <si>
    <t>Juice Jul</t>
  </si>
  <si>
    <t>Juice Aug</t>
  </si>
  <si>
    <t>Juice Sep</t>
  </si>
  <si>
    <t>Juice Oct</t>
  </si>
  <si>
    <t>Juice Nov</t>
  </si>
  <si>
    <t>Juice Dec</t>
  </si>
  <si>
    <t>Juice Jan</t>
  </si>
  <si>
    <t>Juice Feb</t>
  </si>
  <si>
    <t>Juice Mar</t>
  </si>
  <si>
    <t>Noodles. Target</t>
  </si>
  <si>
    <t>Noodle Nov</t>
  </si>
  <si>
    <t>Noodle Dec</t>
  </si>
  <si>
    <t>Noodle Jan</t>
  </si>
  <si>
    <t>Noodle Feb</t>
  </si>
  <si>
    <t>Noodle Mar</t>
  </si>
  <si>
    <t>AMIT PATIL</t>
  </si>
  <si>
    <t>ACUSDSS002</t>
  </si>
  <si>
    <t>TIRUPATI AGENCIES</t>
  </si>
  <si>
    <t>Sangli</t>
  </si>
  <si>
    <t>DLR00000000173678</t>
  </si>
  <si>
    <t>ATUL AGENCY</t>
  </si>
  <si>
    <t>SANGLI</t>
  </si>
  <si>
    <t>VITA</t>
  </si>
  <si>
    <t>27BCUPN0136E1ZX</t>
  </si>
  <si>
    <t>ATUL NIVALE</t>
  </si>
  <si>
    <t>AT POST SIDARTH  BD NEAR LINGDEVROAD VITA.</t>
  </si>
  <si>
    <t>ATULNIVALE123qGAMIL.COM</t>
  </si>
  <si>
    <t>ACTIVE</t>
  </si>
  <si>
    <t>VACANT</t>
  </si>
  <si>
    <t> </t>
  </si>
  <si>
    <t>DLR00000000173679</t>
  </si>
  <si>
    <t>Bhairavnath Sweets Coldrinks  Marketing Atapadi</t>
  </si>
  <si>
    <t>Active</t>
  </si>
  <si>
    <t>DLR00000000173665</t>
  </si>
  <si>
    <t>GOPI AGENCY</t>
  </si>
  <si>
    <t>JATH</t>
  </si>
  <si>
    <t>NO</t>
  </si>
  <si>
    <t>CHANDRAKANT NIMBALKAR</t>
  </si>
  <si>
    <t>NEAR STONE BRIDGE AT POST JATH WARD NO.2</t>
  </si>
  <si>
    <t>CHANDRAKANTNIMBALKAR509@GMAIL.COM</t>
  </si>
  <si>
    <t>DLR00000000173664</t>
  </si>
  <si>
    <t>GOURANSH ENTERPRISES</t>
  </si>
  <si>
    <t>ASTHA</t>
  </si>
  <si>
    <t>SACHIN SAKPAL</t>
  </si>
  <si>
    <t>NEAR BSNL OFFICE TASGAON ROAD ASTHA</t>
  </si>
  <si>
    <t>SACHINSSAPKAL@GMAIL.COM</t>
  </si>
  <si>
    <t>DLR00000000173666</t>
  </si>
  <si>
    <t>GURUKRUPA AGENCY</t>
  </si>
  <si>
    <t>WADOLI BHIKESHWAR</t>
  </si>
  <si>
    <t>HARISHCHNDRA KUMBAHR</t>
  </si>
  <si>
    <t>AT POST WADOLI BHIKESHWAR MASUR ROAD.KARAD</t>
  </si>
  <si>
    <t>DLR00000000173685</t>
  </si>
  <si>
    <t>GURUKRUPA TRADERS</t>
  </si>
  <si>
    <t>SAMDOLI</t>
  </si>
  <si>
    <t>DATTATRAY MASKAR</t>
  </si>
  <si>
    <t xml:space="preserve">ATP.SAMDOLI TAL.MIRAJ </t>
  </si>
  <si>
    <t>DLR00000000173667</t>
  </si>
  <si>
    <t>Haripriya Agencies Subhashnagar</t>
  </si>
  <si>
    <t>DLR00000000173673</t>
  </si>
  <si>
    <t>LAWANGE ENTERPRISES</t>
  </si>
  <si>
    <t>MIRAJ</t>
  </si>
  <si>
    <t>MUDDASAR LAWANGE</t>
  </si>
  <si>
    <t>GURUWAR PETH MIRAJ</t>
  </si>
  <si>
    <t>LAWANGEENTERPRISES@GMAIL.COM</t>
  </si>
  <si>
    <t>DLR00000000173660</t>
  </si>
  <si>
    <t>MATOSHRI AGENCIES</t>
  </si>
  <si>
    <t>27BADPB4256K2ZQ</t>
  </si>
  <si>
    <t>SANTOSH BELGAVE</t>
  </si>
  <si>
    <t>KADAM PLOT C S NO.40 6 ARANAPRATAP CHOWK SANGLIWADI</t>
  </si>
  <si>
    <t>SBELGAVE19842GMAIL.COM</t>
  </si>
  <si>
    <t>DLR00000000173675</t>
  </si>
  <si>
    <t>PRADIP TRADERS</t>
  </si>
  <si>
    <t>ARAG</t>
  </si>
  <si>
    <t>SUMEDH SHAH</t>
  </si>
  <si>
    <t>AT.POST ARAG MAIN ROAD BAJAR PETH</t>
  </si>
  <si>
    <t>DLR00000000173676</t>
  </si>
  <si>
    <t>Roopnarayan Enterprises madhavnagar</t>
  </si>
  <si>
    <t>SUSHIL KUMAR</t>
  </si>
  <si>
    <t>ACUSDJ0023</t>
  </si>
  <si>
    <t>JAINIL TRADERS</t>
  </si>
  <si>
    <t>Karjat</t>
  </si>
  <si>
    <t>DLR00000000170058</t>
  </si>
  <si>
    <t>AJINKYA TRADERS</t>
  </si>
  <si>
    <t>DLR00000000170059</t>
  </si>
  <si>
    <t>ATHARVA AGENCY</t>
  </si>
  <si>
    <t>RAIGAD</t>
  </si>
  <si>
    <t>KHAMB (ROHA)</t>
  </si>
  <si>
    <t>27AITPL8777C1ZK</t>
  </si>
  <si>
    <t>Mr. PRADEEP LADGE</t>
  </si>
  <si>
    <t>8087865345/7264803555</t>
  </si>
  <si>
    <t>AT.KHAMB,NEAR VITTHAL MANDIR,TALUKA: ROHA</t>
  </si>
  <si>
    <t>pradipladge7@gmail.com</t>
  </si>
  <si>
    <t>DLR00000000170060</t>
  </si>
  <si>
    <t>BHOLANATH KIRANA STORES</t>
  </si>
  <si>
    <t>NAVI MUMBAI</t>
  </si>
  <si>
    <t>NERAL</t>
  </si>
  <si>
    <t>27AGEPC4939J1Z2</t>
  </si>
  <si>
    <t>Mr. SHIVKUMAR KATARIA</t>
  </si>
  <si>
    <t>LAL BHAVAN,NEAR S.T STAND,DAMOTE.NERAL(E)RAIGAD.</t>
  </si>
  <si>
    <t>shiv23091974@gmail.com</t>
  </si>
  <si>
    <t>DLR00000000170062</t>
  </si>
  <si>
    <t>HIRANAND TRADERS</t>
  </si>
  <si>
    <t>27BWTPK9499R1ZS</t>
  </si>
  <si>
    <t>Mr. BABALU KATARIA</t>
  </si>
  <si>
    <t>NEAR ST STAND, BAZAR PETH, NERAL</t>
  </si>
  <si>
    <t>pratapkataria01@gmail.com</t>
  </si>
  <si>
    <t>DLR00000000170063</t>
  </si>
  <si>
    <t>JAI GURUDEV ENTERPRISES</t>
  </si>
  <si>
    <t>PANVEL</t>
  </si>
  <si>
    <t>27AIRPY6379H1Z5</t>
  </si>
  <si>
    <t>Mr. ASHISH YADAV</t>
  </si>
  <si>
    <t>MARKET YARD,NEAR RAIGAD BAZAR,OLD PANVEL,PANVEL.</t>
  </si>
  <si>
    <t>ashishyadv.21@gmail.com</t>
  </si>
  <si>
    <t>DLR00000000170064</t>
  </si>
  <si>
    <t>MANIBHADRA SALES</t>
  </si>
  <si>
    <t>PEN</t>
  </si>
  <si>
    <t>27AFWPJ4794H1ZN</t>
  </si>
  <si>
    <t>Mr.PRAVIN JAIN</t>
  </si>
  <si>
    <t>MUNICIPAL HOUSE NO 5/64, N-10,ANNAPURNS NIWAS,GROUD FLOOR,GUJARATHI HALL,PEN.402107</t>
  </si>
  <si>
    <t>manibhadrasales04@gmail.com</t>
  </si>
  <si>
    <t>DLR00000000170066</t>
  </si>
  <si>
    <t>OM SAI ENTERPRISES</t>
  </si>
  <si>
    <t>MANGAON</t>
  </si>
  <si>
    <t>27ACPPM9182M1ZJ</t>
  </si>
  <si>
    <t>Mr. SAGAR PATIL</t>
  </si>
  <si>
    <t>SWARAJ GR FLOOR,VENKATES NAGAR,KHANDAD,NEAR SHRI BALAJI MANDIR,MANGAON</t>
  </si>
  <si>
    <t>sampaly2k2@rediffmail.com</t>
  </si>
  <si>
    <t>DLR00000000170073</t>
  </si>
  <si>
    <t>PARAG ENTERPRISES</t>
  </si>
  <si>
    <t>MAHAD</t>
  </si>
  <si>
    <t>27AUCPR9431L2Z2</t>
  </si>
  <si>
    <t>Mr.SANDEEP RAKSHE</t>
  </si>
  <si>
    <t>H NO 34,OLD MUMBAI-GOA HIGHWAY,SUNDERWADI,MAHAD.</t>
  </si>
  <si>
    <t>sandiprakshe623@gmail.com</t>
  </si>
  <si>
    <t>DLR00000000170074</t>
  </si>
  <si>
    <t>PRABHAT AGENCIES (PG)</t>
  </si>
  <si>
    <t>DLR00000000170075</t>
  </si>
  <si>
    <t>PRAHAS ENTERPRISE</t>
  </si>
  <si>
    <t>URAN</t>
  </si>
  <si>
    <t>27BRRPK5634F1ZG</t>
  </si>
  <si>
    <t xml:space="preserve">Mr. PRAN KATTA </t>
  </si>
  <si>
    <t>HOUSE NO:-135,RAJ ESTATE,MANIKBUVAA MARG,MHATIVALI.URAN</t>
  </si>
  <si>
    <t>prahas.enterprises@gmail.com</t>
  </si>
  <si>
    <t>DLR00000000172680</t>
  </si>
  <si>
    <t>Qamruddin Darbari Khan</t>
  </si>
  <si>
    <t>DLR00000000170076</t>
  </si>
  <si>
    <t>SHAH AGENCY</t>
  </si>
  <si>
    <t>27AAWFS2438N1ZB</t>
  </si>
  <si>
    <t>Mr. ATUL SHAH</t>
  </si>
  <si>
    <t>MAHAVEER ROAD, BAZARPETH, PEN</t>
  </si>
  <si>
    <t>shahagencypen@gmail.com</t>
  </si>
  <si>
    <t>DLR00000000170077</t>
  </si>
  <si>
    <t>SHIV SHAKTI AGENCY</t>
  </si>
  <si>
    <t>KAMOTHE</t>
  </si>
  <si>
    <t>27AMYPJ0441N1ZH</t>
  </si>
  <si>
    <t>Mr. CHETAN JAT</t>
  </si>
  <si>
    <t>902976744/8169505405</t>
  </si>
  <si>
    <t>KAILASH HEIGHTS,SHOP NO 17 &amp; 18,PLOT NO 32,SEC-36,KAMOTHE.</t>
  </si>
  <si>
    <t>chetanjat1982@gmail.com</t>
  </si>
  <si>
    <t>ACUSDS0112</t>
  </si>
  <si>
    <t>SAKSHI AGENCY</t>
  </si>
  <si>
    <t>Pune</t>
  </si>
  <si>
    <t>DLR00000000173062</t>
  </si>
  <si>
    <t>A.B.AGENCIES ( Pg-Rajguru Nagar )</t>
  </si>
  <si>
    <t>pune</t>
  </si>
  <si>
    <t>RAJGURU NAGAR</t>
  </si>
  <si>
    <t>27BSEPB2452A1ZG</t>
  </si>
  <si>
    <t>9221258350</t>
  </si>
  <si>
    <t>Lakshya Apartment , Wada Road Mali Mala ,Rajguru  Nagar ,Pune</t>
  </si>
  <si>
    <t>PRAVIN TIWARI</t>
  </si>
  <si>
    <t>DLR00000000173079</t>
  </si>
  <si>
    <t>ADHIRA AGENCY - PG</t>
  </si>
  <si>
    <t>DLR00000000173077</t>
  </si>
  <si>
    <t>AJINKAYA BAZAR ( PG- Baramati )</t>
  </si>
  <si>
    <t>DLR00000000173118</t>
  </si>
  <si>
    <t>ATHARVA DISTRIBUTOR ( P.G )</t>
  </si>
  <si>
    <t>WARAJE</t>
  </si>
  <si>
    <t>27ALMPJ4572F1ZW</t>
  </si>
  <si>
    <t>M.No-9420498601    / 9860584860</t>
  </si>
  <si>
    <t>A/P Ghodegaon, Savtamali Chowk, Tal-Ambegaon Dist-Pune-412408</t>
  </si>
  <si>
    <t>DLR00000000173117</t>
  </si>
  <si>
    <t>ATHARVA DISTRIBUTORS ( P.G JUNNAR )</t>
  </si>
  <si>
    <t>JUNNER</t>
  </si>
  <si>
    <t>27BWVPK7322M1ZQ</t>
  </si>
  <si>
    <t>SACHIN- 7588034548 , 8329693620</t>
  </si>
  <si>
    <t>SHUKRAWAR PETH, JUNNAR</t>
  </si>
  <si>
    <t xml:space="preserve">Agarwal and company </t>
  </si>
  <si>
    <t xml:space="preserve">Pune </t>
  </si>
  <si>
    <t xml:space="preserve">Market yard pune </t>
  </si>
  <si>
    <t>27BONPA3340D2ZC</t>
  </si>
  <si>
    <t xml:space="preserve">Mr.anmol </t>
  </si>
  <si>
    <t>8149194199</t>
  </si>
  <si>
    <t>187,Market yard opp to jahendra road pune</t>
  </si>
  <si>
    <t>Agarwalandcompany02@gamil.com</t>
  </si>
  <si>
    <t xml:space="preserve">Sunil Nagare </t>
  </si>
  <si>
    <t>DLR00000000173829</t>
  </si>
  <si>
    <t xml:space="preserve">bhumi enterprises </t>
  </si>
  <si>
    <t>bhosari</t>
  </si>
  <si>
    <t>27BODPN0546Q1ZH</t>
  </si>
  <si>
    <t>vijay narsinge</t>
  </si>
  <si>
    <t>phuge mane talim,near pcmc school,bhosari gaon</t>
  </si>
  <si>
    <t>vijaynarsinge779@gmail.com</t>
  </si>
  <si>
    <t>DLR000000174171</t>
  </si>
  <si>
    <t>Sai samrth hojiyeri</t>
  </si>
  <si>
    <t xml:space="preserve">Pimpri </t>
  </si>
  <si>
    <t>27BGEPN4153L1ZP</t>
  </si>
  <si>
    <t xml:space="preserve">Mr.pawar </t>
  </si>
  <si>
    <t>9834944346</t>
  </si>
  <si>
    <t xml:space="preserve">Sarve no 33 shop no 2 ground floor ganga ashiyana fase 2 pimpri </t>
  </si>
  <si>
    <t>Yashmipratape@gmail.com</t>
  </si>
  <si>
    <t>DLR00000000173114</t>
  </si>
  <si>
    <t>C.J.PARDESHI ( PG )</t>
  </si>
  <si>
    <t>9822722556 / 9834600000</t>
  </si>
  <si>
    <t>RAVIVAR PETH,NEAR GANDHI MEDICAL, JUNNAR,PUNE</t>
  </si>
  <si>
    <t>DLR000000173973</t>
  </si>
  <si>
    <t>J K ENTERPRISES ( PG NARAYANGAON )</t>
  </si>
  <si>
    <t>NARAYANGOAN</t>
  </si>
  <si>
    <t>27BHWPD5185R1Z8</t>
  </si>
  <si>
    <t>8856060623</t>
  </si>
  <si>
    <t>SR NO 1216/10, WARD NO 05,SHRIRAM GREEN HOUSE, BANGLOW NO 09, KORHALE MALA, NARAYANGAON</t>
  </si>
  <si>
    <t>DLR00000000173356</t>
  </si>
  <si>
    <t>K. MART ( PG - Baramati )</t>
  </si>
  <si>
    <t>DLR00000000173101</t>
  </si>
  <si>
    <t>KEWAL &amp; CO ( PG )</t>
  </si>
  <si>
    <t>Urlikanchan,Pune.</t>
  </si>
  <si>
    <t>27ADLPA5068J1ZD</t>
  </si>
  <si>
    <t>M.No-9673849967 / 8007488154</t>
  </si>
  <si>
    <t>DLR00000000173100</t>
  </si>
  <si>
    <t>KRISHNA AGENCIES ( PG )</t>
  </si>
  <si>
    <t>DLR00000000173086</t>
  </si>
  <si>
    <t>PRABHAT AGENCIES ( PG )</t>
  </si>
  <si>
    <t>DLR00000000173080</t>
  </si>
  <si>
    <t>SAINIK CANTEENS ( PG - SASWAD)</t>
  </si>
  <si>
    <t>SHAILESH SURVE</t>
  </si>
  <si>
    <t>ACUSDA0146</t>
  </si>
  <si>
    <t>Ratnagiri</t>
  </si>
  <si>
    <t xml:space="preserve">Balaji Enterprises </t>
  </si>
  <si>
    <t xml:space="preserve">Sindhudurg </t>
  </si>
  <si>
    <t xml:space="preserve">Devgad </t>
  </si>
  <si>
    <t>27CJUPG5092D1ZW</t>
  </si>
  <si>
    <t xml:space="preserve">Pradip Gaurav </t>
  </si>
  <si>
    <t>At-Post Kankavali tal.kankavali Dis.Sindhudurg</t>
  </si>
  <si>
    <t>pradipgurav534@gmail.com</t>
  </si>
  <si>
    <t>DLR00000000173822</t>
  </si>
  <si>
    <t>Ganesh Farsan Mart</t>
  </si>
  <si>
    <t xml:space="preserve">Ratnagiri </t>
  </si>
  <si>
    <t xml:space="preserve">Sangmeshwar </t>
  </si>
  <si>
    <t>27AAYPR1531M1Z</t>
  </si>
  <si>
    <t xml:space="preserve">Santosh Rahate </t>
  </si>
  <si>
    <t>Sangmeshwar Bazar Peth</t>
  </si>
  <si>
    <t>shreeganeshfarsan08@gmail.com</t>
  </si>
  <si>
    <t>DLR00000000173916</t>
  </si>
  <si>
    <t xml:space="preserve">Radha Krishna Agency </t>
  </si>
  <si>
    <t xml:space="preserve">Kankavali </t>
  </si>
  <si>
    <t xml:space="preserve">Ganesh Parkar </t>
  </si>
  <si>
    <t xml:space="preserve">Pandurang Niwas Varchi Wadi OPP -Podar High School Tal Kankavali dis-sindhurag </t>
  </si>
  <si>
    <t>Radhakrushnaagency15@gmail.com</t>
  </si>
  <si>
    <t>ACUSDP2385</t>
  </si>
  <si>
    <t>PRABHAT AGENCY</t>
  </si>
  <si>
    <t>Kolhapur</t>
  </si>
  <si>
    <t xml:space="preserve">A.1 Enterprises </t>
  </si>
  <si>
    <t xml:space="preserve">Kolhapur </t>
  </si>
  <si>
    <t>Kolhapur city</t>
  </si>
  <si>
    <t>27ALGPG4211J1ZC</t>
  </si>
  <si>
    <t xml:space="preserve">Tej Gaikwad </t>
  </si>
  <si>
    <t xml:space="preserve">Goshai Bungalow Sadarbazar kolhapur Tarabai park </t>
  </si>
  <si>
    <t>Tejsingh334gaikwad@gmail.com</t>
  </si>
  <si>
    <t>DLR00000000172196</t>
  </si>
  <si>
    <t>ARIHANT TRADERS</t>
  </si>
  <si>
    <t>KOLHAPUR</t>
  </si>
  <si>
    <t>PETH VADGAON</t>
  </si>
  <si>
    <t>27CNJPB1458H1Z2</t>
  </si>
  <si>
    <t>MR. ANKUR BHORE</t>
  </si>
  <si>
    <t>NEAR DIGAMBAR JAIN MANDIR, PETH VADGAON</t>
  </si>
  <si>
    <t>DLR00000000172200</t>
  </si>
  <si>
    <t>Garv Trading Co Gandhinagar</t>
  </si>
  <si>
    <t>DLR00000000172199</t>
  </si>
  <si>
    <t>HARIPRIYA AGENCIES</t>
  </si>
  <si>
    <t>Kolhapur City</t>
  </si>
  <si>
    <t>Mr. Vishnu bhaste</t>
  </si>
  <si>
    <t>Amba Galli, Bawada</t>
  </si>
  <si>
    <t>DLR00000000172201</t>
  </si>
  <si>
    <t>HARSHARAJ AGENCIES</t>
  </si>
  <si>
    <t>KOGE</t>
  </si>
  <si>
    <t>27ANQPY7706E1ZD</t>
  </si>
  <si>
    <t>MR. UTTAM YADAV</t>
  </si>
  <si>
    <t>PATIL SUTAR GALLI, TAL. KARVEER, KOGE</t>
  </si>
  <si>
    <t>DLR00000000172203</t>
  </si>
  <si>
    <t>KESHAV PATIL AND SONS</t>
  </si>
  <si>
    <t>27CCQPP6904A1ZH</t>
  </si>
  <si>
    <t>MR. OMKAR PATIL</t>
  </si>
  <si>
    <t>MILKAT NO 769, AT AND POST KOGE, TAL KARVEER, DIST KOLHAPUR</t>
  </si>
  <si>
    <t>DLR00000000172204</t>
  </si>
  <si>
    <t>New Sharada Stores Kolhapur</t>
  </si>
  <si>
    <t>DLR00000000172205</t>
  </si>
  <si>
    <t>NITIN AGENCIES</t>
  </si>
  <si>
    <t>JAISINGPUR</t>
  </si>
  <si>
    <t>MR. NITIN LANGARE</t>
  </si>
  <si>
    <t>Plot No 2, 15th LANE, LAXMI ROAD, NEAR YASH GAS AGENCIES, JAISINGPUR, TAL SHIROL</t>
  </si>
  <si>
    <t>DLR00000000172207</t>
  </si>
  <si>
    <t>Renuka Trading Co</t>
  </si>
  <si>
    <t>27ABUPL3317L1Z5</t>
  </si>
  <si>
    <t>MR. Manthan Lad</t>
  </si>
  <si>
    <t>758/3 NEAR HARI MANDIR, B WARD, RAMANAND NAGAR, JARAG NAGAR ROAD, KOLHAPUR</t>
  </si>
  <si>
    <t>DLR00000000172208</t>
  </si>
  <si>
    <t>RUTUJA AGENCIES</t>
  </si>
  <si>
    <t>CHANDOOR</t>
  </si>
  <si>
    <t>27BRSPP3515K1Z7</t>
  </si>
  <si>
    <t>MR. SANJAY POWAR</t>
  </si>
  <si>
    <t>CHANDOOR  ABHAR PHATA, BASHWESHWAR KARYALAY, CHANDOOR</t>
  </si>
  <si>
    <t>DLR00000000172213</t>
  </si>
  <si>
    <t>SAI AGENCIES</t>
  </si>
  <si>
    <t>PIRWADI</t>
  </si>
  <si>
    <t>27CNWPP3496E2Z6</t>
  </si>
  <si>
    <t>MR. SURAJ PATIL</t>
  </si>
  <si>
    <t>B/16 SHRI PATIL NIWAS , RING ROAD, MARUTI SERVICE POINT, KANEKAR NAGAR, KOLHAPUR</t>
  </si>
  <si>
    <t>DLR00000000172211</t>
  </si>
  <si>
    <t>SHINDE AGENCIES</t>
  </si>
  <si>
    <t>KAGAL</t>
  </si>
  <si>
    <t>27KKLPS4600H1ZR</t>
  </si>
  <si>
    <t>MR. SHINDE</t>
  </si>
  <si>
    <t>PLOT NO 7, 133/B ANANT ROTO KAGAL</t>
  </si>
  <si>
    <t>DLR00000000172212</t>
  </si>
  <si>
    <t>SHRI DATTA GURU AGENCIES</t>
  </si>
  <si>
    <t>CHIKHLI</t>
  </si>
  <si>
    <t>27AWIPB6292P1ZW</t>
  </si>
  <si>
    <t>MR. ASHOK BENADE</t>
  </si>
  <si>
    <t>AT &amp; POST CHIKHLI, TAL KAGAL, DIST KOLHAPUR</t>
  </si>
  <si>
    <t>DLR00000000172214</t>
  </si>
  <si>
    <t>SHRI RAM AGENCIES</t>
  </si>
  <si>
    <t>GARGOTI</t>
  </si>
  <si>
    <t>MR. SANKET PATANE</t>
  </si>
  <si>
    <t>SAROGINI COLONEY, TAL BHUDURGAD</t>
  </si>
  <si>
    <t>DINESH SHARMA</t>
  </si>
  <si>
    <t>ACUSDS0771</t>
  </si>
  <si>
    <t>SUNRISE ENTERPRISES</t>
  </si>
  <si>
    <t>Thane</t>
  </si>
  <si>
    <t>DLR00000000166271</t>
  </si>
  <si>
    <t>Ankur Enterprises-PG-Dombivli</t>
  </si>
  <si>
    <t>DOMBIVLI</t>
  </si>
  <si>
    <t>27AATHA5110J1Z9</t>
  </si>
  <si>
    <t>KANTI DEDHIA</t>
  </si>
  <si>
    <t>Shop No.4,Om Sai Chs,Pandit Deendayal Corss Road,, Dombivli (West), Mobile No-9819502049, FSSI No-11521021000035</t>
  </si>
  <si>
    <t>ankur dedhia502049@gmail.com</t>
  </si>
  <si>
    <t xml:space="preserve">VIVEK SINGH  AND  PRAKASH TIWARI </t>
  </si>
  <si>
    <t>done</t>
  </si>
  <si>
    <t>DLR00000000166273</t>
  </si>
  <si>
    <t>B B Trading-PG Virar €</t>
  </si>
  <si>
    <t>VIRAR</t>
  </si>
  <si>
    <t>27AFGPD2968B1ZP</t>
  </si>
  <si>
    <t>BHAVESH DATTANI</t>
  </si>
  <si>
    <t>Shop No 3,Ghanshyam Palace,MP Road,Opp Prita, Apt,Virar ( East), Mobile No-9322669909, FSSAI No-21518094001955</t>
  </si>
  <si>
    <t>bhaveshdattani9099@gmail.com</t>
  </si>
  <si>
    <t>DLR00000000166277</t>
  </si>
  <si>
    <t>Bhanu Agency-PG-Kalyan</t>
  </si>
  <si>
    <t>KALYAN</t>
  </si>
  <si>
    <t>27AEIPB3167R1Z1</t>
  </si>
  <si>
    <t>BHARATH BHANUSHALI</t>
  </si>
  <si>
    <t>13/11,Bardan Gali,Bazar Peth,Near Police Station, Kalyan (West)-421301, Mobile No-9819487872, FSSAI No-11516021000316, Monday Closed</t>
  </si>
  <si>
    <t>bhanu.bharat73@rediffmail.com</t>
  </si>
  <si>
    <t xml:space="preserve">SANTOSH HALDAR  AND  ARUN PADWAL  </t>
  </si>
  <si>
    <t>DLR00000000171030</t>
  </si>
  <si>
    <t>Daiwik Enterprises-Pg-Ambernath</t>
  </si>
  <si>
    <t>AMBERNATH</t>
  </si>
  <si>
    <t>27DFMPM2022G1ZK</t>
  </si>
  <si>
    <t>PRATIK MAHESHWARI</t>
  </si>
  <si>
    <t>Shop No. 5, Jp Synergy Phase Iii, Gaikwad Pada, Ambernath ( E), 8483020202, Food Lic No.11523022000290</t>
  </si>
  <si>
    <t>daiwikenterprieses1313@gmail.com</t>
  </si>
  <si>
    <t xml:space="preserve">BRAJ KISHOR THAKUR  </t>
  </si>
  <si>
    <t>DLR00000000166279</t>
  </si>
  <si>
    <t>GALA AGENCY-PG-DOMBIVLI</t>
  </si>
  <si>
    <t>27AJMPG7207J1Z0</t>
  </si>
  <si>
    <t>KAUSHIK GALA</t>
  </si>
  <si>
    <t>9820562750/9820996930</t>
  </si>
  <si>
    <t>Balaji Darshan Bldg,Nabhik Samaj Hall,Chheda Road,, Dombivli(E)-421201, Mobile No-9820562750/9820996930</t>
  </si>
  <si>
    <t>kaushikgala90@gmail.com</t>
  </si>
  <si>
    <t>FAISAL QUERSHI AND JAYESH VASANT SHETKAR</t>
  </si>
  <si>
    <t>DLR00000000166275</t>
  </si>
  <si>
    <t>Jai Jalaram Traders-PG-Vrajeshwari</t>
  </si>
  <si>
    <t>VRAJESHWARI</t>
  </si>
  <si>
    <t>27AGOPK7954P1ZB</t>
  </si>
  <si>
    <t>KAILASH KOTHARI</t>
  </si>
  <si>
    <t>H No 187,Akloli Kund,Vrajeshwari, Mobile No-9860222905, FSSAI No-11518018000047</t>
  </si>
  <si>
    <t>kotharishailesh@gmail.com</t>
  </si>
  <si>
    <t>DLR00000000166276</t>
  </si>
  <si>
    <t>Manish Agency-PG-Wada</t>
  </si>
  <si>
    <t>WADA</t>
  </si>
  <si>
    <t>27AGZPA0238M1Z1</t>
  </si>
  <si>
    <t>MANISH ADWANI</t>
  </si>
  <si>
    <t>Paralinaka,Opp Gopal Kunj Bldg Wada, Mobile No-7030190600</t>
  </si>
  <si>
    <t>manishadwani1582@gmail.com</t>
  </si>
  <si>
    <t>DLR00000000166281</t>
  </si>
  <si>
    <t>Minerva Agency-PG-Ulhasnagar</t>
  </si>
  <si>
    <t>ULHASNAGAR</t>
  </si>
  <si>
    <t>27ABNPN0895Q1ZN</t>
  </si>
  <si>
    <t>RAJESH NAGPAL</t>
  </si>
  <si>
    <t>Bhagwanti Niwas,BK 2062/11,12,Section 36,Near Bank, India,Ulhasnagar-421005, Mobile No-9822282102, FSSI No-11520022000206</t>
  </si>
  <si>
    <t>minerva_agencies@hotmail.com</t>
  </si>
  <si>
    <t xml:space="preserve">SUNIL MEGHWANI  </t>
  </si>
  <si>
    <t>DLR00000000166282</t>
  </si>
  <si>
    <t>MOIN RAJA ENETERPRISES-PG-Murbad</t>
  </si>
  <si>
    <t>MURBAD</t>
  </si>
  <si>
    <t>27AGUPM0650J1Z0</t>
  </si>
  <si>
    <t>FAYAZ</t>
  </si>
  <si>
    <t>9049864864/9082577694</t>
  </si>
  <si>
    <t>Opp.Dev Darshan Society,Mahsa Road,Murbad, Mobile No-9049864864/9082577694</t>
  </si>
  <si>
    <t>moinmemon1237@gmail.com</t>
  </si>
  <si>
    <t>DLR00000000166283</t>
  </si>
  <si>
    <t>Nimesh Sales-PG-Bhiwandi</t>
  </si>
  <si>
    <t>BHIWANDI</t>
  </si>
  <si>
    <t>27ADEPJ8866C1ZE</t>
  </si>
  <si>
    <t>NIMISH JAIN</t>
  </si>
  <si>
    <t>9922514751/8369740486</t>
  </si>
  <si>
    <t>Gr. Floor, 1189, Bhagwan Apartment, Agra Road, Opp., Shankar Dying, Bhiwandi, Thane,  Maharashtra 421305, Mobile No-9922514751/8369740486, FSSAi No-11516018000272</t>
  </si>
  <si>
    <t>nimeshjain34@gmail.com</t>
  </si>
  <si>
    <t xml:space="preserve">MAHADEV  </t>
  </si>
  <si>
    <t>DLR00000000166284</t>
  </si>
  <si>
    <t>Omkar Enterprises-PG-Vashind</t>
  </si>
  <si>
    <t>VASHIND</t>
  </si>
  <si>
    <t>27ASRPA0388E1ZQ</t>
  </si>
  <si>
    <t>SUMIT ASWALE</t>
  </si>
  <si>
    <t>9271789784/9764272724</t>
  </si>
  <si>
    <t>Aswale Niwas,Ambika Nagar,Pada Vibhag,Vashind, Mobile No-9271789784/9764272724</t>
  </si>
  <si>
    <t>omkar241086@gmail.com</t>
  </si>
  <si>
    <t>DLR00000000166285</t>
  </si>
  <si>
    <t>ONKARESHWAR ENTERPRISES-PG-WADA</t>
  </si>
  <si>
    <t>27BCBPP1763R2ZY</t>
  </si>
  <si>
    <t>NARESH DHONDU PATIL</t>
  </si>
  <si>
    <t>H.No.960 At-Po,Posheri,Z.P School Road,Near Post, Office and JariMari Mandir,Tal-Wada, Dist-Palghar, -421303, Contact No-9130826811</t>
  </si>
  <si>
    <t>onkareshwar1930@gmail.com</t>
  </si>
  <si>
    <t>DLR00000000166288</t>
  </si>
  <si>
    <t>Poonam Enterprises-PG-Titwala</t>
  </si>
  <si>
    <t>TITWALA</t>
  </si>
  <si>
    <t>27BIKPS1116E1ZE</t>
  </si>
  <si>
    <t>JAGDISH SINGH</t>
  </si>
  <si>
    <t>7977875296/8693820148</t>
  </si>
  <si>
    <t>Shop No.06, BLDG No.10,D-Type,Hariom Valley, Near Gajanan Mandir, Titwala ( East), Mobile No.7977875296/8693820148, FSSAI No.11518021000205</t>
  </si>
  <si>
    <t>poonamenterprises2127@gmail.com</t>
  </si>
  <si>
    <t xml:space="preserve">SAMEER SHAIKH  </t>
  </si>
  <si>
    <t>DLR00000000166289</t>
  </si>
  <si>
    <t>Popular Agencies-PG-Ulhasnagar</t>
  </si>
  <si>
    <t>27AHCPP5758M1ZO</t>
  </si>
  <si>
    <t>UMESH PARYANI</t>
  </si>
  <si>
    <t>90277400/9373777400</t>
  </si>
  <si>
    <t>Shop No.D-3,Ramayan Nagar Ulhasnagar, Fssai-11516022000062, Contact No.9890277400/9373777400</t>
  </si>
  <si>
    <t>umeshparyani4377@gmail.com</t>
  </si>
  <si>
    <t xml:space="preserve">SURAJ KANOJIYA AND  SUNIL JADHAV </t>
  </si>
  <si>
    <t>DLR00000000166294</t>
  </si>
  <si>
    <t>Prashant Trader-PG-Badlapur</t>
  </si>
  <si>
    <t>BADLAPUR</t>
  </si>
  <si>
    <t>27DQBPS4197A2ZP</t>
  </si>
  <si>
    <t>RAKESH KUMAR SINGH</t>
  </si>
  <si>
    <t>9665384040/9518902688</t>
  </si>
  <si>
    <t>Shop No-5, Chandresh Paradise ,Lodha Heaven,, Shirgaon,Badlapur(East), Rakesh Singh-9665384040/9518902688, Food Lic No-30230814114161145</t>
  </si>
  <si>
    <t>rakeshsingh96653@gmail.com</t>
  </si>
  <si>
    <t xml:space="preserve">CHANDRAKANT TAMBE  </t>
  </si>
  <si>
    <t>DLR00000000173387</t>
  </si>
  <si>
    <t>PRIYANSHU ENTERPRISES</t>
  </si>
  <si>
    <t>Airoli</t>
  </si>
  <si>
    <t>RENU AGRAHARI</t>
  </si>
  <si>
    <t>Plot no.4,Mahape gaon, Mahape  400701 Navi Mumbai, Food Lic no. 21522068000480 , Gumasta No : 2210200316215490</t>
  </si>
  <si>
    <t>renuagrahari979@gmail.com</t>
  </si>
  <si>
    <t>DLR00000000166297</t>
  </si>
  <si>
    <t>R.P Enterprises-PG-Diva</t>
  </si>
  <si>
    <t>DIVA</t>
  </si>
  <si>
    <t>27DVEPS1364H1ZC</t>
  </si>
  <si>
    <t>AMIT KUMAR SINGH</t>
  </si>
  <si>
    <t>Astgandha, Shop No.04,Samarth Nagar,Siddhi Vinayak, Gate,Diva Agasan Road,Diva (East)-400612, FSSAI-21521068000876, Mobile No-9322658747, Monday Closed</t>
  </si>
  <si>
    <t>amitsomvanashi99@gmail.com</t>
  </si>
  <si>
    <t xml:space="preserve">ANUJ TRIPATHI  </t>
  </si>
  <si>
    <t>DLR00000000166298</t>
  </si>
  <si>
    <t>R.P Traders-PG-Kalwa</t>
  </si>
  <si>
    <t>KALWA</t>
  </si>
  <si>
    <t>27AINPA2366A1ZO</t>
  </si>
  <si>
    <t>PRADEEP AGRAHARI</t>
  </si>
  <si>
    <t>Gaikar Maidan,Nirmaladevi Dighe Nagar,Waghoba, Nagar,Near Mukund Company,Kalwa ( East), Contact No.9867536677, Fssai No-21521068001391</t>
  </si>
  <si>
    <t>rptraders111@gmail.com</t>
  </si>
  <si>
    <t xml:space="preserve">PRADEEP AGRAHARI  </t>
  </si>
  <si>
    <t>DLR00000000173774</t>
  </si>
  <si>
    <t>R.P Trading Corporation-PG-Turbha</t>
  </si>
  <si>
    <t>DLR00000000166295</t>
  </si>
  <si>
    <t>Rajesh Shaha-PG-Shahpur</t>
  </si>
  <si>
    <t>SHAHPUR</t>
  </si>
  <si>
    <t>RAJESH VASUPAL SHAH</t>
  </si>
  <si>
    <t>Mirchi Gali ,Near Post Office,Shahapur, Mobile No-8149900779</t>
  </si>
  <si>
    <t>DLR00000000166296</t>
  </si>
  <si>
    <t>Ronak Agency-PG-Virar</t>
  </si>
  <si>
    <t>27AAOFR4269A1Z2</t>
  </si>
  <si>
    <t>PARAS SHAH</t>
  </si>
  <si>
    <t>9822004073/9320410097</t>
  </si>
  <si>
    <t>Shop No.Geeta Gaytri Bldg,Near Kalavati Mandir,, M.B Estate,Opp Petrol Pump,Virar (West), Mobile No:Paras-9822004073/9320410097</t>
  </si>
  <si>
    <t>ronakagency97@gmail.com</t>
  </si>
  <si>
    <t>SANTOSH JIJORE</t>
  </si>
  <si>
    <t>DLR00000000166300</t>
  </si>
  <si>
    <t>S.K SALES-PG-BHIWANDI</t>
  </si>
  <si>
    <t>27ABKPU1743K2Z5</t>
  </si>
  <si>
    <t>SHRIKANT UPADHAY</t>
  </si>
  <si>
    <t>Pimple Ghar,Kalyan Road, Bhiwandi, Mobile No-9323087955, FSSAI No-11518018000329</t>
  </si>
  <si>
    <t>sksalespriygold@gmail.com</t>
  </si>
  <si>
    <t xml:space="preserve">SINTHESHWAR BHARDWAJ  </t>
  </si>
  <si>
    <t>DLR00000000166299</t>
  </si>
  <si>
    <t>SAI ENTERPRISES</t>
  </si>
  <si>
    <t>27ADTPJ5916G1Z6</t>
  </si>
  <si>
    <t>DLR00000000171031</t>
  </si>
  <si>
    <t>Satish Chana</t>
  </si>
  <si>
    <t>DLR00000000166291</t>
  </si>
  <si>
    <t>Shah Agency-PG-Virar</t>
  </si>
  <si>
    <t>27CPUPS8199P1Z5</t>
  </si>
  <si>
    <t>ANIL SHAH</t>
  </si>
  <si>
    <t>Gala No.3,Shubh Mangal Appt,Behind K K, Bakery Virar ( East), Contact No.9764445267</t>
  </si>
  <si>
    <t>shahanil5975@gmail.com</t>
  </si>
  <si>
    <t xml:space="preserve">ANUJ SINGH  </t>
  </si>
  <si>
    <t>DLR00000000166292</t>
  </si>
  <si>
    <t>Shiv Shakti Agency-PG-Shahpur</t>
  </si>
  <si>
    <t>27AONPS9507D1ZJ</t>
  </si>
  <si>
    <t>HARESH K SACHANI</t>
  </si>
  <si>
    <t>Gala No.465/1,Pandit Naka ,Shahapur, Fssai-21521111000309, Contact No-9225106077</t>
  </si>
  <si>
    <t>haresh.sachani@yahoo.co.in</t>
  </si>
  <si>
    <t>DLR00000000171670</t>
  </si>
  <si>
    <t>Shivkumari Enterprises</t>
  </si>
  <si>
    <t>MUMBRA</t>
  </si>
  <si>
    <t>27CPXPS7191L1ZK</t>
  </si>
  <si>
    <t>Sunilkumar Surendra Singh</t>
  </si>
  <si>
    <t xml:space="preserve">Gala No. C/52, MEK Industrial area near real ice cram opp fir brgade Sanjay nagar Mumbra </t>
  </si>
  <si>
    <t>shivkumarienterprise@gmail.com</t>
  </si>
  <si>
    <t xml:space="preserve">IMRAN KHAN  </t>
  </si>
  <si>
    <t>DLR00000000166293</t>
  </si>
  <si>
    <t>SHREE SAMARTH AGENCY-PG-MOHANE</t>
  </si>
  <si>
    <t>MOHANE</t>
  </si>
  <si>
    <t>27AKGPP3375B1Z7</t>
  </si>
  <si>
    <t>PRAKASH PHATANGARE</t>
  </si>
  <si>
    <t>Shop No.01 &amp; 02,Suyog Sadan,Nr.Ramdas Kirana Store,, Opp.Shivneri Parisar,Veer Savarkar Marg,Mohane, FSSAI No-11515021000195, Contact No.9664247268, Monday Clossed</t>
  </si>
  <si>
    <t>samarth.prk@gmail.com</t>
  </si>
  <si>
    <t>Rahul Jadhav</t>
  </si>
  <si>
    <t>ACUSDJ4838</t>
  </si>
  <si>
    <t>J.K. BROTHERS</t>
  </si>
  <si>
    <t>GHATKOPPER</t>
  </si>
  <si>
    <t>DLR00000000173168</t>
  </si>
  <si>
    <t>BALWANT &amp; CO.</t>
  </si>
  <si>
    <t>MUMBAI</t>
  </si>
  <si>
    <t>WADALA</t>
  </si>
  <si>
    <t>27ANWPT4372M1ZV</t>
  </si>
  <si>
    <t>DAISY THAKHUR</t>
  </si>
  <si>
    <t>WADALA RTO GALA NO 3 SHRAM SHAKTI BLDG MUMBAI 400031</t>
  </si>
  <si>
    <t>ASIF SIDDIQUI</t>
  </si>
  <si>
    <t>DLR00000000173203</t>
  </si>
  <si>
    <t>BHAGWATI ENTERPRISES</t>
  </si>
  <si>
    <t>COLABA</t>
  </si>
  <si>
    <t>27APAPG4077J1ZU</t>
  </si>
  <si>
    <t>ARVIND GUPTA</t>
  </si>
  <si>
    <t xml:space="preserve">DHOBIGHAT GALI NO 3 COLABA </t>
  </si>
  <si>
    <t xml:space="preserve">ARVIND GUPTA  </t>
  </si>
  <si>
    <t>DLR00000000173186</t>
  </si>
  <si>
    <t>DURGA SALES</t>
  </si>
  <si>
    <t>DHARAVI</t>
  </si>
  <si>
    <t>Durga prasad Gupta</t>
  </si>
  <si>
    <t>Durga sales &amp; corporation Naik nagar , L.B.S Marg sion west mumbai 400017</t>
  </si>
  <si>
    <t>durgaprasadgupta31@gmail.com</t>
  </si>
  <si>
    <t xml:space="preserve">Durga prasad Gupta  </t>
  </si>
  <si>
    <t>DLR00000000173169</t>
  </si>
  <si>
    <t>EXPRESS ENTERPRISES</t>
  </si>
  <si>
    <t>GOVANDI</t>
  </si>
  <si>
    <t xml:space="preserve">Shaikh Aslam Mohamad </t>
  </si>
  <si>
    <t>SHOP NO 4, ROAD NO 9, SANJAY NAGAR NEAR SAHARA HOSPITAL GOVANDI</t>
  </si>
  <si>
    <t>aslam.shaikhsh@gmail.com</t>
  </si>
  <si>
    <t xml:space="preserve">MOHAMMED   </t>
  </si>
  <si>
    <t>DLR00000000173200</t>
  </si>
  <si>
    <t>GANAGA SALES</t>
  </si>
  <si>
    <t>ABHIJEET  TAKUR</t>
  </si>
  <si>
    <t>SAN BUILDING RTO WADALA</t>
  </si>
  <si>
    <t>abhijeet0772@gmail.com</t>
  </si>
  <si>
    <t xml:space="preserve">ALFRED  </t>
  </si>
  <si>
    <t>DLR00000000173202</t>
  </si>
  <si>
    <t>JAY MATTA DI</t>
  </si>
  <si>
    <t>WORLI</t>
  </si>
  <si>
    <t>RAM SUBHASH GUPTA</t>
  </si>
  <si>
    <t>B D D COLONEY, WORLI 400018</t>
  </si>
  <si>
    <t xml:space="preserve">RAM SUBHASH GUPTA  </t>
  </si>
  <si>
    <t>DLR00000000173293</t>
  </si>
  <si>
    <t>KUMAR STORES</t>
  </si>
  <si>
    <t>KURLA</t>
  </si>
  <si>
    <t>27AACHL7907F127</t>
  </si>
  <si>
    <t>RONAK BHAI</t>
  </si>
  <si>
    <t xml:space="preserve">01,MYRA SADAN , PERIRA ROAD VILLAGE WARD FR PETER KULA WEST </t>
  </si>
  <si>
    <t>ronakgupta1988@gmail.com</t>
  </si>
  <si>
    <t>IMRAN SHAIKH AND SANJEEV SERIAL</t>
  </si>
  <si>
    <t>DLR00000000173294</t>
  </si>
  <si>
    <t>NILAM AGENCY</t>
  </si>
  <si>
    <t>CHEMBUR</t>
  </si>
  <si>
    <t xml:space="preserve">PANKAJ </t>
  </si>
  <si>
    <t>GODOWN 5, LAL SHARAN CO. OP. HSG. SOC. RAMTEKADI ROAD CHEMBUR CAMP MUMBAI 74</t>
  </si>
  <si>
    <t>asuhandary@gmail.com</t>
  </si>
  <si>
    <t xml:space="preserve">FAIZAN ANSARI AND   ROHIT VISHWAKARMA </t>
  </si>
  <si>
    <t>DLR00000000172769</t>
  </si>
  <si>
    <t>OM SAI GANESH</t>
  </si>
  <si>
    <t>MULUND</t>
  </si>
  <si>
    <t>Ravindra Nath Gauda</t>
  </si>
  <si>
    <t xml:space="preserve">c/o  DEVANGDAS KIRANA ST,SHOP NO 122,JHULELAL ROAD MULUND COLONEY MUMBAI WEST </t>
  </si>
  <si>
    <t>ravindra46470@gmail.com</t>
  </si>
  <si>
    <t>MANOJ  GUPTA</t>
  </si>
  <si>
    <t>DLR00000000172770</t>
  </si>
  <si>
    <t>PRISHA ENTERPRIESE</t>
  </si>
  <si>
    <t>MANKURD</t>
  </si>
  <si>
    <t>ANISH SHAIK</t>
  </si>
  <si>
    <t>SHOP NO .11 , GALI NO 1, EKTA NAGAR, MG LINK ROAD MANDALA , MAKHURD,MUMBAI 400053</t>
  </si>
  <si>
    <t>a.m.enterprises329@gmail.com</t>
  </si>
  <si>
    <t xml:space="preserve">SARIQUE QUERSHI AND  AMMAN QUERSHI </t>
  </si>
  <si>
    <t>DLR00000000173187</t>
  </si>
  <si>
    <t>REEYAN ENTERPRISES</t>
  </si>
  <si>
    <t>27BACPA4730Q1ZM</t>
  </si>
  <si>
    <t>RIYAZ  SHAIKH</t>
  </si>
  <si>
    <t xml:space="preserve">Indra Nagaar 30 ft road hoar chawl near Al Madina  Hotel, mandal mankurd, mumbai </t>
  </si>
  <si>
    <t>ahmadriya2390@gmail.com</t>
  </si>
  <si>
    <t xml:space="preserve">RIYAZ  SHAIKH AND NADEEM SHAIKH </t>
  </si>
  <si>
    <t>DLR00000000172771</t>
  </si>
  <si>
    <t>S.P ENTERPRIESE</t>
  </si>
  <si>
    <t>BHANDUP</t>
  </si>
  <si>
    <t>Jayesh Punmiya</t>
  </si>
  <si>
    <t xml:space="preserve">S.P ENTERPRIESE ROOM NO 9 OLD SANJAY NIWAS NR BOB QWTERS BHATTI PADA CROSS ROAD BHANDUP </t>
  </si>
  <si>
    <t>jayesh1983@gmail.com</t>
  </si>
  <si>
    <t xml:space="preserve">NARSHIMA BHANDARI AND  ANIL DHOLE </t>
  </si>
  <si>
    <t>SALHA ESSENTIAL</t>
  </si>
  <si>
    <t>MUMBAI CENTRAL</t>
  </si>
  <si>
    <t>59</t>
  </si>
  <si>
    <t>27AUGPB4588C1ZQ</t>
  </si>
  <si>
    <t>SAHANA BAIG</t>
  </si>
  <si>
    <t>9930877786</t>
  </si>
  <si>
    <t>DO TAAKI SANDHURST ROAD MUMBAI 400001</t>
  </si>
  <si>
    <t>Salah.essential7884@gmail.com</t>
  </si>
  <si>
    <t>RAHUL JADHAV</t>
  </si>
  <si>
    <t>DLR00000000173201</t>
  </si>
  <si>
    <t>SHREE RAM AGENCY</t>
  </si>
  <si>
    <t>MASJID BANDAR</t>
  </si>
  <si>
    <t>SANJAY YADAV</t>
  </si>
  <si>
    <t>SANGAM NAGAR WADALA GALI NO 14</t>
  </si>
  <si>
    <t xml:space="preserve">SANJAY YADAV  </t>
  </si>
  <si>
    <t>DLR00000000173199</t>
  </si>
  <si>
    <t>V S MARKETING</t>
  </si>
  <si>
    <t xml:space="preserve">KURLA EAST </t>
  </si>
  <si>
    <t>49</t>
  </si>
  <si>
    <t>27ACVPT9446J1ZG</t>
  </si>
  <si>
    <t>SUNNY MEHTA</t>
  </si>
  <si>
    <t>8850838164</t>
  </si>
  <si>
    <t>NEHRU NAGAR KURLA EAST MUMBAI 400024</t>
  </si>
  <si>
    <t>SUNNYMEHTA01@GMAIL.COM</t>
  </si>
  <si>
    <t>DLR00000000173198</t>
  </si>
  <si>
    <t>WBM MARKETING</t>
  </si>
  <si>
    <t>GHATKOPAR</t>
  </si>
  <si>
    <t>42</t>
  </si>
  <si>
    <t>RASHID</t>
  </si>
  <si>
    <t>7302563906</t>
  </si>
  <si>
    <t>KAHIRANI ROAD SAKINAKA GHATKOPAR WEST MUMBAI 400084</t>
  </si>
  <si>
    <t>MANOJ11993@GMAIL.COM</t>
  </si>
  <si>
    <t>ANIL JAMADAR SINGH</t>
  </si>
  <si>
    <t>ACUSDN4807</t>
  </si>
  <si>
    <t>NIDHI SALES</t>
  </si>
  <si>
    <t>Virar</t>
  </si>
  <si>
    <t>DLR00000000173422</t>
  </si>
  <si>
    <t xml:space="preserve">ASHAPURA SALES                </t>
  </si>
  <si>
    <t xml:space="preserve">PALGHAR </t>
  </si>
  <si>
    <t>NALLASOPARA €</t>
  </si>
  <si>
    <t>27ALZPM3500D1Z2</t>
  </si>
  <si>
    <t>Jignesh mistry</t>
  </si>
  <si>
    <t>SAI SIDDHI APT,ACHOLE ROAD MAJATHIYA PARK NALLASOPARA EAST</t>
  </si>
  <si>
    <t>omtradingko3@gmail.com</t>
  </si>
  <si>
    <t>ISHWAR MAKWANA AND SUHAS PATIL</t>
  </si>
  <si>
    <t>DLR00000000173424</t>
  </si>
  <si>
    <t>DIVYA AGENCY</t>
  </si>
  <si>
    <t>VASAI EAST</t>
  </si>
  <si>
    <t>27ECLPD5992P1ZN</t>
  </si>
  <si>
    <t>Someshwar sumit singh</t>
  </si>
  <si>
    <t>EC/66/B/001,GROUND FLOOR, MANGAL DWAR CHS LTD, NEAR EVERSHINE POLICE CHAUKI, EVERSHINE CITY VASAI EAST PALAGAHAR</t>
  </si>
  <si>
    <t>divya.agency30@gmail.com</t>
  </si>
  <si>
    <t xml:space="preserve">VIMILESH , SATISH DUBE , SANDEEP JAISWAL </t>
  </si>
  <si>
    <t>DLR000000173945</t>
  </si>
  <si>
    <t xml:space="preserve">FARISH KIRANA STORES          </t>
  </si>
  <si>
    <t>PALGHAR3</t>
  </si>
  <si>
    <t>27ABQPP8779E1ZS</t>
  </si>
  <si>
    <t>Ariz  sadin  danjwani</t>
  </si>
  <si>
    <t>TALASARI, PALGHAR , MAHARASHTRA</t>
  </si>
  <si>
    <t>shayanpanjwani18gmail.com</t>
  </si>
  <si>
    <t>DLR000000173944</t>
  </si>
  <si>
    <t>Alishan Traders</t>
  </si>
  <si>
    <t>DAHANU</t>
  </si>
  <si>
    <t>27APZPV5483Q1Z8</t>
  </si>
  <si>
    <t>Almin Barkat Vasaya</t>
  </si>
  <si>
    <t>House no 2144/06 Grampanchayat Building, opp Saiwan Naka ,post-kasa,Taluka-Dahanu,Distric-Palghar</t>
  </si>
  <si>
    <t>alishankasa@gmail.com</t>
  </si>
  <si>
    <t>KRISHNA ENTERPRISES</t>
  </si>
  <si>
    <t>DAHISAR</t>
  </si>
  <si>
    <t>272400463141TRN</t>
  </si>
  <si>
    <t>ALOK GUPATA</t>
  </si>
  <si>
    <t>8369328633</t>
  </si>
  <si>
    <t>GALA NO-1 MISHRA ESTATE,YT T AWADE ROAD,DAHISAR EAST</t>
  </si>
  <si>
    <t>ALOKGUPTA89007@GMSIL,COM</t>
  </si>
  <si>
    <t>ANIL SINGH</t>
  </si>
  <si>
    <t>DLR00000000173419</t>
  </si>
  <si>
    <t xml:space="preserve">NIDHI ENTERPRISES             </t>
  </si>
  <si>
    <t>VASAI WEST</t>
  </si>
  <si>
    <t>27AKXPD6728R1Z2</t>
  </si>
  <si>
    <t>Milind dhanesh</t>
  </si>
  <si>
    <t>milin.ogrish@rediffmail.com</t>
  </si>
  <si>
    <t>SHIVSHANKAR</t>
  </si>
  <si>
    <t>DLR00000000173467</t>
  </si>
  <si>
    <t xml:space="preserve">NIDHI TRADING            </t>
  </si>
  <si>
    <t>PALGHAR WEST</t>
  </si>
  <si>
    <t>27AABPV0180H1ZQ</t>
  </si>
  <si>
    <t>Pranay BAKHARIA</t>
  </si>
  <si>
    <t>B-G-1,SHUBHAM BLDG, DEVISHA RD, PALGHAR WEST</t>
  </si>
  <si>
    <t>nidhitrading1990@gmail.com</t>
  </si>
  <si>
    <t xml:space="preserve">ARUN SINGH AND  IRFAN SHAIKH </t>
  </si>
  <si>
    <t>DLR00000000173414</t>
  </si>
  <si>
    <t>NILESH MARKETING</t>
  </si>
  <si>
    <t>BORIVALI WEST</t>
  </si>
  <si>
    <t>27AGFPP5880N3ZK</t>
  </si>
  <si>
    <t>Pandey umesh</t>
  </si>
  <si>
    <t>SHOP NO 11,SAI MANSAROVAR CHS,SATYA NAGAR, NEXT TO SAI BABA NAGAR BORIVALI</t>
  </si>
  <si>
    <t>nileshmarketing1@gmail.com</t>
  </si>
  <si>
    <t>YASH BHARWAD</t>
  </si>
  <si>
    <t>DLR00000000173417</t>
  </si>
  <si>
    <t xml:space="preserve">OM TRADING CO                 </t>
  </si>
  <si>
    <t>NALLASOPARA E</t>
  </si>
  <si>
    <t>27AHHPM4377Q1ZH</t>
  </si>
  <si>
    <t>Bhavesh mistry</t>
  </si>
  <si>
    <t>SHOP NO 4,MAULI KRIPA APT,ACHOLE RD, NALLASOPARA EAST</t>
  </si>
  <si>
    <t xml:space="preserve">AMIT MISHRA AND  AMIT BHOIR </t>
  </si>
  <si>
    <t>DLR00000000173421</t>
  </si>
  <si>
    <t xml:space="preserve">SHREE SAINATH AGENCIES        </t>
  </si>
  <si>
    <t>DAHISARE EAST</t>
  </si>
  <si>
    <t>27AFXPG9206Q1ZH</t>
  </si>
  <si>
    <t>Lokesh shankar Gupta</t>
  </si>
  <si>
    <t>ROOM NO 13,AMBIKA SOC, OPP 7 STAR BAKERY, SN DUBER ROAD, RAWAL PADA DAHISAR EAST</t>
  </si>
  <si>
    <t>lokeshnhrmi@gmail.com</t>
  </si>
  <si>
    <t>PRATIK WAGHELA AND GHANSHYAM GUPTA</t>
  </si>
  <si>
    <t>DLR00000000173415</t>
  </si>
  <si>
    <t>SIDDHIVINYAK SALES AGENCY</t>
  </si>
  <si>
    <t>BHYAANDER WEST</t>
  </si>
  <si>
    <t>27AAHPT0275D1ZQ</t>
  </si>
  <si>
    <t>Vijay Thakkar</t>
  </si>
  <si>
    <t>SHOP NO 66 PTADIYA COMPLEX, NEAR SECONDARY, HIGH SCHOOL, OFF UTTAN ROAD, BHYAANDER WEST</t>
  </si>
  <si>
    <t>vijaythakkar69@gmail.com</t>
  </si>
  <si>
    <t>ASU DUBEY , BRIJESH AGRAWAL , ROHIT RAI AND PRADEEP YADAV</t>
  </si>
  <si>
    <t>DLR00000000173420</t>
  </si>
  <si>
    <t xml:space="preserve">VISHNU ENTERPRISE            </t>
  </si>
  <si>
    <t>27CLUPS5030H1ZM</t>
  </si>
  <si>
    <t>Darshit sayani</t>
  </si>
  <si>
    <t>SHOP NO 7,SHIV GEETA APT VARTAK SCHOOL ROAD, ANAND NAGAR WEST</t>
  </si>
  <si>
    <t>darshit_sayani@yahoo.com</t>
  </si>
  <si>
    <t xml:space="preserve">Darshit sayani </t>
  </si>
  <si>
    <t>DLR00000000173423</t>
  </si>
  <si>
    <t xml:space="preserve">KAMAL ENTERPRISE        </t>
  </si>
  <si>
    <t>27AHRPP9014H1ZV</t>
  </si>
  <si>
    <t>Kamlesh Shantilal popat</t>
  </si>
  <si>
    <t>B-4,GEETANJALI APARTMENTS, ANAND NAGAR NR KL.T. CINEMA VASAI WEST</t>
  </si>
  <si>
    <t>kamalp25275@gmail.com</t>
  </si>
  <si>
    <t xml:space="preserve">MILIND DHANESHA </t>
  </si>
  <si>
    <t>ACUSDP0183</t>
  </si>
  <si>
    <t>PRABHAT TRADING COM.</t>
  </si>
  <si>
    <t>CHANDI VALI</t>
  </si>
  <si>
    <t>DLR00000000169817</t>
  </si>
  <si>
    <t>ARIHANT KIRANA &amp; GENERSAL STOERS</t>
  </si>
  <si>
    <t>GOREGOAN</t>
  </si>
  <si>
    <t>27ATHPJ5496R1ZN</t>
  </si>
  <si>
    <t>MAHAVEER</t>
  </si>
  <si>
    <t>EKTA NAGAR GANESH NAGAR CHARKIP LINK RO KANDIVALI WEST</t>
  </si>
  <si>
    <t>mahavirjain829/2gmail.com</t>
  </si>
  <si>
    <t xml:space="preserve">Shailendra Thakur  </t>
  </si>
  <si>
    <t>DLR00000000173191</t>
  </si>
  <si>
    <t>S.S.V ENTERPRISES</t>
  </si>
  <si>
    <t>27ADNPY0151G1ZC</t>
  </si>
  <si>
    <t>JAYSINGH YADAV</t>
  </si>
  <si>
    <t>7219867690/9870507405</t>
  </si>
  <si>
    <t>PRAYAS CO-OP SOCEIETY, F- WING GAWADEY NAGAR, RAWALPADA, S.N.DUBE ROAD, DAHISAR EAST MUMBAI 400068</t>
  </si>
  <si>
    <t>ssventerprises577@gmail.com</t>
  </si>
  <si>
    <t>SUJEET JHA</t>
  </si>
  <si>
    <t>DLR00000000169838</t>
  </si>
  <si>
    <t>J.P. AGENCIES</t>
  </si>
  <si>
    <t>27AFHPA4966P1ZW</t>
  </si>
  <si>
    <t>RAJESH PRATAP SING</t>
  </si>
  <si>
    <t>2 &amp; 3, MAHADEV APPT. CHEDDA COMPLEX MALVANI MALAD WEST MUMBAI (400095) 09820257023 / 09820257023</t>
  </si>
  <si>
    <t>rajesh.h.singh75@gmail.com</t>
  </si>
  <si>
    <t>JIGNESH PATEL &amp; AJEET SINGH</t>
  </si>
  <si>
    <t>DLR00000000170635</t>
  </si>
  <si>
    <t>SHREE MURUGAN AGENCY</t>
  </si>
  <si>
    <t>27BPZPN5907A1ZJ</t>
  </si>
  <si>
    <t>VIVEK PALKANAI NADAR</t>
  </si>
  <si>
    <t>SANTOSH NAGAR,BMC COLONY NR.SAI BABA MANDIR GOREGAON (EAST) 400065 8356928297</t>
  </si>
  <si>
    <t>viveknadar0454@gmail.com</t>
  </si>
  <si>
    <t xml:space="preserve">ADIL KHAN RITESH KANDU </t>
  </si>
  <si>
    <t>DLR00000000169857</t>
  </si>
  <si>
    <t>BALAJI ENTERPRISES</t>
  </si>
  <si>
    <t>27AKOPJ7452M1ZG</t>
  </si>
  <si>
    <t>HIMANSHU JOSHI</t>
  </si>
  <si>
    <t>82 CHAWL ROOM NO.652</t>
  </si>
  <si>
    <t>himanshujoshi1575@gmail.com</t>
  </si>
  <si>
    <t>JAYBIND YADAV  AND HIMANSHU  JOSHI</t>
  </si>
  <si>
    <t>DLR00000000169970</t>
  </si>
  <si>
    <t>STAR SALES</t>
  </si>
  <si>
    <t>27AA0PS2351L1Z6</t>
  </si>
  <si>
    <t>NIMESH HARESH SETH</t>
  </si>
  <si>
    <t>STAR HOUSE, P.P ROAD,</t>
  </si>
  <si>
    <t>starsales4@gmail.com</t>
  </si>
  <si>
    <t>VISHAL GUAD  AND KESHRI NANDAN CHAUDHARY</t>
  </si>
  <si>
    <t>DLR00000000173568</t>
  </si>
  <si>
    <t>GALA ENTERPRIESE</t>
  </si>
  <si>
    <t>BANDRA</t>
  </si>
  <si>
    <t>27AFOPG8029G1Z8</t>
  </si>
  <si>
    <t>HIREN HASMUKH GALA</t>
  </si>
  <si>
    <t>9819756025/ 7711897711</t>
  </si>
  <si>
    <t>1ST FLOOR ABOVE SHOP NO 127, VAISHALI EMPORIUM KHERWADI RD BANDRA EAST MUMBAI CITY MAHARASHTRA 400051</t>
  </si>
  <si>
    <t>ACUSDSS004</t>
  </si>
  <si>
    <t xml:space="preserve">SHREE DATTA AGENCY </t>
  </si>
  <si>
    <t>Satara</t>
  </si>
  <si>
    <t>AISHWARYA DISTRIBUTORS</t>
  </si>
  <si>
    <t>SATARA</t>
  </si>
  <si>
    <t>FHALTAN</t>
  </si>
  <si>
    <t>27AEYPG4842G1Z3</t>
  </si>
  <si>
    <t>TANMAY GANDHI</t>
  </si>
  <si>
    <t xml:space="preserve">AISHWARYA DISTRIBUTORS (NEAR BANK OF BARODA ) SHIVAJI CHOUK FHALTAN </t>
  </si>
  <si>
    <t>tanmay.fhaltan@rediffmail.com</t>
  </si>
  <si>
    <t>active</t>
  </si>
  <si>
    <t>KAUSTUBH BARVE</t>
  </si>
  <si>
    <t>DLR00000000174149</t>
  </si>
  <si>
    <t>CHINTAMANI DISTRIBUTORS</t>
  </si>
  <si>
    <t>SATARA ENTERIAR</t>
  </si>
  <si>
    <t>27AJUPB0010A1Z1</t>
  </si>
  <si>
    <t>SAGAR BHOSLE</t>
  </si>
  <si>
    <t xml:space="preserve">317/4 PLOT NO 13 BASSAPA PEATH KARANJE TURF SATARA </t>
  </si>
  <si>
    <t>sagar2981@gmail.com</t>
  </si>
  <si>
    <t>DLR000000174205</t>
  </si>
  <si>
    <t xml:space="preserve">Innovator distributor </t>
  </si>
  <si>
    <t>Satara city</t>
  </si>
  <si>
    <t>Chintamani vijay lad</t>
  </si>
  <si>
    <t>7796571299</t>
  </si>
  <si>
    <t>14,Gayatri housing society,Shahupuri satara</t>
  </si>
  <si>
    <t>chintamanivlad@gmail.xom</t>
  </si>
  <si>
    <t>DLR000000174204</t>
  </si>
  <si>
    <t>Parshwanath Agency</t>
  </si>
  <si>
    <t>Pusegaon,khatav,vaduj,budh,</t>
  </si>
  <si>
    <t>Kalpesh jayntilal Bhandari</t>
  </si>
  <si>
    <t>7709817941</t>
  </si>
  <si>
    <t>A/P Pusegaon Dahiwadi Road,pusegaon taluka Khatav</t>
  </si>
  <si>
    <t>bhandarikalpesh17@gmail.com</t>
  </si>
  <si>
    <t>DLR00000000174143</t>
  </si>
  <si>
    <t xml:space="preserve">RAGHUKUL AGENCY </t>
  </si>
  <si>
    <t>TARGAON</t>
  </si>
  <si>
    <t>ANAND CHANE</t>
  </si>
  <si>
    <t>AT/POST M NO 438 DURGALAWADI, TAL KORGAON DIST SATARA LOREGAON SATARA MAHARASHTRA 415501</t>
  </si>
  <si>
    <t>anandchanee12@gmail.com</t>
  </si>
  <si>
    <t>PAKIZA ENTERPRISES</t>
  </si>
  <si>
    <t>KARAD</t>
  </si>
  <si>
    <t>TABRJ MUJAVAR</t>
  </si>
  <si>
    <t>KARVE NAKA KARAD NEAR BANK OF MAHARASHTRA</t>
  </si>
  <si>
    <t>TABRJ1990@GMAIL.COM/PAKIJAENTERPRISES@HOTMAIL.COM</t>
  </si>
  <si>
    <t>DLR00000000174148</t>
  </si>
  <si>
    <t>SHREE BRAMHCHAITANYA AGENCY</t>
  </si>
  <si>
    <t>KOREGAON</t>
  </si>
  <si>
    <t>27BNIPT9355D1ZI</t>
  </si>
  <si>
    <t>DHANANJAY TEAKE</t>
  </si>
  <si>
    <t xml:space="preserve">SHAHUNAR KORGAON </t>
  </si>
  <si>
    <t>DHANANJAYTEKE121@GMAIL.COM</t>
  </si>
  <si>
    <t>DLR00000000174150</t>
  </si>
  <si>
    <t xml:space="preserve">SAI ENTERPRISES </t>
  </si>
  <si>
    <t>BAVDHAN</t>
  </si>
  <si>
    <t>ABHIJEET ANPAT</t>
  </si>
  <si>
    <t xml:space="preserve">AT/POST BAVDHAN NEAR GRAMEEN RUGHNALAYA </t>
  </si>
  <si>
    <t>ABHIJEET6081@GMAIL.COM</t>
  </si>
  <si>
    <t>DLR00000000173661</t>
  </si>
  <si>
    <t>S B ENTERPRISES</t>
  </si>
  <si>
    <t>SHIRALA</t>
  </si>
  <si>
    <t>GOURANG CHITURKAR</t>
  </si>
  <si>
    <t>GURUWAR PETH 32 SHIRALA</t>
  </si>
  <si>
    <t>DLR00000000173680</t>
  </si>
  <si>
    <t>SAGARE AGENCY</t>
  </si>
  <si>
    <t>KAVATEMAHANKAL</t>
  </si>
  <si>
    <t>AKSHAY SAGARE</t>
  </si>
  <si>
    <t xml:space="preserve">POST OFFICE KAVATEMAHANKAL </t>
  </si>
  <si>
    <t>AKSHAYSAGARE4@GMAIL.COM</t>
  </si>
  <si>
    <t>Kapil Sharma</t>
  </si>
  <si>
    <t>ACUSDO0026</t>
  </si>
  <si>
    <t>OPTIMIZE CRUSDER</t>
  </si>
  <si>
    <t>Nagpur</t>
  </si>
  <si>
    <t>NaKshtra agency</t>
  </si>
  <si>
    <t>akola</t>
  </si>
  <si>
    <t>27BIFOD7774J1ZV</t>
  </si>
  <si>
    <t>nikunj</t>
  </si>
  <si>
    <t>near manek talkies akola</t>
  </si>
  <si>
    <t>nakshtra2307@gmail.com</t>
  </si>
  <si>
    <t>PRAKASH SIDAM AND RAHUL AMBADKAR</t>
  </si>
  <si>
    <t>shri krishna marketing</t>
  </si>
  <si>
    <t>arvi</t>
  </si>
  <si>
    <t>ashok</t>
  </si>
  <si>
    <t>walisaheb ward, masjid road</t>
  </si>
  <si>
    <t>bhute agency</t>
  </si>
  <si>
    <t>ballarpur</t>
  </si>
  <si>
    <t>prafull</t>
  </si>
  <si>
    <t>77679 87771</t>
  </si>
  <si>
    <t>new colony gate, jai bhim chowk</t>
  </si>
  <si>
    <t>Sp agency</t>
  </si>
  <si>
    <t>bhadrvati</t>
  </si>
  <si>
    <t>sanjay</t>
  </si>
  <si>
    <t>90119 48182</t>
  </si>
  <si>
    <t>shivaji nagar behind nag mandir</t>
  </si>
  <si>
    <t>golden foods</t>
  </si>
  <si>
    <t>Borkhedi</t>
  </si>
  <si>
    <t>27ATKPK8946L1ZU</t>
  </si>
  <si>
    <t>salman</t>
  </si>
  <si>
    <t>ward no 3 new basti</t>
  </si>
  <si>
    <t>goldenfoodsfmcg@gmail.com</t>
  </si>
  <si>
    <t>narayan marketing</t>
  </si>
  <si>
    <t>chandrapur</t>
  </si>
  <si>
    <t>bablu mantri</t>
  </si>
  <si>
    <t>chepurkar hospital gokul galli</t>
  </si>
  <si>
    <t>rk trader's</t>
  </si>
  <si>
    <t>27HUSPK1472H1Z3</t>
  </si>
  <si>
    <t xml:space="preserve">riaz </t>
  </si>
  <si>
    <t>tilak maidan, bazar ward</t>
  </si>
  <si>
    <t>riyaz1145@gmail.com</t>
  </si>
  <si>
    <t>mohak trader's</t>
  </si>
  <si>
    <t>chimur</t>
  </si>
  <si>
    <t>27AZPPB0428H1ZI</t>
  </si>
  <si>
    <t>moreshwar</t>
  </si>
  <si>
    <t>95273 37760</t>
  </si>
  <si>
    <t>waidala paiku manik nagar</t>
  </si>
  <si>
    <t>Mbmk514@gmail.com</t>
  </si>
  <si>
    <t>deva agency</t>
  </si>
  <si>
    <t>dariyapur</t>
  </si>
  <si>
    <t>27CNOPB1869H1ZQ</t>
  </si>
  <si>
    <t>pankaj</t>
  </si>
  <si>
    <t>near nikuntheshwar mandir</t>
  </si>
  <si>
    <t>pankajbais60@gmail.com</t>
  </si>
  <si>
    <t>asif trader's</t>
  </si>
  <si>
    <t>dharni</t>
  </si>
  <si>
    <t>balaji complex main road</t>
  </si>
  <si>
    <t>atharva agency</t>
  </si>
  <si>
    <t>digras</t>
  </si>
  <si>
    <t>27AOVPP7179N1ZL</t>
  </si>
  <si>
    <t>atharva</t>
  </si>
  <si>
    <t>near ram mandir</t>
  </si>
  <si>
    <t>padmawaramol11@gmail.com</t>
  </si>
  <si>
    <t>bikaner agency</t>
  </si>
  <si>
    <t>gadichiroli</t>
  </si>
  <si>
    <t>27BMIPA7765H1ZT</t>
  </si>
  <si>
    <t>mohit</t>
  </si>
  <si>
    <t>chemist bhavan charmorshi road</t>
  </si>
  <si>
    <t>mohitpartani8@gmail.com</t>
  </si>
  <si>
    <t>mahalaxmi agency</t>
  </si>
  <si>
    <t>ghatanji</t>
  </si>
  <si>
    <t>harse</t>
  </si>
  <si>
    <t>ap11/12 ram mandir road</t>
  </si>
  <si>
    <t>nirajharshe@gmail.com</t>
  </si>
  <si>
    <t>roshan trader's</t>
  </si>
  <si>
    <t>kamptee</t>
  </si>
  <si>
    <t>27CKNPC4183R1ZE</t>
  </si>
  <si>
    <t>pramod</t>
  </si>
  <si>
    <t>98603 23746</t>
  </si>
  <si>
    <t>near, chowdhari hospital</t>
  </si>
  <si>
    <t>pramodchunchunwar739@gmail.com</t>
  </si>
  <si>
    <t>laxmi trading</t>
  </si>
  <si>
    <t>kandri</t>
  </si>
  <si>
    <t>27AIEPG9672L1ZP</t>
  </si>
  <si>
    <t>vinod</t>
  </si>
  <si>
    <t>chandrama complex jabalpur road</t>
  </si>
  <si>
    <t>laxmitradingkamptee@gmail.com</t>
  </si>
  <si>
    <t>new rozina agency</t>
  </si>
  <si>
    <t>katol</t>
  </si>
  <si>
    <t>27CEKPS6714R1ZH</t>
  </si>
  <si>
    <t>akram</t>
  </si>
  <si>
    <t>ward no2 pethbudhwar near urdu school</t>
  </si>
  <si>
    <t>akrambsheikh1986@gmail.com</t>
  </si>
  <si>
    <t>Shri satta traders</t>
  </si>
  <si>
    <t>khaperkheda</t>
  </si>
  <si>
    <t>singh</t>
  </si>
  <si>
    <t>new chankapurwalni road</t>
  </si>
  <si>
    <t>crownparam09@gmail.com</t>
  </si>
  <si>
    <t>payal agency</t>
  </si>
  <si>
    <t>nagbid</t>
  </si>
  <si>
    <t>hemant</t>
  </si>
  <si>
    <t>main bazar road nagbid</t>
  </si>
  <si>
    <t>shreeji foods</t>
  </si>
  <si>
    <t>nagpur</t>
  </si>
  <si>
    <t>27AXEPM5707D1ZM</t>
  </si>
  <si>
    <t>raju</t>
  </si>
  <si>
    <t>gandhi nagar behind metro station lad college</t>
  </si>
  <si>
    <t>rajeshmohota95@gmail.com</t>
  </si>
  <si>
    <t>S &amp; S traders</t>
  </si>
  <si>
    <t>nirbhay shah</t>
  </si>
  <si>
    <t>house no 407,telipura, itwari behind maharaj garaj</t>
  </si>
  <si>
    <t>duttkrupa agency</t>
  </si>
  <si>
    <t>pusad</t>
  </si>
  <si>
    <t>vijay</t>
  </si>
  <si>
    <t>main road near santoshi mata temple</t>
  </si>
  <si>
    <t>rajesh agency</t>
  </si>
  <si>
    <t>umred</t>
  </si>
  <si>
    <t>98222 37392</t>
  </si>
  <si>
    <t>near old bus stop</t>
  </si>
  <si>
    <t>ashutosh trading</t>
  </si>
  <si>
    <t>wani</t>
  </si>
  <si>
    <t>sant gadge baba square</t>
  </si>
  <si>
    <t>bhargav marketing</t>
  </si>
  <si>
    <t>yavatmal</t>
  </si>
  <si>
    <t>98600 76480</t>
  </si>
  <si>
    <t>Atwadi bazar, jhansi rani chowk</t>
  </si>
  <si>
    <t>p.tanna789123@gmail.com</t>
  </si>
  <si>
    <t>Gundia</t>
  </si>
  <si>
    <t>ASHISH AGENCY GONDYA</t>
  </si>
  <si>
    <t>GONDIA</t>
  </si>
  <si>
    <t>27ABQPG8693L1ZP</t>
  </si>
  <si>
    <t>ASHISH GUPTA</t>
  </si>
  <si>
    <t>AT TAHSHIL  POST DIST GONDIA</t>
  </si>
  <si>
    <t>ashishgupta.ag273@gmail.com</t>
  </si>
  <si>
    <t>JAGDISH LANJEARJ</t>
  </si>
  <si>
    <t>PIONEER TRADING SADAK ARJANI</t>
  </si>
  <si>
    <t>SADAK ARJANI</t>
  </si>
  <si>
    <t>27ATCPA4805A1ZH</t>
  </si>
  <si>
    <t>RAHUL AGRAWAL</t>
  </si>
  <si>
    <t>AT TAHSHIL SADAK ARJANIDIST GONDIA</t>
  </si>
  <si>
    <t>rahulagr03@gmail.com</t>
  </si>
  <si>
    <t>SACHIN STORES</t>
  </si>
  <si>
    <t>TIRADA</t>
  </si>
  <si>
    <t>27AAJPW5151H1ZC</t>
  </si>
  <si>
    <t>PRAMOD</t>
  </si>
  <si>
    <t>AT TAHSHIL TIRODA  POST DIST GONDIA</t>
  </si>
  <si>
    <t>sachinstores@gmail.com</t>
  </si>
  <si>
    <t>L AND B TRADERS sakoli</t>
  </si>
  <si>
    <t>BHANDARA</t>
  </si>
  <si>
    <t>SAKOLI</t>
  </si>
  <si>
    <t>27PDPL7988N1ZW</t>
  </si>
  <si>
    <t>NIKHIL LANJWAR</t>
  </si>
  <si>
    <t>AT TAHSHIL SAKALI   POST DIST BHANDARA</t>
  </si>
  <si>
    <t>nnlanjewar@gmail.com</t>
  </si>
  <si>
    <t>SATISH TRADERS</t>
  </si>
  <si>
    <t>AMGAON</t>
  </si>
  <si>
    <t>27ACQPK6442C1ZJ</t>
  </si>
  <si>
    <t>SATISH KHANDEGAL</t>
  </si>
  <si>
    <t>AT TAHSHIL AMGAON DIST GONDIA</t>
  </si>
  <si>
    <t>satishkhandelwal6666@gmail.com</t>
  </si>
  <si>
    <t>RAJESH KIRANA</t>
  </si>
  <si>
    <t>DEORI</t>
  </si>
  <si>
    <t>27AGHPA9814F1ZI</t>
  </si>
  <si>
    <t>AKKASH AGRAWAL</t>
  </si>
  <si>
    <t>AT TAHSHIL DEORI DIST GONDIA</t>
  </si>
  <si>
    <t>akashagarwal1711@gmail.com</t>
  </si>
  <si>
    <t xml:space="preserve">SHRIM OM SAI AGENCY </t>
  </si>
  <si>
    <t>GOREGAON</t>
  </si>
  <si>
    <t>27ATTPC5859R1ZJ</t>
  </si>
  <si>
    <t>ATUL CHAMAT</t>
  </si>
  <si>
    <t>AT TAHSHIL GONDIA  POST DIST GONDIA</t>
  </si>
  <si>
    <t>atulchamat786@gmail.com</t>
  </si>
  <si>
    <t>ACUSDSS001</t>
  </si>
  <si>
    <t>Jai Mata Di Agency</t>
  </si>
  <si>
    <t>NASHIK</t>
  </si>
  <si>
    <t>KANAK ENTERPRISES</t>
  </si>
  <si>
    <t>DEOLALI CAMP/BHAGUR</t>
  </si>
  <si>
    <t>MANOJ VAZIRANI</t>
  </si>
  <si>
    <t>OPP,CANTONMENT LIBRARY,WADNER ROAD,DEOLALI CAMP,NASHIK 422401</t>
  </si>
  <si>
    <t>VIJAY TRADERS</t>
  </si>
  <si>
    <t>GHOTI</t>
  </si>
  <si>
    <t>27ADRPC5194M1ZW</t>
  </si>
  <si>
    <t>VIJAY CHORDIYA</t>
  </si>
  <si>
    <t>AGRA ROAD,GHOTI TAL.IGATPURI 422402</t>
  </si>
  <si>
    <t>YOGESH AGENCY</t>
  </si>
  <si>
    <t>MANMAD</t>
  </si>
  <si>
    <t>27AAOPG8468Q1ZM</t>
  </si>
  <si>
    <t>KARAN SETH</t>
  </si>
  <si>
    <t>MANKE COMPOUND,MANMAD 423104</t>
  </si>
  <si>
    <t>VIJAY SALES CORPORATION</t>
  </si>
  <si>
    <t>NASHIROAD</t>
  </si>
  <si>
    <t>27AACFV6442R1ZG</t>
  </si>
  <si>
    <t>GAURAV TANK</t>
  </si>
  <si>
    <t xml:space="preserve">SATYAM BUILDING,B/H KALANTRI MANGAL KAR.DATTA MANDIR RD,NASHIK ROAD,NASHIK </t>
  </si>
  <si>
    <t>ACUSDSS003</t>
  </si>
  <si>
    <t>KRISHNA AGENCIES</t>
  </si>
  <si>
    <t>Aurangabad</t>
  </si>
  <si>
    <t>SHRI GAJANAN TRADING CO</t>
  </si>
  <si>
    <t>JALNA</t>
  </si>
  <si>
    <t>27AYTPS0636B1Z9</t>
  </si>
  <si>
    <t>MR.MANOJ PRALAHDRAO SULAKHE</t>
  </si>
  <si>
    <t>NEAR SANTOSHI MATA MANDIR,GOPIKRISHNA NAGAR, JALNA</t>
  </si>
  <si>
    <t>deepaksulakhe101@gmail.com</t>
  </si>
  <si>
    <t>MAYUR ENTERPRISES</t>
  </si>
  <si>
    <t>AURANGABAD</t>
  </si>
  <si>
    <t>A,bad Rural</t>
  </si>
  <si>
    <t>27AMCPA0155E1ZS</t>
  </si>
  <si>
    <t>MR VILAS D.ARHATE</t>
  </si>
  <si>
    <t>PLOT NO 76 NEW VISHAL NAGAR,NEAR WONDER GARDEN SCHOOL GARKHEDA,AURANGABAD.</t>
  </si>
  <si>
    <t>vilas.d.arhate@gmail.com</t>
  </si>
  <si>
    <t>H M AGENCIES</t>
  </si>
  <si>
    <t>KHULTABAD</t>
  </si>
  <si>
    <t>27DXBPS4167M1ZT</t>
  </si>
  <si>
    <t>MR.SHEK ZIYA UDDIN</t>
  </si>
  <si>
    <t>NEAR MUSA KIRANA, KHULTABAD.</t>
  </si>
  <si>
    <t>RADHASWAMI DEPATMENT</t>
  </si>
  <si>
    <t>PAITHAN</t>
  </si>
  <si>
    <t>27ABXPM4861B1ZB</t>
  </si>
  <si>
    <t>MR MAHESH MOTIYANI</t>
  </si>
  <si>
    <t>OPP BUS STAND ROAD,NEAR NATH HIGH SCHOOL,PAITHAN.</t>
  </si>
  <si>
    <t>mahesh.motiyani70@gmail.com</t>
  </si>
  <si>
    <t>VARAD AGENCIES</t>
  </si>
  <si>
    <t>GANAGAPUR</t>
  </si>
  <si>
    <t>27AITPJ9177G1ZI</t>
  </si>
  <si>
    <t>MR.ANKUSH JAIN</t>
  </si>
  <si>
    <t>NEAR Z P SCHOOL,KATKAR GALLI,GANGAPUR</t>
  </si>
  <si>
    <t>ACUSDSS005</t>
  </si>
  <si>
    <t xml:space="preserve">ADHIRA AGENCY </t>
  </si>
  <si>
    <t>Ahamadnagar</t>
  </si>
  <si>
    <t>Rajesh Agency</t>
  </si>
  <si>
    <t>Ahilyanagar</t>
  </si>
  <si>
    <t>Kolhar</t>
  </si>
  <si>
    <t>27ALXPT5837G1Z7</t>
  </si>
  <si>
    <t>9823969585</t>
  </si>
  <si>
    <t>A/P- Kolhar, Tal-Rahata, Dist- Ahilyanagar</t>
  </si>
  <si>
    <t>NOT REC</t>
  </si>
  <si>
    <t xml:space="preserve">S.B.Food Products </t>
  </si>
  <si>
    <t>Mahegaon</t>
  </si>
  <si>
    <t>27BJOPB5684D1Z2</t>
  </si>
  <si>
    <t>9096653632</t>
  </si>
  <si>
    <t>Mahegaon (Mahaduckcenter),Tal-Rahuri, Dist- Ahilyanagar</t>
  </si>
  <si>
    <t xml:space="preserve">Shree Siddhivinayak Agency </t>
  </si>
  <si>
    <t>27AFNPT8798N1ZX</t>
  </si>
  <si>
    <t>9420944020</t>
  </si>
  <si>
    <t>Bhawani Nagar, Bhandewadi,Karjat, Ahilyanagar</t>
  </si>
  <si>
    <t xml:space="preserve">Jayesh Agencies </t>
  </si>
  <si>
    <t>Shrigonda</t>
  </si>
  <si>
    <t>27ANAPB0478J1Z6</t>
  </si>
  <si>
    <t>9404976670</t>
  </si>
  <si>
    <t>At Post Tal- Shrigonda,</t>
  </si>
  <si>
    <t>Gandhade Agency</t>
  </si>
  <si>
    <t>Parner</t>
  </si>
  <si>
    <t>27AEBPG8981K1Z1</t>
  </si>
  <si>
    <t>9834780081</t>
  </si>
  <si>
    <t xml:space="preserve">A/P-Parner, Tal- Parner, </t>
  </si>
  <si>
    <t>Tejas Enterprises</t>
  </si>
  <si>
    <t>Rahuri</t>
  </si>
  <si>
    <t>9423378003</t>
  </si>
  <si>
    <t>A/P- Rahuri, Tal-Rahuri</t>
  </si>
  <si>
    <t>Sanjay Bhushan Gandhi</t>
  </si>
  <si>
    <t>Vambori</t>
  </si>
  <si>
    <t>9145118008</t>
  </si>
  <si>
    <t>A/P-Vambori. Tal-Rahuri</t>
  </si>
  <si>
    <t>Sai Agency</t>
  </si>
  <si>
    <t>Sonai</t>
  </si>
  <si>
    <t>9325588991</t>
  </si>
  <si>
    <t>A/P-Soani, Tal-Newasa</t>
  </si>
  <si>
    <t>DLR00000000173958</t>
  </si>
  <si>
    <t xml:space="preserve">Shree Enterprises </t>
  </si>
  <si>
    <t xml:space="preserve">Kudal </t>
  </si>
  <si>
    <t>27ECXPS9012K1ZN</t>
  </si>
  <si>
    <t xml:space="preserve">Mahesh Sawant </t>
  </si>
  <si>
    <t>Opp -Maratha Chitramandir Kelbaiwadi Tal.Kudal Dis.Sindhudurg</t>
  </si>
  <si>
    <t>DLR00000000173957</t>
  </si>
  <si>
    <t xml:space="preserve">Shri Bhagwati Enterprises </t>
  </si>
  <si>
    <t xml:space="preserve">Devrukh </t>
  </si>
  <si>
    <t>27AJEPT3323H1Z6</t>
  </si>
  <si>
    <t>Mandar Vankar</t>
  </si>
  <si>
    <t>Devrukh Sadawali</t>
  </si>
  <si>
    <t>mandar.vankar78@gmail.com</t>
  </si>
  <si>
    <t xml:space="preserve">Shri Swami Samarth Enterprises </t>
  </si>
  <si>
    <t xml:space="preserve">Banda </t>
  </si>
  <si>
    <t>27AKFED8843F1Z5</t>
  </si>
  <si>
    <t xml:space="preserve">Nilesh Desai </t>
  </si>
  <si>
    <t>At-Post Degve Doda Marg Road Bandra Tal.Sawsntwadi Dis.Sindhudurg</t>
  </si>
  <si>
    <t>DLR00000000173964</t>
  </si>
  <si>
    <t xml:space="preserve">Shri Yogeshwari Agency </t>
  </si>
  <si>
    <t xml:space="preserve">Lanja </t>
  </si>
  <si>
    <t xml:space="preserve">Sunil Abhyankar </t>
  </si>
  <si>
    <t xml:space="preserve">At-Post Kelambe Lanja </t>
  </si>
  <si>
    <t>sunilabhyankar1978@gmail.com</t>
  </si>
  <si>
    <t>DLR00000000173900</t>
  </si>
  <si>
    <t xml:space="preserve">Shriram Traders </t>
  </si>
  <si>
    <t>27CIFPS4210R1ZQ</t>
  </si>
  <si>
    <t xml:space="preserve">Ketan Shinde </t>
  </si>
  <si>
    <t xml:space="preserve">C-301Midc Mirjole Ratnagiri </t>
  </si>
  <si>
    <t>vasantshinde157@gmail.com</t>
  </si>
  <si>
    <t>DLR00000000172209</t>
  </si>
  <si>
    <t>SUYOG AGENCIES</t>
  </si>
  <si>
    <t>GADHINGLAJ</t>
  </si>
  <si>
    <t>27ADDPP4985F1Z7</t>
  </si>
  <si>
    <t>MR. YUVRAJ PATIL</t>
  </si>
  <si>
    <t>BADGAON ROAD, GADHINGLAJ</t>
  </si>
  <si>
    <t>DLR00000000173683</t>
  </si>
  <si>
    <t>SHATRUNJAY DISTRIBUTERS</t>
  </si>
  <si>
    <t>TASGAON</t>
  </si>
  <si>
    <t>27ADBFS2499B1Z2</t>
  </si>
  <si>
    <t>DHAWAL SHAH</t>
  </si>
  <si>
    <t>MORYA COMPLEX POST OFFICE ROAD NEAR GANPATI TEMPLE TASGAON</t>
  </si>
  <si>
    <t>DHAWAL.24486@GMIAL.COM</t>
  </si>
  <si>
    <t>DLR00000000173668</t>
  </si>
  <si>
    <t>SUMATI AGENCIES</t>
  </si>
  <si>
    <t>27AQKPB3029Q1ZJ</t>
  </si>
  <si>
    <t>RAKESH BHANDARI</t>
  </si>
  <si>
    <t>566 SHANIWAR PETH PATAN COLONY KARAD.415110</t>
  </si>
  <si>
    <t>RAKESHRBHANDARI@YAHOO.COM</t>
  </si>
  <si>
    <t>DLR00000000173669</t>
  </si>
  <si>
    <t>Sushant S Kavathekar Kananwadi</t>
  </si>
  <si>
    <t>VINAYAK AGENCY</t>
  </si>
  <si>
    <t>ISLAMPUR</t>
  </si>
  <si>
    <t>27ADQPC4486K1ZO</t>
  </si>
  <si>
    <t>ANIL CHOWDHARY</t>
  </si>
  <si>
    <t xml:space="preserve">MAIN ROAD ISLAMPUR </t>
  </si>
  <si>
    <t>DLR00000000170890</t>
  </si>
  <si>
    <t>SHREE ENTERPRISES</t>
  </si>
  <si>
    <t>RATNAGIRI</t>
  </si>
  <si>
    <t>DAPOLI</t>
  </si>
  <si>
    <t>27ACVPT1951A1ZD</t>
  </si>
  <si>
    <t>Mr.MAHESH TAMBADE</t>
  </si>
  <si>
    <t>H.NO.1644,AT JALGAON.DAPOLI</t>
  </si>
  <si>
    <t xml:space="preserve">tambademahesh0@gmail.com </t>
  </si>
  <si>
    <t>DLR00000000170078</t>
  </si>
  <si>
    <t>SHREE GANESH TRADERS</t>
  </si>
  <si>
    <t>MOHAPADA</t>
  </si>
  <si>
    <t>27BXKPP9368Q1Z4</t>
  </si>
  <si>
    <t>Mr.MUNNA PATEL</t>
  </si>
  <si>
    <t>9975817232/845919720</t>
  </si>
  <si>
    <t>AT CHOWK,BAZAR PATH,MOHAPADA</t>
  </si>
  <si>
    <t>munneshpatel75@gmail.com</t>
  </si>
  <si>
    <t>DLR00000000170067</t>
  </si>
  <si>
    <t>SHREE SAIKRUPA TRADERS</t>
  </si>
  <si>
    <t>KHED</t>
  </si>
  <si>
    <t>27CHFPD1586C1ZM</t>
  </si>
  <si>
    <t>Mr.KSHITIJ DAREKAR</t>
  </si>
  <si>
    <t>MUNICIPAL COUNCIL KHED.GROUND FL,VANLEELA BLD,BAZAR PETH ,KHED.415709.</t>
  </si>
  <si>
    <t>kshitijsd@gmail.com</t>
  </si>
  <si>
    <t>DLR00000000173075</t>
  </si>
  <si>
    <t>SHAHEEN ENTERPRISES(PG)</t>
  </si>
  <si>
    <t>DLR00000000173074</t>
  </si>
  <si>
    <t>SHREE DATTA AGENCY ( PG )</t>
  </si>
  <si>
    <t>DLR00000000173072</t>
  </si>
  <si>
    <t>SHRI GANESH AGENCIES (PG Bhosari )</t>
  </si>
  <si>
    <t xml:space="preserve">BHOSARI </t>
  </si>
  <si>
    <t>27CGKPT2717B1ZE</t>
  </si>
  <si>
    <t>8177917492 / 8180991735</t>
  </si>
  <si>
    <t>Ramnagari Housing Society , Flat No 28, Room Number 203, Alandi Road Bhosari,</t>
  </si>
  <si>
    <t>DLR000000174172</t>
  </si>
  <si>
    <t xml:space="preserve">Shree kulswamini distributors </t>
  </si>
  <si>
    <t>Bhugaon</t>
  </si>
  <si>
    <t>27AWDp52595k12w</t>
  </si>
  <si>
    <t xml:space="preserve">Mr.Dipak </t>
  </si>
  <si>
    <t>9850989896</t>
  </si>
  <si>
    <t>Premat bungalow angre wali road bhukum pune</t>
  </si>
  <si>
    <t>Shreekulswaminidist@gmail.com</t>
  </si>
  <si>
    <t>DLR00000000173068</t>
  </si>
  <si>
    <t>SP TRADERS ( PG -BARAMATI)</t>
  </si>
  <si>
    <t>BARAMATI</t>
  </si>
  <si>
    <t>27BCRPP6530J1Z0</t>
  </si>
  <si>
    <t>8888549899</t>
  </si>
  <si>
    <t>684/14, H.NO.20/2,VASANTNAGAR NEAR MISSION SCHOOL,T.C.COLLEGE ROAD Jalochi , Baramati</t>
  </si>
  <si>
    <t>DLR00000000173066</t>
  </si>
  <si>
    <t>SUPERMART STORES ( PG-BHOSRI)</t>
  </si>
  <si>
    <t>BHOSRI</t>
  </si>
  <si>
    <t>27AEWFS7892C1Z6</t>
  </si>
  <si>
    <t>8530900777 / 7387647272</t>
  </si>
  <si>
    <t>Sr No 198/1,Radhakrush Nagar,Opposite Landage Natyagruh, Pune- Nashik Road, Bhosari.</t>
  </si>
  <si>
    <t>DLR00000000173057</t>
  </si>
  <si>
    <t>SWAMI SAMARTH AGENCY ( PG - Baramati )</t>
  </si>
  <si>
    <t>27CHBPC1772M1ZA</t>
  </si>
  <si>
    <t>8975319600</t>
  </si>
  <si>
    <t>Flat No.06,Wing-B,Zagade Residency,Jamdar Road,Kasba,Baramati,Pune</t>
  </si>
  <si>
    <t>DLR00000000173121</t>
  </si>
  <si>
    <t>TAJ SWEET ( PG - Malegaon)</t>
  </si>
  <si>
    <t>DLR00000000173055</t>
  </si>
  <si>
    <t>TIRUPATI AGENCIES ( PG )</t>
  </si>
  <si>
    <t>DLR00000000173054</t>
  </si>
  <si>
    <t>TRIDEV  AGENCYS ( PG )</t>
  </si>
  <si>
    <t>PCMC</t>
  </si>
  <si>
    <t>27BOXPP3311R1Z0</t>
  </si>
  <si>
    <t>9096728127</t>
  </si>
  <si>
    <t>GRN FL OFFICE NO-17A,SR NO-7/8/1,LAXMI RESIDENCY,TAPOVAN MANDIR ROAD,PMPIR</t>
  </si>
  <si>
    <t>DLR00000000173802</t>
  </si>
  <si>
    <t>VIJAY HOLSALE - PG</t>
  </si>
  <si>
    <t>DLR00000000173050</t>
  </si>
  <si>
    <t>YASHRAJ MARKETING ( PG-Daund )</t>
  </si>
  <si>
    <t>DAUND</t>
  </si>
  <si>
    <t>27AQBPT4957C1ZO</t>
  </si>
  <si>
    <t>7709344305</t>
  </si>
  <si>
    <t xml:space="preserve">Tarangan Residency Appartment Behind Mseb Sub Station,Dund </t>
  </si>
  <si>
    <t>DLR00000000172215</t>
  </si>
  <si>
    <t>VEERA AGENCIES</t>
  </si>
  <si>
    <t>ICHALKARANJI</t>
  </si>
  <si>
    <t>27ANLPC0299H1ZW</t>
  </si>
  <si>
    <t>MR. KAPIL CHOUGULE</t>
  </si>
  <si>
    <t>WARD NO 13/1904, SANT MALA, ICHALKARANJI</t>
  </si>
  <si>
    <t>DLR00000000172216</t>
  </si>
  <si>
    <t>VINIT ENTERPRISES</t>
  </si>
  <si>
    <t>KUR</t>
  </si>
  <si>
    <t>27ARBPD6379B1Z0</t>
  </si>
  <si>
    <t>MR. OMKAR DESAI</t>
  </si>
  <si>
    <t>NERA S T STAND, AT POST KUR, TALUKAR BHUDARGAD</t>
  </si>
  <si>
    <t>DLR00000000173461</t>
  </si>
  <si>
    <t>SHREE VERAI AGENCY</t>
  </si>
  <si>
    <t>THANE</t>
  </si>
  <si>
    <t>27JEXPD1034P1ZT</t>
  </si>
  <si>
    <t>TEJ DIPAK DOSHI</t>
  </si>
  <si>
    <t>SHOP NO.3 ANKU APARTMENT MAVLI MANDAL MARGE , DHOBI ALI, NEAR MASJID , THANE PIN CODE 400601</t>
  </si>
  <si>
    <t>tejdoshi619@gmail.com</t>
  </si>
  <si>
    <t>DLR00000000166308</t>
  </si>
  <si>
    <t>Thakkar Marketing-PG-Bhiwandi</t>
  </si>
  <si>
    <t>27AGFPT8562R1Z9</t>
  </si>
  <si>
    <t>JIGAR THAKKAR</t>
  </si>
  <si>
    <t>Ground Floor,H No 799/3,Opp Oswal Darshan Bldg,, Bhadra Compound,Narpoli Bhiwandi-421302, Mobile No-9890098785, FSSI No-11515018000255</t>
  </si>
  <si>
    <t>jthakar1986@gmail.com</t>
  </si>
  <si>
    <t xml:space="preserve">KAUSHIK THAKKAR  </t>
  </si>
  <si>
    <t>DLR00000000173554</t>
  </si>
  <si>
    <t>JAY SAI TRADING VIRAR E</t>
  </si>
  <si>
    <t>DLR00000000170426</t>
  </si>
  <si>
    <t>COUNTER SALE</t>
  </si>
  <si>
    <t>DLR00000000170105</t>
  </si>
  <si>
    <t>KHYATI ENTERPRISE</t>
  </si>
  <si>
    <t>SS</t>
  </si>
  <si>
    <t>Town</t>
  </si>
  <si>
    <t>J.P. Agency</t>
  </si>
  <si>
    <t>Malad (E&amp;W)</t>
  </si>
  <si>
    <t>Apr</t>
  </si>
  <si>
    <t>CNC</t>
  </si>
  <si>
    <t>Butter Delight</t>
  </si>
  <si>
    <t>Puff</t>
  </si>
  <si>
    <t>Jun</t>
  </si>
  <si>
    <t>Balaji Enterprises</t>
  </si>
  <si>
    <t>Jogeshwari (W)&amp; Goregaon (W)</t>
  </si>
  <si>
    <t xml:space="preserve">SHREE Murgan Agency </t>
  </si>
  <si>
    <t>Malad (E)</t>
  </si>
  <si>
    <t>ARIHANT G STORE</t>
  </si>
  <si>
    <t>Kandivali West</t>
  </si>
  <si>
    <t>S.S.V Enterprises</t>
  </si>
  <si>
    <t>DAHISAR (E)</t>
  </si>
  <si>
    <t>GALA ENTERPRISES</t>
  </si>
  <si>
    <t>Santacruz to Bandra</t>
  </si>
  <si>
    <t>Star Sales</t>
  </si>
  <si>
    <t>Andheri (E&amp;W)</t>
  </si>
  <si>
    <t>Counter Sales</t>
  </si>
  <si>
    <t>Bhayander</t>
  </si>
  <si>
    <t>Bhagwati Enterprises</t>
  </si>
  <si>
    <t>Kolaba</t>
  </si>
  <si>
    <t xml:space="preserve">SALAH ESSENTIAL </t>
  </si>
  <si>
    <t>Wadala</t>
  </si>
  <si>
    <t>Shree Ram Agency</t>
  </si>
  <si>
    <t>Masjid Bandar</t>
  </si>
  <si>
    <t>Jay Mata ji ent.</t>
  </si>
  <si>
    <t>Mahim To Worly</t>
  </si>
  <si>
    <t xml:space="preserve">Durga sales Agencies </t>
  </si>
  <si>
    <t>Dharavi</t>
  </si>
  <si>
    <t>Ganga Sales</t>
  </si>
  <si>
    <t>Sion</t>
  </si>
  <si>
    <t>Balwant &amp; Co.</t>
  </si>
  <si>
    <t xml:space="preserve">Wadala </t>
  </si>
  <si>
    <t>V.S. Marketing</t>
  </si>
  <si>
    <t>Ghatkoper(w)</t>
  </si>
  <si>
    <t>Nilam Agency</t>
  </si>
  <si>
    <t xml:space="preserve">Vashi Naka </t>
  </si>
  <si>
    <t>S.P. Enterprises</t>
  </si>
  <si>
    <t>Bhandup</t>
  </si>
  <si>
    <t>Om Sai Ganesh</t>
  </si>
  <si>
    <t>Mulund (E)</t>
  </si>
  <si>
    <t>Riyaan Enterprises</t>
  </si>
  <si>
    <t>Chembur (E)</t>
  </si>
  <si>
    <t>Kumar Store</t>
  </si>
  <si>
    <t>Kurla (W)</t>
  </si>
  <si>
    <t>Prisha Enterprise</t>
  </si>
  <si>
    <t>Vikroli East</t>
  </si>
  <si>
    <t>Express Enterprises</t>
  </si>
  <si>
    <t>Shivaji nagar Chembur</t>
  </si>
  <si>
    <t xml:space="preserve">Aarvi Enterprises/ WB MARKETING </t>
  </si>
  <si>
    <t>Ghatkoper (W)</t>
  </si>
  <si>
    <t xml:space="preserve">SHIFA MARKETING </t>
  </si>
  <si>
    <t xml:space="preserve">Pooja Agency/SHREE VARAI AGENCY </t>
  </si>
  <si>
    <t>Thana</t>
  </si>
  <si>
    <t>Minerva Agency</t>
  </si>
  <si>
    <t>U.N.R.</t>
  </si>
  <si>
    <t xml:space="preserve"> Popular Agency</t>
  </si>
  <si>
    <t xml:space="preserve"> Gala  Agency</t>
  </si>
  <si>
    <t>Dombvili (E)</t>
  </si>
  <si>
    <t>Ankur Enterprises</t>
  </si>
  <si>
    <t>Dombvili (W)</t>
  </si>
  <si>
    <t>R. P Enterprises</t>
  </si>
  <si>
    <t>Diva</t>
  </si>
  <si>
    <t xml:space="preserve">Bhanu Agency </t>
  </si>
  <si>
    <t>Kalyan (E &amp; W )</t>
  </si>
  <si>
    <t>Shree Samarth Agency</t>
  </si>
  <si>
    <t>Mohane</t>
  </si>
  <si>
    <t>Thakkar Marketing</t>
  </si>
  <si>
    <t>Bhiwandi</t>
  </si>
  <si>
    <t>Shah Agency</t>
  </si>
  <si>
    <t>Virar (East)</t>
  </si>
  <si>
    <t>Sai Enterprises/ Daiwik Ent</t>
  </si>
  <si>
    <t>Ambernath</t>
  </si>
  <si>
    <t>R.P. Traders</t>
  </si>
  <si>
    <t>Kalwa</t>
  </si>
  <si>
    <t xml:space="preserve">Priyanshu Enterprises </t>
  </si>
  <si>
    <t xml:space="preserve">Airoli </t>
  </si>
  <si>
    <t>R.P. Trading corporation</t>
  </si>
  <si>
    <t>Turbha</t>
  </si>
  <si>
    <t>S.K. Sales</t>
  </si>
  <si>
    <t>Govenaka</t>
  </si>
  <si>
    <t>Onkareshwar Ent.</t>
  </si>
  <si>
    <t>Vada</t>
  </si>
  <si>
    <t>Jai Jalaram Traders</t>
  </si>
  <si>
    <t>Vajreshwar</t>
  </si>
  <si>
    <t>Manish Agency</t>
  </si>
  <si>
    <t>Jawahar</t>
  </si>
  <si>
    <t>Ronak Agency</t>
  </si>
  <si>
    <t>Virar (West)</t>
  </si>
  <si>
    <t>Moinraza Agency</t>
  </si>
  <si>
    <t>Murbad</t>
  </si>
  <si>
    <t>Nimesh Sales</t>
  </si>
  <si>
    <t>Rajesh Saha</t>
  </si>
  <si>
    <t>Shahapur</t>
  </si>
  <si>
    <t>Shivshakti agency</t>
  </si>
  <si>
    <t>Shahapur outer</t>
  </si>
  <si>
    <t>Omkar Enterprises</t>
  </si>
  <si>
    <t>Vashind</t>
  </si>
  <si>
    <t>Prashant Traders</t>
  </si>
  <si>
    <t>Badlapur</t>
  </si>
  <si>
    <t>Shivkumari Enterprieses</t>
  </si>
  <si>
    <t>Mumbra</t>
  </si>
  <si>
    <t>Ashapura Sales</t>
  </si>
  <si>
    <t>Nalasopara (E)</t>
  </si>
  <si>
    <t>Om Trading</t>
  </si>
  <si>
    <t>Divya Agency</t>
  </si>
  <si>
    <t>Nalasopara (W)</t>
  </si>
  <si>
    <t>Nidhi Trading</t>
  </si>
  <si>
    <t>Palghar</t>
  </si>
  <si>
    <t>Jay Sai Trading</t>
  </si>
  <si>
    <t>Dhanu</t>
  </si>
  <si>
    <t>Siddhivinayak Sales Agency</t>
  </si>
  <si>
    <t>Miraroad &amp; Bhyandar (E &amp; W)</t>
  </si>
  <si>
    <t>Kamal Enterprises</t>
  </si>
  <si>
    <t>Vasai (W)</t>
  </si>
  <si>
    <t>Shree Sainath Agency</t>
  </si>
  <si>
    <t>Dahisar (E)</t>
  </si>
  <si>
    <t>Vasai   (E )</t>
  </si>
  <si>
    <t>Nilesh Marketing</t>
  </si>
  <si>
    <t>Kandivali (E)</t>
  </si>
  <si>
    <t>FARISH KIRANA STORES</t>
  </si>
  <si>
    <t xml:space="preserve">TALASARI </t>
  </si>
  <si>
    <t>ALISHAN TRADERS</t>
  </si>
  <si>
    <t>Cat.2</t>
  </si>
  <si>
    <t>C.N.C.</t>
  </si>
  <si>
    <t>SS 2</t>
  </si>
  <si>
    <t>DB</t>
  </si>
  <si>
    <t>DB 2</t>
  </si>
  <si>
    <t>SS1</t>
  </si>
  <si>
    <t>Vishnu Ent.(conf.)</t>
  </si>
  <si>
    <t>Nidhi Enterprises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</si>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</sst>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###,##0"/>
    <numFmt numFmtId="165" formatCode="###,###,##0.00"/>
    <numFmt numFmtId="166" formatCode="###,##0"/>
  </numFmts>
  <fonts count="6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3"/>
      <color rgb="FF000000"/>
      <name val="Calibri"/>
      <family val="2"/>
    </font>
    <font>
      <b/>
      <sz val="12"/>
      <color theme="0"/>
      <name val="Calibri"/>
      <family val="2"/>
    </font>
    <font>
      <b/>
      <sz val="9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Amasis MT Pro Black"/>
      <family val="1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1F1F1F"/>
      <name val="Calibri"/>
      <family val="2"/>
      <scheme val="minor"/>
    </font>
    <font>
      <b/>
      <sz val="12"/>
      <color rgb="FF1F1F1F"/>
      <name val="Arial MT"/>
    </font>
    <font>
      <sz val="16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.5"/>
      <color rgb="FF000000"/>
      <name val="Calibri"/>
      <family val="2"/>
    </font>
    <font>
      <sz val="13"/>
      <color rgb="FF000000"/>
      <name val="Calibri"/>
      <family val="2"/>
    </font>
    <font>
      <sz val="10.5"/>
      <color rgb="FF000000"/>
      <name val="Calibri"/>
      <family val="2"/>
    </font>
    <font>
      <sz val="13"/>
      <color rgb="FF000000"/>
      <name val="Calibri"/>
      <family val="2"/>
    </font>
    <font>
      <u/>
      <sz val="10.5"/>
      <color theme="10"/>
      <name val="Calibri"/>
      <family val="2"/>
    </font>
    <font>
      <sz val="11"/>
      <name val="Calibri"/>
      <family val="2"/>
    </font>
    <font>
      <b/>
      <sz val="11"/>
      <color rgb="FF1F1F1F"/>
      <name val="Arial MT"/>
    </font>
    <font>
      <b/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Amasis MT Pro Black"/>
      <family val="1"/>
    </font>
    <font>
      <b/>
      <sz val="11"/>
      <name val="Arial"/>
      <family val="2"/>
    </font>
    <font>
      <b/>
      <sz val="11"/>
      <color rgb="FF000000"/>
      <name val="Times New Roman"/>
      <family val="1"/>
    </font>
    <font>
      <b/>
      <sz val="11"/>
      <name val="Arial MT"/>
    </font>
    <font>
      <sz val="10"/>
      <name val="Calibri"/>
      <family val="2"/>
      <scheme val="minor"/>
    </font>
    <font>
      <sz val="10"/>
      <color rgb="FF1F1F1F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0E0E0"/>
      </left>
      <right style="thin">
        <color rgb="FFE0E0E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25">
    <xf numFmtId="0" fontId="0" fillId="0" borderId="0"/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right"/>
    </xf>
    <xf numFmtId="166" fontId="6" fillId="0" borderId="9">
      <alignment horizontal="right"/>
    </xf>
    <xf numFmtId="166" fontId="6" fillId="0" borderId="9">
      <alignment horizontal="righ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166" fontId="22" fillId="0" borderId="9">
      <alignment horizontal="left"/>
    </xf>
    <xf numFmtId="0" fontId="25" fillId="0" borderId="0" applyNumberFormat="0" applyFill="0" applyBorder="0" applyAlignment="0" applyProtection="0"/>
    <xf numFmtId="0" fontId="26" fillId="0" borderId="28" applyNumberFormat="0" applyFill="0" applyAlignment="0" applyProtection="0"/>
    <xf numFmtId="0" fontId="27" fillId="0" borderId="29" applyNumberFormat="0" applyFill="0" applyAlignment="0" applyProtection="0"/>
    <xf numFmtId="0" fontId="28" fillId="0" borderId="30" applyNumberFormat="0" applyFill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1" borderId="31" applyNumberFormat="0" applyAlignment="0" applyProtection="0"/>
    <xf numFmtId="0" fontId="32" fillId="12" borderId="32" applyNumberFormat="0" applyAlignment="0" applyProtection="0"/>
    <xf numFmtId="0" fontId="33" fillId="12" borderId="31" applyNumberFormat="0" applyAlignment="0" applyProtection="0"/>
    <xf numFmtId="0" fontId="34" fillId="0" borderId="33" applyNumberFormat="0" applyFill="0" applyAlignment="0" applyProtection="0"/>
    <xf numFmtId="0" fontId="35" fillId="13" borderId="34" applyNumberFormat="0" applyAlignment="0" applyProtection="0"/>
    <xf numFmtId="0" fontId="9" fillId="0" borderId="0" applyNumberFormat="0" applyFill="0" applyBorder="0" applyAlignment="0" applyProtection="0"/>
    <xf numFmtId="0" fontId="24" fillId="14" borderId="35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36" applyNumberFormat="0" applyFill="0" applyAlignment="0" applyProtection="0"/>
    <xf numFmtId="0" fontId="5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5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5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5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5" fillId="31" borderId="0" applyNumberFormat="0" applyBorder="0" applyAlignment="0" applyProtection="0"/>
    <xf numFmtId="0" fontId="24" fillId="32" borderId="0" applyNumberFormat="0" applyBorder="0" applyAlignment="0" applyProtection="0"/>
    <xf numFmtId="0" fontId="24" fillId="33" borderId="0" applyNumberFormat="0" applyBorder="0" applyAlignment="0" applyProtection="0"/>
    <xf numFmtId="0" fontId="5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7" borderId="0" applyNumberFormat="0" applyBorder="0" applyAlignment="0" applyProtection="0"/>
    <xf numFmtId="0" fontId="37" fillId="10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8" borderId="0" applyNumberFormat="0" applyBorder="0" applyAlignment="0" applyProtection="0"/>
    <xf numFmtId="0" fontId="48" fillId="0" borderId="0"/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49" fillId="0" borderId="9">
      <alignment horizontal="left"/>
    </xf>
    <xf numFmtId="0" fontId="6" fillId="0" borderId="9">
      <alignment horizontal="right"/>
    </xf>
    <xf numFmtId="0" fontId="6" fillId="0" borderId="9">
      <alignment horizontal="left"/>
    </xf>
    <xf numFmtId="0" fontId="6" fillId="0" borderId="9">
      <alignment horizontal="left"/>
    </xf>
    <xf numFmtId="0" fontId="6" fillId="0" borderId="9">
      <alignment horizontal="left"/>
    </xf>
    <xf numFmtId="0" fontId="50" fillId="0" borderId="0"/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1" fillId="0" borderId="9">
      <alignment horizontal="left"/>
    </xf>
    <xf numFmtId="0" fontId="53" fillId="0" borderId="0">
      <alignment vertical="center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0" fontId="52" fillId="0" borderId="0" applyNumberFormat="0" applyFill="0" applyBorder="0" applyAlignment="0" applyProtection="0"/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  <xf numFmtId="166" fontId="6" fillId="0" borderId="9">
      <alignment horizontal="left"/>
    </xf>
  </cellStyleXfs>
  <cellXfs count="306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0" applyNumberFormat="1"/>
    <xf numFmtId="0" fontId="8" fillId="2" borderId="12" xfId="0" applyFont="1" applyFill="1" applyBorder="1" applyAlignment="1">
      <alignment horizontal="center"/>
    </xf>
    <xf numFmtId="0" fontId="2" fillId="0" borderId="12" xfId="0" applyFont="1" applyBorder="1"/>
    <xf numFmtId="0" fontId="2" fillId="0" borderId="0" xfId="0" applyFont="1"/>
    <xf numFmtId="0" fontId="0" fillId="3" borderId="0" xfId="0" applyFill="1"/>
    <xf numFmtId="0" fontId="2" fillId="3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16" xfId="0" applyBorder="1" applyAlignment="1" applyProtection="1">
      <alignment horizontal="center" vertical="top"/>
      <protection hidden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5" fillId="0" borderId="8" xfId="0" applyFont="1" applyBorder="1" applyAlignment="1" applyProtection="1">
      <alignment horizontal="center" vertical="center" wrapText="1"/>
      <protection hidden="1"/>
    </xf>
    <xf numFmtId="0" fontId="13" fillId="5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7" fillId="0" borderId="18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9" xfId="0" applyFont="1" applyBorder="1" applyAlignment="1">
      <alignment horizontal="left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6" borderId="20" xfId="0" applyFill="1" applyBorder="1"/>
    <xf numFmtId="0" fontId="0" fillId="6" borderId="20" xfId="0" applyFill="1" applyBorder="1" applyAlignment="1">
      <alignment horizontal="center"/>
    </xf>
    <xf numFmtId="0" fontId="0" fillId="0" borderId="20" xfId="0" applyBorder="1" applyAlignment="1">
      <alignment wrapText="1"/>
    </xf>
    <xf numFmtId="0" fontId="0" fillId="7" borderId="20" xfId="0" applyFill="1" applyBorder="1"/>
    <xf numFmtId="0" fontId="0" fillId="0" borderId="22" xfId="0" applyBorder="1"/>
    <xf numFmtId="0" fontId="0" fillId="0" borderId="23" xfId="0" applyBorder="1" applyAlignment="1">
      <alignment horizontal="center"/>
    </xf>
    <xf numFmtId="166" fontId="6" fillId="0" borderId="24" xfId="2" applyBorder="1">
      <alignment horizontal="left"/>
    </xf>
    <xf numFmtId="166" fontId="6" fillId="0" borderId="24" xfId="5" applyBorder="1">
      <alignment horizontal="left"/>
    </xf>
    <xf numFmtId="166" fontId="6" fillId="0" borderId="24" xfId="6" applyBorder="1">
      <alignment horizontal="left"/>
    </xf>
    <xf numFmtId="166" fontId="6" fillId="0" borderId="24" xfId="10" applyBorder="1" applyAlignment="1">
      <alignment horizontal="center"/>
    </xf>
    <xf numFmtId="0" fontId="6" fillId="0" borderId="24" xfId="8" applyNumberFormat="1" applyBorder="1" applyAlignment="1">
      <alignment horizontal="center"/>
    </xf>
    <xf numFmtId="0" fontId="21" fillId="0" borderId="0" xfId="0" applyFont="1" applyAlignment="1" applyProtection="1">
      <alignment horizontal="right" vertical="center"/>
      <protection locked="0"/>
    </xf>
    <xf numFmtId="0" fontId="0" fillId="0" borderId="25" xfId="0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166" fontId="6" fillId="0" borderId="20" xfId="2" applyBorder="1">
      <alignment horizontal="left"/>
    </xf>
    <xf numFmtId="166" fontId="6" fillId="0" borderId="20" xfId="5" applyBorder="1">
      <alignment horizontal="left"/>
    </xf>
    <xf numFmtId="166" fontId="6" fillId="0" borderId="20" xfId="6" applyBorder="1">
      <alignment horizontal="left"/>
    </xf>
    <xf numFmtId="166" fontId="6" fillId="0" borderId="20" xfId="10" applyBorder="1" applyAlignment="1">
      <alignment horizontal="center"/>
    </xf>
    <xf numFmtId="166" fontId="6" fillId="0" borderId="20" xfId="9" applyBorder="1" applyAlignment="1">
      <alignment horizontal="left"/>
    </xf>
    <xf numFmtId="0" fontId="6" fillId="0" borderId="20" xfId="8" applyNumberFormat="1" applyBorder="1" applyAlignment="1">
      <alignment horizontal="center"/>
    </xf>
    <xf numFmtId="2" fontId="0" fillId="0" borderId="0" xfId="0" applyNumberFormat="1"/>
    <xf numFmtId="0" fontId="11" fillId="0" borderId="5" xfId="0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1" fillId="4" borderId="8" xfId="0" applyFont="1" applyFill="1" applyBorder="1" applyAlignment="1">
      <alignment horizontal="center" vertical="center"/>
    </xf>
    <xf numFmtId="0" fontId="14" fillId="0" borderId="5" xfId="0" applyFont="1" applyBorder="1" applyAlignment="1" applyProtection="1">
      <alignment horizontal="center" vertical="center" wrapText="1"/>
      <protection hidden="1"/>
    </xf>
    <xf numFmtId="0" fontId="40" fillId="0" borderId="5" xfId="0" applyFont="1" applyBorder="1" applyAlignment="1" applyProtection="1">
      <alignment horizontal="center" vertical="center" wrapText="1"/>
      <protection hidden="1"/>
    </xf>
    <xf numFmtId="0" fontId="40" fillId="0" borderId="8" xfId="0" applyFont="1" applyBorder="1" applyAlignment="1" applyProtection="1">
      <alignment horizontal="center" vertical="center" wrapText="1"/>
      <protection hidden="1"/>
    </xf>
    <xf numFmtId="164" fontId="5" fillId="0" borderId="1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5" xfId="0" applyBorder="1" applyAlignment="1" applyProtection="1">
      <alignment horizontal="center" vertical="center"/>
      <protection hidden="1"/>
    </xf>
    <xf numFmtId="0" fontId="4" fillId="0" borderId="0" xfId="0" applyFont="1"/>
    <xf numFmtId="164" fontId="0" fillId="0" borderId="20" xfId="0" applyNumberFormat="1" applyBorder="1" applyAlignment="1">
      <alignment horizontal="center"/>
    </xf>
    <xf numFmtId="0" fontId="10" fillId="0" borderId="0" xfId="0" applyFont="1" applyAlignment="1">
      <alignment wrapText="1"/>
    </xf>
    <xf numFmtId="0" fontId="47" fillId="6" borderId="20" xfId="0" applyFont="1" applyFill="1" applyBorder="1" applyAlignment="1">
      <alignment horizontal="center"/>
    </xf>
    <xf numFmtId="0" fontId="35" fillId="39" borderId="20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66" fontId="6" fillId="0" borderId="20" xfId="4" applyBorder="1">
      <alignment horizontal="left"/>
    </xf>
    <xf numFmtId="166" fontId="6" fillId="0" borderId="24" xfId="4" applyBorder="1">
      <alignment horizontal="left"/>
    </xf>
    <xf numFmtId="0" fontId="0" fillId="0" borderId="44" xfId="0" applyBorder="1"/>
    <xf numFmtId="166" fontId="22" fillId="0" borderId="9" xfId="18">
      <alignment horizontal="left"/>
    </xf>
    <xf numFmtId="166" fontId="6" fillId="0" borderId="24" xfId="9" applyBorder="1" applyAlignment="1">
      <alignment horizontal="left"/>
    </xf>
    <xf numFmtId="2" fontId="0" fillId="0" borderId="0" xfId="0" applyNumberFormat="1" applyAlignment="1">
      <alignment horizontal="center"/>
    </xf>
    <xf numFmtId="1" fontId="3" fillId="4" borderId="3" xfId="0" applyNumberFormat="1" applyFont="1" applyFill="1" applyBorder="1" applyAlignment="1">
      <alignment horizontal="center" vertical="center"/>
    </xf>
    <xf numFmtId="1" fontId="3" fillId="4" borderId="13" xfId="0" applyNumberFormat="1" applyFont="1" applyFill="1" applyBorder="1" applyAlignment="1">
      <alignment horizontal="center" vertical="center"/>
    </xf>
    <xf numFmtId="0" fontId="55" fillId="0" borderId="0" xfId="0" applyFont="1" applyAlignment="1" applyProtection="1">
      <alignment horizontal="center" vertic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0" fontId="56" fillId="0" borderId="0" xfId="0" applyFont="1" applyAlignment="1">
      <alignment horizontal="left" vertical="center"/>
    </xf>
    <xf numFmtId="0" fontId="56" fillId="0" borderId="4" xfId="0" applyFont="1" applyBorder="1" applyAlignment="1">
      <alignment horizontal="left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55" fillId="4" borderId="10" xfId="0" applyFont="1" applyFill="1" applyBorder="1" applyAlignment="1">
      <alignment vertical="center"/>
    </xf>
    <xf numFmtId="0" fontId="13" fillId="5" borderId="0" xfId="0" applyFont="1" applyFill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9" fillId="4" borderId="3" xfId="0" applyFont="1" applyFill="1" applyBorder="1" applyAlignment="1" applyProtection="1">
      <alignment horizontal="center" vertical="center" textRotation="90" wrapText="1"/>
      <protection hidden="1"/>
    </xf>
    <xf numFmtId="0" fontId="19" fillId="4" borderId="13" xfId="0" applyFont="1" applyFill="1" applyBorder="1" applyAlignment="1" applyProtection="1">
      <alignment horizontal="center" vertical="center" textRotation="90" wrapText="1"/>
      <protection hidden="1"/>
    </xf>
    <xf numFmtId="0" fontId="1" fillId="0" borderId="0" xfId="0" applyFont="1" applyAlignment="1">
      <alignment horizontal="left" vertical="center"/>
    </xf>
    <xf numFmtId="0" fontId="56" fillId="0" borderId="49" xfId="0" applyFont="1" applyBorder="1" applyAlignment="1" applyProtection="1">
      <alignment horizontal="left" vertical="center"/>
      <protection locked="0"/>
    </xf>
    <xf numFmtId="0" fontId="21" fillId="0" borderId="10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55" fillId="5" borderId="6" xfId="0" applyFont="1" applyFill="1" applyBorder="1" applyAlignment="1">
      <alignment horizontal="center" vertical="center"/>
    </xf>
    <xf numFmtId="0" fontId="56" fillId="5" borderId="49" xfId="0" applyFont="1" applyFill="1" applyBorder="1" applyAlignment="1" applyProtection="1">
      <alignment horizontal="left" vertical="center"/>
      <protection locked="0"/>
    </xf>
    <xf numFmtId="0" fontId="54" fillId="4" borderId="2" xfId="0" applyFont="1" applyFill="1" applyBorder="1" applyAlignment="1" applyProtection="1">
      <alignment horizontal="center" vertical="center" wrapText="1"/>
      <protection hidden="1"/>
    </xf>
    <xf numFmtId="1" fontId="38" fillId="0" borderId="20" xfId="0" applyNumberFormat="1" applyFont="1" applyBorder="1" applyAlignment="1" applyProtection="1">
      <alignment horizontal="center" vertical="center" wrapText="1"/>
      <protection hidden="1"/>
    </xf>
    <xf numFmtId="1" fontId="38" fillId="0" borderId="54" xfId="0" applyNumberFormat="1" applyFont="1" applyBorder="1" applyAlignment="1" applyProtection="1">
      <alignment horizontal="center" vertical="center" wrapText="1"/>
      <protection hidden="1"/>
    </xf>
    <xf numFmtId="1" fontId="38" fillId="0" borderId="56" xfId="0" applyNumberFormat="1" applyFont="1" applyBorder="1" applyAlignment="1" applyProtection="1">
      <alignment horizontal="center" vertical="center" wrapText="1"/>
      <protection hidden="1"/>
    </xf>
    <xf numFmtId="1" fontId="38" fillId="0" borderId="57" xfId="0" applyNumberFormat="1" applyFont="1" applyBorder="1" applyAlignment="1" applyProtection="1">
      <alignment horizontal="center" vertical="center" wrapText="1"/>
      <protection hidden="1"/>
    </xf>
    <xf numFmtId="0" fontId="14" fillId="0" borderId="63" xfId="0" applyFont="1" applyBorder="1" applyAlignment="1" applyProtection="1">
      <alignment horizontal="center" vertical="center" wrapText="1"/>
      <protection hidden="1"/>
    </xf>
    <xf numFmtId="0" fontId="14" fillId="0" borderId="64" xfId="0" applyFont="1" applyBorder="1" applyAlignment="1" applyProtection="1">
      <alignment horizontal="center" vertical="center" wrapText="1"/>
      <protection hidden="1"/>
    </xf>
    <xf numFmtId="0" fontId="40" fillId="0" borderId="65" xfId="0" applyFont="1" applyBorder="1" applyAlignment="1" applyProtection="1">
      <alignment horizontal="center" vertical="center" wrapText="1"/>
      <protection hidden="1"/>
    </xf>
    <xf numFmtId="0" fontId="14" fillId="0" borderId="66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40" fillId="0" borderId="17" xfId="0" applyFont="1" applyBorder="1" applyAlignment="1" applyProtection="1">
      <alignment horizontal="center" vertical="center" wrapText="1"/>
      <protection hidden="1"/>
    </xf>
    <xf numFmtId="0" fontId="40" fillId="0" borderId="67" xfId="0" applyFont="1" applyBorder="1" applyAlignment="1" applyProtection="1">
      <alignment horizontal="center" vertical="center" wrapText="1"/>
      <protection hidden="1"/>
    </xf>
    <xf numFmtId="0" fontId="40" fillId="0" borderId="68" xfId="0" applyFont="1" applyBorder="1" applyAlignment="1" applyProtection="1">
      <alignment horizontal="center" vertical="center" wrapText="1"/>
      <protection hidden="1"/>
    </xf>
    <xf numFmtId="0" fontId="14" fillId="0" borderId="67" xfId="0" applyFont="1" applyBorder="1" applyAlignment="1" applyProtection="1">
      <alignment horizontal="center" vertical="center" wrapText="1"/>
      <protection hidden="1"/>
    </xf>
    <xf numFmtId="0" fontId="14" fillId="0" borderId="68" xfId="0" applyFont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69" xfId="0" applyFont="1" applyBorder="1" applyAlignment="1" applyProtection="1">
      <alignment horizontal="center" vertical="center" wrapText="1"/>
      <protection hidden="1"/>
    </xf>
    <xf numFmtId="0" fontId="40" fillId="0" borderId="40" xfId="0" applyFont="1" applyBorder="1" applyAlignment="1" applyProtection="1">
      <alignment horizontal="center" vertical="center" wrapText="1"/>
      <protection hidden="1"/>
    </xf>
    <xf numFmtId="0" fontId="40" fillId="0" borderId="3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0" fontId="14" fillId="0" borderId="65" xfId="0" applyFont="1" applyBorder="1" applyAlignment="1" applyProtection="1">
      <alignment horizontal="center" vertical="center" wrapText="1"/>
      <protection hidden="1"/>
    </xf>
    <xf numFmtId="0" fontId="41" fillId="0" borderId="17" xfId="0" applyFont="1" applyBorder="1" applyAlignment="1" applyProtection="1">
      <alignment horizontal="center" vertical="center" wrapText="1"/>
      <protection hidden="1"/>
    </xf>
    <xf numFmtId="0" fontId="41" fillId="0" borderId="66" xfId="0" applyFont="1" applyBorder="1" applyAlignment="1" applyProtection="1">
      <alignment horizontal="center" vertical="center" wrapText="1"/>
      <protection hidden="1"/>
    </xf>
    <xf numFmtId="0" fontId="40" fillId="0" borderId="5" xfId="0" applyFont="1" applyBorder="1" applyAlignment="1">
      <alignment horizontal="center" vertical="center"/>
    </xf>
    <xf numFmtId="0" fontId="44" fillId="4" borderId="62" xfId="0" applyFont="1" applyFill="1" applyBorder="1" applyAlignment="1" applyProtection="1">
      <alignment horizontal="center" vertical="center" wrapText="1"/>
      <protection hidden="1"/>
    </xf>
    <xf numFmtId="0" fontId="43" fillId="4" borderId="2" xfId="0" applyFont="1" applyFill="1" applyBorder="1" applyAlignment="1" applyProtection="1">
      <alignment horizontal="center" vertical="center" wrapText="1"/>
      <protection hidden="1"/>
    </xf>
    <xf numFmtId="0" fontId="20" fillId="4" borderId="2" xfId="0" applyFont="1" applyFill="1" applyBorder="1" applyAlignment="1" applyProtection="1">
      <alignment horizontal="center" vertical="center" wrapText="1"/>
      <protection hidden="1"/>
    </xf>
    <xf numFmtId="1" fontId="4" fillId="0" borderId="20" xfId="0" applyNumberFormat="1" applyFont="1" applyBorder="1" applyAlignment="1" applyProtection="1">
      <alignment horizontal="center" vertical="center" wrapText="1"/>
      <protection hidden="1"/>
    </xf>
    <xf numFmtId="1" fontId="4" fillId="0" borderId="51" xfId="0" applyNumberFormat="1" applyFont="1" applyBorder="1" applyAlignment="1" applyProtection="1">
      <alignment horizontal="center" vertical="center" wrapText="1"/>
      <protection hidden="1"/>
    </xf>
    <xf numFmtId="1" fontId="4" fillId="0" borderId="52" xfId="0" applyNumberFormat="1" applyFont="1" applyBorder="1" applyAlignment="1" applyProtection="1">
      <alignment horizontal="center" vertical="center" wrapText="1"/>
      <protection hidden="1"/>
    </xf>
    <xf numFmtId="1" fontId="4" fillId="0" borderId="54" xfId="0" applyNumberFormat="1" applyFont="1" applyBorder="1" applyAlignment="1" applyProtection="1">
      <alignment horizontal="center" vertical="center" wrapText="1"/>
      <protection hidden="1"/>
    </xf>
    <xf numFmtId="1" fontId="16" fillId="0" borderId="55" xfId="0" applyNumberFormat="1" applyFont="1" applyBorder="1" applyAlignment="1">
      <alignment horizontal="center" vertical="center"/>
    </xf>
    <xf numFmtId="1" fontId="4" fillId="0" borderId="56" xfId="0" applyNumberFormat="1" applyFont="1" applyBorder="1" applyAlignment="1" applyProtection="1">
      <alignment horizontal="center" vertical="center" wrapText="1"/>
      <protection hidden="1"/>
    </xf>
    <xf numFmtId="1" fontId="4" fillId="0" borderId="57" xfId="0" applyNumberFormat="1" applyFont="1" applyBorder="1" applyAlignment="1" applyProtection="1">
      <alignment horizontal="center" vertical="center" wrapText="1"/>
      <protection hidden="1"/>
    </xf>
    <xf numFmtId="1" fontId="16" fillId="0" borderId="10" xfId="0" applyNumberFormat="1" applyFont="1" applyBorder="1" applyAlignment="1">
      <alignment horizontal="center" vertical="center"/>
    </xf>
    <xf numFmtId="1" fontId="4" fillId="0" borderId="46" xfId="0" applyNumberFormat="1" applyFont="1" applyBorder="1" applyAlignment="1" applyProtection="1">
      <alignment horizontal="center" vertical="center" wrapText="1"/>
      <protection hidden="1"/>
    </xf>
    <xf numFmtId="1" fontId="4" fillId="0" borderId="11" xfId="0" applyNumberFormat="1" applyFont="1" applyBorder="1" applyAlignment="1" applyProtection="1">
      <alignment horizontal="center" vertical="center" wrapText="1"/>
      <protection hidden="1"/>
    </xf>
    <xf numFmtId="1" fontId="4" fillId="0" borderId="58" xfId="0" applyNumberFormat="1" applyFont="1" applyBorder="1" applyAlignment="1" applyProtection="1">
      <alignment horizontal="center" vertical="center" wrapText="1"/>
      <protection hidden="1"/>
    </xf>
    <xf numFmtId="1" fontId="4" fillId="0" borderId="43" xfId="0" applyNumberFormat="1" applyFont="1" applyBorder="1" applyAlignment="1" applyProtection="1">
      <alignment horizontal="center" vertical="center" wrapText="1"/>
      <protection hidden="1"/>
    </xf>
    <xf numFmtId="1" fontId="4" fillId="0" borderId="59" xfId="0" applyNumberFormat="1" applyFont="1" applyBorder="1" applyAlignment="1" applyProtection="1">
      <alignment horizontal="center" vertical="center" wrapText="1"/>
      <protection hidden="1"/>
    </xf>
    <xf numFmtId="1" fontId="4" fillId="0" borderId="48" xfId="0" applyNumberFormat="1" applyFont="1" applyBorder="1" applyAlignment="1" applyProtection="1">
      <alignment horizontal="center" vertical="center" wrapText="1"/>
      <protection hidden="1"/>
    </xf>
    <xf numFmtId="1" fontId="4" fillId="0" borderId="50" xfId="0" applyNumberFormat="1" applyFont="1" applyBorder="1" applyAlignment="1" applyProtection="1">
      <alignment horizontal="center" vertical="center" wrapText="1"/>
      <protection hidden="1"/>
    </xf>
    <xf numFmtId="1" fontId="4" fillId="0" borderId="53" xfId="0" applyNumberFormat="1" applyFont="1" applyBorder="1" applyAlignment="1" applyProtection="1">
      <alignment horizontal="center" vertical="center" wrapText="1"/>
      <protection hidden="1"/>
    </xf>
    <xf numFmtId="1" fontId="4" fillId="0" borderId="55" xfId="0" applyNumberFormat="1" applyFont="1" applyBorder="1" applyAlignment="1" applyProtection="1">
      <alignment horizontal="center" vertical="center" wrapText="1"/>
      <protection hidden="1"/>
    </xf>
    <xf numFmtId="1" fontId="4" fillId="0" borderId="10" xfId="0" applyNumberFormat="1" applyFont="1" applyBorder="1" applyAlignment="1" applyProtection="1">
      <alignment horizontal="center" vertical="center" wrapText="1"/>
      <protection hidden="1"/>
    </xf>
    <xf numFmtId="1" fontId="16" fillId="0" borderId="60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16" fillId="0" borderId="61" xfId="0" applyNumberFormat="1" applyFont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42" fillId="4" borderId="2" xfId="0" applyFont="1" applyFill="1" applyBorder="1" applyAlignment="1" applyProtection="1">
      <alignment horizontal="center" vertical="center" wrapText="1"/>
      <protection hidden="1"/>
    </xf>
    <xf numFmtId="0" fontId="3" fillId="4" borderId="13" xfId="0" applyFont="1" applyFill="1" applyBorder="1" applyAlignment="1">
      <alignment horizontal="center" vertical="center"/>
    </xf>
    <xf numFmtId="0" fontId="15" fillId="0" borderId="50" xfId="0" applyFont="1" applyBorder="1" applyAlignment="1" applyProtection="1">
      <alignment horizontal="center" vertical="center" wrapText="1"/>
      <protection hidden="1"/>
    </xf>
    <xf numFmtId="0" fontId="40" fillId="0" borderId="52" xfId="0" applyFont="1" applyBorder="1" applyAlignment="1">
      <alignment horizontal="center" vertical="center"/>
    </xf>
    <xf numFmtId="0" fontId="15" fillId="0" borderId="55" xfId="0" applyFont="1" applyBorder="1" applyAlignment="1" applyProtection="1">
      <alignment horizontal="center" vertical="center" wrapText="1"/>
      <protection hidden="1"/>
    </xf>
    <xf numFmtId="0" fontId="40" fillId="0" borderId="57" xfId="0" applyFont="1" applyBorder="1" applyAlignment="1">
      <alignment horizontal="center" vertical="center"/>
    </xf>
    <xf numFmtId="0" fontId="40" fillId="0" borderId="54" xfId="0" applyFont="1" applyBorder="1" applyAlignment="1">
      <alignment horizontal="center" vertical="center"/>
    </xf>
    <xf numFmtId="0" fontId="14" fillId="0" borderId="50" xfId="0" applyFont="1" applyBorder="1" applyAlignment="1" applyProtection="1">
      <alignment horizontal="center" vertical="center" wrapText="1"/>
      <protection hidden="1"/>
    </xf>
    <xf numFmtId="0" fontId="15" fillId="0" borderId="53" xfId="0" applyFont="1" applyBorder="1" applyAlignment="1" applyProtection="1">
      <alignment horizontal="center" vertical="center" wrapText="1"/>
      <protection hidden="1"/>
    </xf>
    <xf numFmtId="0" fontId="16" fillId="0" borderId="53" xfId="0" applyFont="1" applyBorder="1" applyAlignment="1" applyProtection="1">
      <alignment horizontal="center" vertical="center" wrapText="1"/>
      <protection hidden="1"/>
    </xf>
    <xf numFmtId="0" fontId="15" fillId="0" borderId="70" xfId="0" applyFont="1" applyBorder="1" applyAlignment="1" applyProtection="1">
      <alignment horizontal="center" vertical="center" wrapText="1"/>
      <protection hidden="1"/>
    </xf>
    <xf numFmtId="0" fontId="40" fillId="0" borderId="71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 vertical="center" wrapText="1"/>
      <protection hidden="1"/>
    </xf>
    <xf numFmtId="0" fontId="40" fillId="0" borderId="73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5" fillId="0" borderId="74" xfId="0" applyFont="1" applyBorder="1" applyAlignment="1" applyProtection="1">
      <alignment horizontal="center" vertical="center" wrapText="1"/>
      <protection hidden="1"/>
    </xf>
    <xf numFmtId="0" fontId="40" fillId="0" borderId="75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6" fillId="0" borderId="50" xfId="0" applyFont="1" applyBorder="1" applyAlignment="1" applyProtection="1">
      <alignment horizontal="center" vertical="center" wrapText="1"/>
      <protection hidden="1"/>
    </xf>
    <xf numFmtId="0" fontId="16" fillId="0" borderId="55" xfId="0" applyFont="1" applyBorder="1" applyAlignment="1" applyProtection="1">
      <alignment horizontal="center" vertical="center" wrapText="1"/>
      <protection hidden="1"/>
    </xf>
    <xf numFmtId="0" fontId="16" fillId="0" borderId="70" xfId="0" applyFont="1" applyBorder="1" applyAlignment="1" applyProtection="1">
      <alignment horizontal="center" vertical="center" wrapText="1"/>
      <protection hidden="1"/>
    </xf>
    <xf numFmtId="0" fontId="16" fillId="0" borderId="72" xfId="0" applyFont="1" applyBorder="1" applyAlignment="1" applyProtection="1">
      <alignment horizontal="center" vertical="center" wrapText="1"/>
      <protection hidden="1"/>
    </xf>
    <xf numFmtId="164" fontId="0" fillId="0" borderId="20" xfId="0" applyNumberFormat="1" applyBorder="1" applyAlignment="1">
      <alignment horizontal="left"/>
    </xf>
    <xf numFmtId="166" fontId="22" fillId="0" borderId="20" xfId="11" applyBorder="1">
      <alignment horizontal="left"/>
    </xf>
    <xf numFmtId="166" fontId="22" fillId="0" borderId="20" xfId="12" applyBorder="1">
      <alignment horizontal="left"/>
    </xf>
    <xf numFmtId="166" fontId="22" fillId="0" borderId="20" xfId="13" applyBorder="1">
      <alignment horizontal="left"/>
    </xf>
    <xf numFmtId="166" fontId="22" fillId="0" borderId="20" xfId="14" applyBorder="1">
      <alignment horizontal="left"/>
    </xf>
    <xf numFmtId="166" fontId="22" fillId="0" borderId="20" xfId="15" applyBorder="1">
      <alignment horizontal="left"/>
    </xf>
    <xf numFmtId="166" fontId="22" fillId="0" borderId="20" xfId="16" applyBorder="1">
      <alignment horizontal="left"/>
    </xf>
    <xf numFmtId="166" fontId="22" fillId="0" borderId="20" xfId="17" applyBorder="1">
      <alignment horizontal="left"/>
    </xf>
    <xf numFmtId="166" fontId="22" fillId="0" borderId="20" xfId="18" applyBorder="1">
      <alignment horizontal="left"/>
    </xf>
    <xf numFmtId="166" fontId="22" fillId="0" borderId="20" xfId="19" applyBorder="1">
      <alignment horizontal="left"/>
    </xf>
    <xf numFmtId="166" fontId="22" fillId="0" borderId="20" xfId="20" applyBorder="1">
      <alignment horizontal="left"/>
    </xf>
    <xf numFmtId="166" fontId="22" fillId="0" borderId="20" xfId="21" applyBorder="1">
      <alignment horizontal="left"/>
    </xf>
    <xf numFmtId="166" fontId="22" fillId="0" borderId="20" xfId="22" applyBorder="1">
      <alignment horizontal="left"/>
    </xf>
    <xf numFmtId="166" fontId="22" fillId="0" borderId="20" xfId="23" applyBorder="1">
      <alignment horizontal="left"/>
    </xf>
    <xf numFmtId="165" fontId="9" fillId="6" borderId="20" xfId="0" applyNumberFormat="1" applyFont="1" applyFill="1" applyBorder="1" applyAlignment="1">
      <alignment horizontal="center" vertical="center" wrapText="1"/>
    </xf>
    <xf numFmtId="165" fontId="9" fillId="6" borderId="20" xfId="0" applyNumberFormat="1" applyFont="1" applyFill="1" applyBorder="1" applyAlignment="1">
      <alignment horizontal="left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41" xfId="0" applyFont="1" applyBorder="1" applyAlignment="1" applyProtection="1">
      <alignment horizontal="center" vertical="center" wrapText="1"/>
      <protection hidden="1"/>
    </xf>
    <xf numFmtId="1" fontId="38" fillId="0" borderId="23" xfId="0" applyNumberFormat="1" applyFont="1" applyBorder="1" applyAlignment="1" applyProtection="1">
      <alignment horizontal="center" vertical="center" wrapText="1"/>
      <protection hidden="1"/>
    </xf>
    <xf numFmtId="1" fontId="38" fillId="0" borderId="71" xfId="0" applyNumberFormat="1" applyFont="1" applyBorder="1" applyAlignment="1" applyProtection="1">
      <alignment horizontal="center" vertical="center" wrapText="1"/>
      <protection hidden="1"/>
    </xf>
    <xf numFmtId="0" fontId="55" fillId="40" borderId="5" xfId="0" applyFont="1" applyFill="1" applyBorder="1" applyAlignment="1">
      <alignment horizontal="center" vertical="center"/>
    </xf>
    <xf numFmtId="0" fontId="55" fillId="40" borderId="10" xfId="0" applyFont="1" applyFill="1" applyBorder="1" applyAlignment="1">
      <alignment vertical="center"/>
    </xf>
    <xf numFmtId="1" fontId="38" fillId="4" borderId="46" xfId="0" applyNumberFormat="1" applyFont="1" applyFill="1" applyBorder="1" applyAlignment="1" applyProtection="1">
      <alignment horizontal="center" vertical="center" wrapText="1"/>
      <protection hidden="1"/>
    </xf>
    <xf numFmtId="1" fontId="38" fillId="4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3" xfId="0" applyFont="1" applyBorder="1" applyAlignment="1" applyProtection="1">
      <alignment horizontal="center" vertical="center" wrapText="1"/>
      <protection hidden="1"/>
    </xf>
    <xf numFmtId="1" fontId="39" fillId="40" borderId="1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 applyProtection="1">
      <alignment horizontal="center" vertical="center" wrapText="1"/>
      <protection hidden="1"/>
    </xf>
    <xf numFmtId="0" fontId="1" fillId="40" borderId="6" xfId="0" applyFont="1" applyFill="1" applyBorder="1" applyAlignment="1">
      <alignment horizontal="center" vertical="center"/>
    </xf>
    <xf numFmtId="0" fontId="59" fillId="40" borderId="5" xfId="0" applyFont="1" applyFill="1" applyBorder="1" applyAlignment="1" applyProtection="1">
      <alignment horizontal="center" vertical="center" wrapText="1"/>
      <protection hidden="1"/>
    </xf>
    <xf numFmtId="0" fontId="54" fillId="40" borderId="8" xfId="0" applyFont="1" applyFill="1" applyBorder="1" applyAlignment="1" applyProtection="1">
      <alignment horizontal="center" vertical="center" wrapText="1"/>
      <protection locked="0" hidden="1"/>
    </xf>
    <xf numFmtId="0" fontId="54" fillId="40" borderId="8" xfId="0" applyFont="1" applyFill="1" applyBorder="1" applyAlignment="1" applyProtection="1">
      <alignment horizontal="center" vertical="center" wrapText="1"/>
      <protection hidden="1"/>
    </xf>
    <xf numFmtId="0" fontId="60" fillId="40" borderId="8" xfId="0" applyFont="1" applyFill="1" applyBorder="1" applyAlignment="1" applyProtection="1">
      <alignment horizontal="center" vertical="center" wrapText="1"/>
      <protection hidden="1"/>
    </xf>
    <xf numFmtId="0" fontId="54" fillId="40" borderId="7" xfId="0" applyFont="1" applyFill="1" applyBorder="1" applyAlignment="1" applyProtection="1">
      <alignment horizontal="center" vertical="center" wrapText="1"/>
      <protection hidden="1"/>
    </xf>
    <xf numFmtId="0" fontId="0" fillId="41" borderId="20" xfId="0" applyFill="1" applyBorder="1"/>
    <xf numFmtId="0" fontId="35" fillId="39" borderId="41" xfId="0" applyFont="1" applyFill="1" applyBorder="1"/>
    <xf numFmtId="0" fontId="35" fillId="39" borderId="23" xfId="0" applyFont="1" applyFill="1" applyBorder="1"/>
    <xf numFmtId="0" fontId="35" fillId="39" borderId="42" xfId="0" applyFont="1" applyFill="1" applyBorder="1"/>
    <xf numFmtId="1" fontId="2" fillId="4" borderId="47" xfId="0" applyNumberFormat="1" applyFont="1" applyFill="1" applyBorder="1" applyAlignment="1" applyProtection="1">
      <alignment horizontal="center" vertical="center" wrapText="1"/>
      <protection hidden="1"/>
    </xf>
    <xf numFmtId="1" fontId="2" fillId="0" borderId="45" xfId="0" applyNumberFormat="1" applyFont="1" applyBorder="1" applyAlignment="1" applyProtection="1">
      <alignment horizontal="center" vertical="center" wrapText="1"/>
      <protection hidden="1"/>
    </xf>
    <xf numFmtId="1" fontId="2" fillId="0" borderId="61" xfId="0" applyNumberFormat="1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>
      <alignment horizontal="center" vertical="center"/>
    </xf>
    <xf numFmtId="0" fontId="35" fillId="39" borderId="43" xfId="0" applyFont="1" applyFill="1" applyBorder="1"/>
    <xf numFmtId="0" fontId="0" fillId="41" borderId="43" xfId="0" applyFill="1" applyBorder="1"/>
    <xf numFmtId="0" fontId="64" fillId="0" borderId="20" xfId="0" applyFont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0" fillId="4" borderId="15" xfId="0" applyFill="1" applyBorder="1" applyAlignment="1" applyProtection="1">
      <alignment horizontal="center" vertical="top"/>
      <protection hidden="1"/>
    </xf>
    <xf numFmtId="0" fontId="0" fillId="40" borderId="16" xfId="0" applyFill="1" applyBorder="1" applyAlignment="1" applyProtection="1">
      <alignment horizontal="center" vertical="top"/>
      <protection hidden="1"/>
    </xf>
    <xf numFmtId="0" fontId="0" fillId="40" borderId="17" xfId="0" applyFill="1" applyBorder="1" applyAlignment="1" applyProtection="1">
      <alignment horizontal="left" vertical="top"/>
      <protection hidden="1"/>
    </xf>
    <xf numFmtId="0" fontId="1" fillId="4" borderId="5" xfId="0" applyFont="1" applyFill="1" applyBorder="1" applyAlignment="1" applyProtection="1">
      <alignment horizontal="center" vertical="center" wrapText="1"/>
      <protection hidden="1"/>
    </xf>
    <xf numFmtId="0" fontId="1" fillId="4" borderId="6" xfId="0" applyFont="1" applyFill="1" applyBorder="1" applyAlignment="1" applyProtection="1">
      <alignment horizontal="center" vertical="center" wrapText="1"/>
      <protection hidden="1"/>
    </xf>
    <xf numFmtId="0" fontId="1" fillId="4" borderId="7" xfId="0" applyFont="1" applyFill="1" applyBorder="1" applyAlignment="1" applyProtection="1">
      <alignment horizontal="center" vertical="center" wrapText="1"/>
      <protection hidden="1"/>
    </xf>
    <xf numFmtId="0" fontId="1" fillId="4" borderId="5" xfId="0" applyFont="1" applyFill="1" applyBorder="1" applyAlignment="1" applyProtection="1">
      <alignment horizontal="center" vertical="center"/>
      <protection hidden="1"/>
    </xf>
    <xf numFmtId="0" fontId="1" fillId="4" borderId="6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57" fillId="0" borderId="5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57" fillId="0" borderId="7" xfId="0" applyFont="1" applyBorder="1" applyAlignment="1">
      <alignment horizontal="center" vertical="center"/>
    </xf>
    <xf numFmtId="0" fontId="56" fillId="0" borderId="46" xfId="0" applyFont="1" applyBorder="1" applyAlignment="1" applyProtection="1">
      <alignment horizontal="left" vertical="center"/>
      <protection locked="0"/>
    </xf>
    <xf numFmtId="0" fontId="56" fillId="0" borderId="11" xfId="0" applyFont="1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56" fillId="0" borderId="46" xfId="0" applyFont="1" applyBorder="1" applyAlignment="1">
      <alignment horizontal="left" vertical="center"/>
    </xf>
    <xf numFmtId="0" fontId="56" fillId="0" borderId="11" xfId="0" applyFont="1" applyBorder="1" applyAlignment="1">
      <alignment horizontal="left" vertical="center"/>
    </xf>
    <xf numFmtId="0" fontId="58" fillId="40" borderId="10" xfId="0" applyFont="1" applyFill="1" applyBorder="1" applyAlignment="1">
      <alignment horizontal="center" vertical="center"/>
    </xf>
    <xf numFmtId="0" fontId="58" fillId="40" borderId="11" xfId="0" applyFont="1" applyFill="1" applyBorder="1" applyAlignment="1">
      <alignment horizontal="center" vertical="center"/>
    </xf>
    <xf numFmtId="0" fontId="0" fillId="0" borderId="38" xfId="0" applyBorder="1" applyAlignment="1" applyProtection="1">
      <alignment horizontal="center" vertical="center" wrapText="1"/>
      <protection hidden="1"/>
    </xf>
    <xf numFmtId="0" fontId="0" fillId="0" borderId="39" xfId="0" applyBorder="1" applyAlignment="1" applyProtection="1">
      <alignment horizontal="center" vertical="center" wrapText="1"/>
      <protection hidden="1"/>
    </xf>
    <xf numFmtId="0" fontId="20" fillId="40" borderId="38" xfId="0" applyFont="1" applyFill="1" applyBorder="1" applyAlignment="1" applyProtection="1">
      <alignment horizontal="center" vertical="center" wrapText="1"/>
      <protection hidden="1"/>
    </xf>
    <xf numFmtId="0" fontId="20" fillId="40" borderId="4" xfId="0" applyFont="1" applyFill="1" applyBorder="1" applyAlignment="1" applyProtection="1">
      <alignment horizontal="center" vertical="center" wrapText="1"/>
      <protection hidden="1"/>
    </xf>
    <xf numFmtId="0" fontId="20" fillId="40" borderId="39" xfId="0" applyFont="1" applyFill="1" applyBorder="1" applyAlignment="1" applyProtection="1">
      <alignment horizontal="center" vertical="center" wrapText="1"/>
      <protection hidden="1"/>
    </xf>
    <xf numFmtId="0" fontId="63" fillId="0" borderId="5" xfId="0" applyFont="1" applyBorder="1" applyAlignment="1" applyProtection="1">
      <alignment horizontal="center" vertical="center" wrapText="1"/>
      <protection hidden="1"/>
    </xf>
    <xf numFmtId="0" fontId="63" fillId="0" borderId="6" xfId="0" applyFont="1" applyBorder="1" applyAlignment="1" applyProtection="1">
      <alignment horizontal="center" vertical="center" wrapText="1"/>
      <protection hidden="1"/>
    </xf>
    <xf numFmtId="0" fontId="63" fillId="0" borderId="7" xfId="0" applyFont="1" applyBorder="1" applyAlignment="1" applyProtection="1">
      <alignment horizontal="center" vertical="center" wrapText="1"/>
      <protection hidden="1"/>
    </xf>
    <xf numFmtId="0" fontId="55" fillId="4" borderId="5" xfId="0" applyFont="1" applyFill="1" applyBorder="1" applyAlignment="1">
      <alignment horizontal="center" vertical="center"/>
    </xf>
    <xf numFmtId="0" fontId="55" fillId="4" borderId="47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6" fillId="0" borderId="8" xfId="0" applyFont="1" applyBorder="1" applyAlignment="1" applyProtection="1">
      <alignment horizontal="center" vertical="center" wrapText="1"/>
      <protection hidden="1"/>
    </xf>
    <xf numFmtId="0" fontId="16" fillId="0" borderId="5" xfId="0" applyFont="1" applyBorder="1" applyAlignment="1" applyProtection="1">
      <alignment horizontal="center" vertical="center" wrapText="1"/>
      <protection hidden="1"/>
    </xf>
    <xf numFmtId="0" fontId="17" fillId="4" borderId="8" xfId="0" applyFont="1" applyFill="1" applyBorder="1" applyAlignment="1" applyProtection="1">
      <alignment horizontal="center" vertical="center" wrapText="1"/>
      <protection hidden="1"/>
    </xf>
    <xf numFmtId="0" fontId="17" fillId="4" borderId="13" xfId="0" applyFont="1" applyFill="1" applyBorder="1" applyAlignment="1" applyProtection="1">
      <alignment horizontal="center" vertical="center" wrapText="1"/>
      <protection hidden="1"/>
    </xf>
    <xf numFmtId="0" fontId="17" fillId="4" borderId="2" xfId="0" applyFont="1" applyFill="1" applyBorder="1" applyAlignment="1" applyProtection="1">
      <alignment horizontal="center" vertical="center" wrapText="1"/>
      <protection hidden="1"/>
    </xf>
    <xf numFmtId="0" fontId="1" fillId="0" borderId="46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56" fillId="0" borderId="48" xfId="0" applyFont="1" applyBorder="1" applyAlignment="1" applyProtection="1">
      <alignment horizontal="left" vertical="center"/>
      <protection locked="0"/>
    </xf>
    <xf numFmtId="0" fontId="56" fillId="0" borderId="7" xfId="0" applyFont="1" applyBorder="1" applyAlignment="1" applyProtection="1">
      <alignment horizontal="left" vertical="center"/>
      <protection locked="0"/>
    </xf>
    <xf numFmtId="0" fontId="20" fillId="4" borderId="5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horizontal="center" vertical="center"/>
    </xf>
    <xf numFmtId="0" fontId="16" fillId="0" borderId="7" xfId="0" applyFont="1" applyBorder="1" applyAlignment="1" applyProtection="1">
      <alignment horizontal="center" vertical="center" wrapText="1"/>
      <protection hidden="1"/>
    </xf>
    <xf numFmtId="0" fontId="17" fillId="4" borderId="5" xfId="0" applyFont="1" applyFill="1" applyBorder="1" applyAlignment="1" applyProtection="1">
      <alignment horizontal="center" vertical="center" wrapText="1"/>
      <protection hidden="1"/>
    </xf>
    <xf numFmtId="0" fontId="17" fillId="4" borderId="6" xfId="0" applyFont="1" applyFill="1" applyBorder="1" applyAlignment="1" applyProtection="1">
      <alignment horizontal="center" vertical="center" wrapText="1"/>
      <protection hidden="1"/>
    </xf>
    <xf numFmtId="0" fontId="17" fillId="4" borderId="7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49" xfId="0" applyFont="1" applyBorder="1" applyAlignment="1" applyProtection="1">
      <alignment horizontal="center" vertical="center" wrapText="1"/>
      <protection hidden="1"/>
    </xf>
    <xf numFmtId="0" fontId="20" fillId="0" borderId="38" xfId="0" applyFont="1" applyBorder="1" applyAlignment="1" applyProtection="1">
      <alignment horizontal="center" vertical="center" wrapText="1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17" fillId="0" borderId="38" xfId="0" applyFont="1" applyBorder="1" applyAlignment="1" applyProtection="1">
      <alignment horizontal="center" vertical="center" wrapText="1"/>
      <protection hidden="1"/>
    </xf>
    <xf numFmtId="0" fontId="17" fillId="0" borderId="4" xfId="0" applyFont="1" applyBorder="1" applyAlignment="1" applyProtection="1">
      <alignment horizontal="center" vertical="center" wrapText="1"/>
      <protection hidden="1"/>
    </xf>
    <xf numFmtId="0" fontId="40" fillId="0" borderId="13" xfId="0" applyFont="1" applyBorder="1" applyAlignment="1" applyProtection="1">
      <alignment vertical="center" wrapText="1"/>
      <protection hidden="1"/>
    </xf>
    <xf numFmtId="0" fontId="40" fillId="0" borderId="8" xfId="0" applyFont="1" applyBorder="1" applyAlignment="1" applyProtection="1">
      <alignment vertical="center" wrapText="1"/>
      <protection hidden="1"/>
    </xf>
    <xf numFmtId="0" fontId="41" fillId="0" borderId="8" xfId="0" applyFont="1" applyBorder="1" applyAlignment="1" applyProtection="1">
      <alignment vertical="center" wrapText="1"/>
      <protection hidden="1"/>
    </xf>
    <xf numFmtId="0" fontId="41" fillId="0" borderId="5" xfId="0" applyFont="1" applyBorder="1" applyAlignment="1" applyProtection="1">
      <alignment vertical="center" wrapText="1"/>
      <protection hidden="1"/>
    </xf>
    <xf numFmtId="0" fontId="41" fillId="0" borderId="7" xfId="0" applyFont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vertical="center" wrapText="1"/>
      <protection hidden="1"/>
    </xf>
    <xf numFmtId="0" fontId="0" fillId="0" borderId="13" xfId="0" applyBorder="1" applyAlignment="1" applyProtection="1">
      <alignment vertical="center" wrapText="1"/>
      <protection hidden="1"/>
    </xf>
    <xf numFmtId="0" fontId="40" fillId="0" borderId="2" xfId="0" applyFont="1" applyBorder="1" applyAlignment="1" applyProtection="1">
      <alignment vertical="center" wrapText="1"/>
      <protection hidden="1"/>
    </xf>
    <xf numFmtId="0" fontId="62" fillId="0" borderId="8" xfId="0" applyFont="1" applyBorder="1" applyAlignment="1" applyProtection="1">
      <alignment vertical="center" wrapText="1"/>
      <protection hidden="1"/>
    </xf>
    <xf numFmtId="0" fontId="61" fillId="0" borderId="8" xfId="0" applyFont="1" applyBorder="1" applyAlignment="1" applyProtection="1">
      <alignment vertical="center" wrapText="1"/>
      <protection hidden="1"/>
    </xf>
    <xf numFmtId="0" fontId="14" fillId="0" borderId="3" xfId="0" applyFont="1" applyBorder="1" applyAlignment="1" applyProtection="1">
      <alignment vertical="center" wrapText="1"/>
      <protection hidden="1"/>
    </xf>
    <xf numFmtId="0" fontId="0" fillId="0" borderId="3" xfId="0" applyBorder="1" applyAlignment="1" applyProtection="1">
      <alignment vertical="center" wrapText="1"/>
      <protection hidden="1"/>
    </xf>
    <xf numFmtId="0" fontId="41" fillId="0" borderId="13" xfId="0" applyFont="1" applyBorder="1" applyAlignment="1" applyProtection="1">
      <alignment vertical="center" wrapText="1"/>
      <protection hidden="1"/>
    </xf>
    <xf numFmtId="0" fontId="61" fillId="0" borderId="13" xfId="0" applyFont="1" applyBorder="1" applyAlignment="1" applyProtection="1">
      <alignment vertical="center" wrapText="1"/>
      <protection hidden="1"/>
    </xf>
    <xf numFmtId="0" fontId="10" fillId="6" borderId="0" xfId="0" applyFont="1" applyFill="1"/>
    <xf numFmtId="0" fontId="4" fillId="0" borderId="6" xfId="0" applyFont="1" applyBorder="1" applyAlignment="1">
      <alignment horizontal="center" vertical="center"/>
    </xf>
    <xf numFmtId="0" fontId="4" fillId="6" borderId="20" xfId="0" applyFont="1" applyFill="1" applyBorder="1"/>
    <xf numFmtId="0" fontId="4" fillId="0" borderId="1" xfId="0" applyFont="1" applyBorder="1" applyAlignment="1" applyProtection="1">
      <alignment vertical="center" wrapText="1"/>
      <protection hidden="1"/>
    </xf>
    <xf numFmtId="0" fontId="45" fillId="0" borderId="2" xfId="0" applyFont="1" applyBorder="1" applyAlignment="1" applyProtection="1">
      <alignment vertical="center" textRotation="90" wrapText="1"/>
      <protection hidden="1"/>
    </xf>
    <xf numFmtId="0" fontId="23" fillId="4" borderId="2" xfId="0" applyFont="1" applyFill="1" applyBorder="1" applyAlignment="1" applyProtection="1">
      <alignment vertical="center" textRotation="90" wrapText="1"/>
      <protection hidden="1"/>
    </xf>
    <xf numFmtId="0" fontId="16" fillId="0" borderId="40" xfId="0" applyFont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vertical="center" wrapText="1"/>
      <protection hidden="1"/>
    </xf>
    <xf numFmtId="0" fontId="16" fillId="0" borderId="38" xfId="0" applyFont="1" applyBorder="1" applyAlignment="1" applyProtection="1">
      <alignment vertical="center" wrapText="1"/>
      <protection hidden="1"/>
    </xf>
    <xf numFmtId="0" fontId="16" fillId="0" borderId="8" xfId="0" applyFont="1" applyBorder="1" applyAlignment="1" applyProtection="1">
      <alignment vertical="center" wrapText="1"/>
      <protection hidden="1"/>
    </xf>
    <xf numFmtId="0" fontId="16" fillId="0" borderId="5" xfId="0" applyFont="1" applyBorder="1" applyAlignment="1" applyProtection="1">
      <alignment vertical="center" wrapText="1"/>
      <protection hidden="1"/>
    </xf>
    <xf numFmtId="1" fontId="3" fillId="4" borderId="2" xfId="0" applyNumberFormat="1" applyFont="1" applyFill="1" applyBorder="1" applyAlignment="1">
      <alignment vertical="center" textRotation="90"/>
    </xf>
    <xf numFmtId="1" fontId="3" fillId="4" borderId="3" xfId="0" applyNumberFormat="1" applyFont="1" applyFill="1" applyBorder="1" applyAlignment="1">
      <alignment vertical="center" textRotation="90"/>
    </xf>
    <xf numFmtId="0" fontId="18" fillId="4" borderId="2" xfId="0" applyFont="1" applyFill="1" applyBorder="1" applyAlignment="1" applyProtection="1">
      <alignment vertical="center" textRotation="90" wrapText="1"/>
      <protection hidden="1"/>
    </xf>
    <xf numFmtId="0" fontId="16" fillId="0" borderId="13" xfId="0" applyFont="1" applyBorder="1" applyAlignment="1" applyProtection="1">
      <alignment vertical="center" wrapText="1"/>
      <protection hidden="1"/>
    </xf>
    <xf numFmtId="0" fontId="16" fillId="0" borderId="3" xfId="0" applyFont="1" applyBorder="1" applyAlignment="1" applyProtection="1">
      <alignment vertical="center" wrapText="1"/>
      <protection hidden="1"/>
    </xf>
    <xf numFmtId="0" fontId="16" fillId="0" borderId="0" xfId="0" applyFont="1" applyAlignment="1" applyProtection="1">
      <alignment vertical="center" wrapText="1"/>
      <protection hidden="1"/>
    </xf>
    <xf numFmtId="0" fontId="16" fillId="0" borderId="13" xfId="0" applyFont="1" applyBorder="1" applyAlignment="1" applyProtection="1">
      <alignment vertical="center" textRotation="90" wrapText="1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0" fontId="46" fillId="0" borderId="2" xfId="0" applyFont="1" applyBorder="1" applyAlignment="1" applyProtection="1">
      <alignment vertical="center" textRotation="90" wrapText="1"/>
      <protection hidden="1"/>
    </xf>
    <xf numFmtId="0" fontId="4" fillId="0" borderId="20" xfId="0" applyFont="1" applyBorder="1" applyAlignment="1">
      <alignment vertical="center"/>
    </xf>
  </cellXfs>
  <cellStyles count="125">
    <cellStyle name="20% - Accent1" xfId="41" builtinId="30" customBuiltin="1"/>
    <cellStyle name="20% - Accent2" xfId="44" builtinId="34" customBuiltin="1"/>
    <cellStyle name="20% - Accent3" xfId="47" builtinId="38" customBuiltin="1"/>
    <cellStyle name="20% - Accent4" xfId="50" builtinId="42" customBuiltin="1"/>
    <cellStyle name="20% - Accent5" xfId="53" builtinId="46" customBuiltin="1"/>
    <cellStyle name="20% - Accent6" xfId="56" builtinId="50" customBuiltin="1"/>
    <cellStyle name="40% - Accent1" xfId="42" builtinId="31" customBuiltin="1"/>
    <cellStyle name="40% - Accent2" xfId="45" builtinId="35" customBuiltin="1"/>
    <cellStyle name="40% - Accent3" xfId="48" builtinId="39" customBuiltin="1"/>
    <cellStyle name="40% - Accent4" xfId="51" builtinId="43" customBuiltin="1"/>
    <cellStyle name="40% - Accent5" xfId="54" builtinId="47" customBuiltin="1"/>
    <cellStyle name="40% - Accent6" xfId="57" builtinId="51" customBuiltin="1"/>
    <cellStyle name="60% - Accent1 2" xfId="59" xr:uid="{DC52A34C-79C9-4206-A17F-1EDFB72FDF99}"/>
    <cellStyle name="60% - Accent2 2" xfId="60" xr:uid="{38FEC82F-E591-4755-80D9-65AFED2DB730}"/>
    <cellStyle name="60% - Accent3 2" xfId="61" xr:uid="{89AB6238-79F4-4959-B82D-D018D7E7B275}"/>
    <cellStyle name="60% - Accent4 2" xfId="62" xr:uid="{F02A029A-F033-4533-89F2-618A51B5A815}"/>
    <cellStyle name="60% - Accent5 2" xfId="63" xr:uid="{FE454D57-67A9-4B48-A354-1C74DB85FE20}"/>
    <cellStyle name="60% - Accent6 2" xfId="64" xr:uid="{8A7F4DE1-3435-4104-B75D-D30D2EB914D0}"/>
    <cellStyle name="Accent1" xfId="40" builtinId="29" customBuiltin="1"/>
    <cellStyle name="Accent2" xfId="43" builtinId="33" customBuiltin="1"/>
    <cellStyle name="Accent3" xfId="46" builtinId="37" customBuiltin="1"/>
    <cellStyle name="Accent4" xfId="49" builtinId="41" customBuiltin="1"/>
    <cellStyle name="Accent5" xfId="52" builtinId="45" customBuiltin="1"/>
    <cellStyle name="Accent6" xfId="55" builtinId="49" customBuiltin="1"/>
    <cellStyle name="Bad" xfId="30" builtinId="27" customBuiltin="1"/>
    <cellStyle name="Calculation" xfId="33" builtinId="22" customBuiltin="1"/>
    <cellStyle name="Check Cell" xfId="35" builtinId="23" customBuiltin="1"/>
    <cellStyle name="Explanatory Text" xfId="38" builtinId="53" customBuiltin="1"/>
    <cellStyle name="Good" xfId="29" builtinId="26" customBuiltin="1"/>
    <cellStyle name="Heading 1" xfId="25" builtinId="16" customBuiltin="1"/>
    <cellStyle name="Heading 2" xfId="26" builtinId="17" customBuiltin="1"/>
    <cellStyle name="Heading 3" xfId="27" builtinId="18" customBuiltin="1"/>
    <cellStyle name="Heading 4" xfId="28" builtinId="19" customBuiltin="1"/>
    <cellStyle name="Hyperlink 2" xfId="111" xr:uid="{FE886ACF-A8EB-4C15-8A92-ECB6A96F789D}"/>
    <cellStyle name="Input" xfId="31" builtinId="20" customBuiltin="1"/>
    <cellStyle name="Linked Cell" xfId="34" builtinId="24" customBuiltin="1"/>
    <cellStyle name="Neutral 2" xfId="58" xr:uid="{A0FB1200-1193-4A74-9E71-3EF81FB24A0A}"/>
    <cellStyle name="Normal" xfId="0" builtinId="0"/>
    <cellStyle name="Normal 2" xfId="65" xr:uid="{A13321F6-DE65-4D49-BA33-C39C3F08E610}"/>
    <cellStyle name="Normal 3" xfId="83" xr:uid="{733D8CAF-5915-4600-B365-361CA08BDBF1}"/>
    <cellStyle name="Normal 4" xfId="97" xr:uid="{3BDB5070-21B1-472D-A762-44398F1F5EDA}"/>
    <cellStyle name="Note" xfId="37" builtinId="10" customBuiltin="1"/>
    <cellStyle name="Output" xfId="32" builtinId="21" customBuiltin="1"/>
    <cellStyle name="reportData160column1" xfId="80" xr:uid="{8E232E30-4C36-4735-8E65-2D70BC1AE06B}"/>
    <cellStyle name="reportData160column2" xfId="81" xr:uid="{365CBF42-12CC-4E75-A64A-DE9C2078D3C5}"/>
    <cellStyle name="reportData160column6" xfId="82" xr:uid="{5CD4E9A7-66B9-40CF-AEB5-1C4DCB9111D2}"/>
    <cellStyle name="reportData161column1" xfId="1" xr:uid="{B9BBEF24-0756-4B2C-8F9F-A410E1ECA5C6}"/>
    <cellStyle name="reportData161column10" xfId="7" xr:uid="{651A9508-D83A-48E3-AA34-3D8CFF4729FF}"/>
    <cellStyle name="reportData161column13" xfId="8" xr:uid="{4F130105-AA99-4A88-A5C7-E084611A5162}"/>
    <cellStyle name="reportData161column19" xfId="9" xr:uid="{7643C58C-A05F-418F-BDA7-FE3256AE3B1C}"/>
    <cellStyle name="reportData161column19 2" xfId="79" xr:uid="{FC91CFE0-FAC3-407A-BEA3-59EA8C5EFF4D}"/>
    <cellStyle name="reportData161column2" xfId="2" xr:uid="{8F844EA2-6CBE-42A9-A995-A8468358B0FF}"/>
    <cellStyle name="reportData161column20" xfId="10" xr:uid="{A5DE3D44-F084-4867-8E90-847EC46E0C62}"/>
    <cellStyle name="reportData161column3" xfId="3" xr:uid="{E4FC7649-FD2F-461B-BF8F-53771C2C9932}"/>
    <cellStyle name="reportData161column4" xfId="4" xr:uid="{073A9B0D-DFCB-4621-A4D0-CF50BDBFEF89}"/>
    <cellStyle name="reportData161column8" xfId="5" xr:uid="{E43FD9EA-89A1-4528-AC06-FC653803F017}"/>
    <cellStyle name="reportData161column9" xfId="6" xr:uid="{D406117E-A0EA-4A96-8CA9-7DAC0EE4F49A}"/>
    <cellStyle name="reportData733column1" xfId="11" xr:uid="{C6EE3DDF-FF07-4FE3-884A-8075D5AFBB60}"/>
    <cellStyle name="reportData733column1 2" xfId="66" xr:uid="{1E8F843E-521D-4A10-9F3B-9B1C3497A4C3}"/>
    <cellStyle name="reportData733column1 2 2" xfId="112" xr:uid="{89F318CF-5C0B-471C-A891-0429B47A0C27}"/>
    <cellStyle name="reportData733column1 3" xfId="84" xr:uid="{9DB02BB0-5468-426F-B265-894E21087B7C}"/>
    <cellStyle name="reportData733column1 4" xfId="98" xr:uid="{F2BDDA38-636F-4F0A-91F1-F5EF7547E4C5}"/>
    <cellStyle name="reportData733column10" xfId="20" xr:uid="{76E5FDF7-0B62-450B-976F-E68EDFD1A36A}"/>
    <cellStyle name="reportData733column10 2" xfId="75" xr:uid="{B31C7863-DBBF-4FF5-96A2-7236BD579302}"/>
    <cellStyle name="reportData733column10 2 2" xfId="121" xr:uid="{49732214-FFD2-43BB-B3BE-53B60F7AA3C5}"/>
    <cellStyle name="reportData733column10 3" xfId="93" xr:uid="{41123E79-8071-457B-9E23-810059DD0623}"/>
    <cellStyle name="reportData733column10 4" xfId="107" xr:uid="{601B523F-2722-4F92-BA6C-5940DDE2DF1E}"/>
    <cellStyle name="reportData733column11" xfId="21" xr:uid="{C699AFCB-CF38-4164-9262-0AAC4616FDC7}"/>
    <cellStyle name="reportData733column11 2" xfId="76" xr:uid="{ED8DD390-1DD4-4FC2-AB65-F59EBF6CD7E5}"/>
    <cellStyle name="reportData733column11 2 2" xfId="122" xr:uid="{724FF135-41EC-4324-A102-1B8E76D30BD5}"/>
    <cellStyle name="reportData733column11 3" xfId="94" xr:uid="{1F513AF1-372E-49C8-AE5D-ACE33CE1E051}"/>
    <cellStyle name="reportData733column11 4" xfId="108" xr:uid="{F75948F5-2E15-44E1-B668-DBCE135F6DA3}"/>
    <cellStyle name="reportData733column12" xfId="22" xr:uid="{9DFF2E22-13CB-464E-9D8F-FD238944240C}"/>
    <cellStyle name="reportData733column12 2" xfId="77" xr:uid="{FB9B4487-D5C8-492A-8F68-07E1434B2B12}"/>
    <cellStyle name="reportData733column12 2 2" xfId="123" xr:uid="{00217606-A263-43B1-8320-5AD1AAF80812}"/>
    <cellStyle name="reportData733column12 3" xfId="95" xr:uid="{D92CEC70-3B45-4708-B6C8-3FAB17641505}"/>
    <cellStyle name="reportData733column12 4" xfId="109" xr:uid="{657F2376-8430-4708-88AC-6D984196D9A1}"/>
    <cellStyle name="reportData733column13" xfId="23" xr:uid="{B8B7BD94-8C72-427E-BB23-1456C0F1AE7C}"/>
    <cellStyle name="reportData733column13 2" xfId="78" xr:uid="{68EA6565-8891-47CA-9844-9FD275C4A767}"/>
    <cellStyle name="reportData733column13 2 2" xfId="124" xr:uid="{52AC43E7-BCE2-4F51-9947-975F830D71C9}"/>
    <cellStyle name="reportData733column13 3" xfId="96" xr:uid="{F5215C41-9B1D-4BE8-A094-E3558158C4D1}"/>
    <cellStyle name="reportData733column13 4" xfId="110" xr:uid="{7A6D102C-F5CE-480C-9A98-893D9EA1D61C}"/>
    <cellStyle name="reportData733column2" xfId="12" xr:uid="{8A4D06EC-4D6F-4022-9A74-AA20DFBCDF10}"/>
    <cellStyle name="reportData733column2 2" xfId="67" xr:uid="{B16BA085-6AE6-4BB0-93ED-811DBCBE0D7F}"/>
    <cellStyle name="reportData733column2 2 2" xfId="113" xr:uid="{65BD8A74-34B0-4586-A3DF-F169DC984B8A}"/>
    <cellStyle name="reportData733column2 3" xfId="85" xr:uid="{5A71B19A-0897-447D-BE16-8E17CDD8B3E3}"/>
    <cellStyle name="reportData733column2 4" xfId="99" xr:uid="{7968C6E7-6660-4581-A452-CB03BDA7F36D}"/>
    <cellStyle name="reportData733column3" xfId="13" xr:uid="{06BCED30-AC17-4416-ACED-E94CCF0470DB}"/>
    <cellStyle name="reportData733column3 2" xfId="68" xr:uid="{76F445DA-C53B-46AC-915B-F26D100C4145}"/>
    <cellStyle name="reportData733column3 2 2" xfId="114" xr:uid="{847951B0-DF14-4BD1-BBCD-5514E4FB9A38}"/>
    <cellStyle name="reportData733column3 3" xfId="86" xr:uid="{66C3543D-EFF2-414A-9FCD-94842D42D78D}"/>
    <cellStyle name="reportData733column3 4" xfId="100" xr:uid="{55B00983-7E87-41B4-8B39-E09DC52D4EAE}"/>
    <cellStyle name="reportData733column4" xfId="14" xr:uid="{1498C7C1-93AE-419E-8EF8-1D99627C9CE8}"/>
    <cellStyle name="reportData733column4 2" xfId="69" xr:uid="{4FA1EF6D-972B-4E6B-A805-8AED079C9B7D}"/>
    <cellStyle name="reportData733column4 2 2" xfId="115" xr:uid="{3B4C3DCE-6FFE-4054-8CA9-71A85D8D5ABE}"/>
    <cellStyle name="reportData733column4 3" xfId="87" xr:uid="{82F72A1C-0927-40C9-BC54-8BEF94AA7F18}"/>
    <cellStyle name="reportData733column4 4" xfId="101" xr:uid="{8911D03D-C821-4302-8E17-FEBCEB9B1B23}"/>
    <cellStyle name="reportData733column5" xfId="15" xr:uid="{6156D452-2489-4DCC-8B3C-98E925E03340}"/>
    <cellStyle name="reportData733column5 2" xfId="70" xr:uid="{10F81B07-C22F-48BB-A895-060BDB63372F}"/>
    <cellStyle name="reportData733column5 2 2" xfId="116" xr:uid="{BD0B7443-BF04-4C3B-AD45-6883AF1C9626}"/>
    <cellStyle name="reportData733column5 3" xfId="88" xr:uid="{85F7B60A-0076-43C6-A41C-B65FE79BF3FF}"/>
    <cellStyle name="reportData733column5 4" xfId="102" xr:uid="{0E9B8626-A9B1-4ED4-833E-3FCAF50AAB08}"/>
    <cellStyle name="reportData733column6" xfId="16" xr:uid="{7F62BB07-721F-4A3C-A100-2455BD566FCA}"/>
    <cellStyle name="reportData733column6 2" xfId="71" xr:uid="{11A1FD98-1297-45CA-AC48-1892C3219FE3}"/>
    <cellStyle name="reportData733column6 2 2" xfId="117" xr:uid="{23D3E7DD-4414-4567-A66E-E5887C3A322C}"/>
    <cellStyle name="reportData733column6 3" xfId="89" xr:uid="{B3E4C300-839B-49EA-8E55-11E8DBCD0F87}"/>
    <cellStyle name="reportData733column6 4" xfId="103" xr:uid="{F8D6292C-0F6D-46EE-95E8-5D64DE1FEC5E}"/>
    <cellStyle name="reportData733column7" xfId="17" xr:uid="{A31ACC83-7BF9-4BC7-A0D8-CCC14AB7A82F}"/>
    <cellStyle name="reportData733column7 2" xfId="72" xr:uid="{5F0AF8EC-D489-4B2A-B06C-0F4802DCDA6B}"/>
    <cellStyle name="reportData733column7 2 2" xfId="118" xr:uid="{B7F7C668-0BA1-4501-94B0-8D774A6BDA5F}"/>
    <cellStyle name="reportData733column7 3" xfId="90" xr:uid="{D9392374-A99B-4733-8F02-6235EC0B85BB}"/>
    <cellStyle name="reportData733column7 4" xfId="104" xr:uid="{34E7E5FA-14DB-4AC9-A22D-C73112F7D816}"/>
    <cellStyle name="reportData733column8" xfId="18" xr:uid="{5848CED7-38E8-4818-ADD6-FB98659DC3E1}"/>
    <cellStyle name="reportData733column8 2" xfId="73" xr:uid="{1218AE05-2535-48FE-8D5C-DF6603E0C524}"/>
    <cellStyle name="reportData733column8 2 2" xfId="119" xr:uid="{72BA4503-0439-47CC-8F88-5CDE540AE527}"/>
    <cellStyle name="reportData733column8 3" xfId="91" xr:uid="{8D830674-AEE6-48B4-8378-4DEA7F9D2BE7}"/>
    <cellStyle name="reportData733column8 4" xfId="105" xr:uid="{C76A86E3-FFEE-4962-9098-1F96DE42639A}"/>
    <cellStyle name="reportData733column9" xfId="19" xr:uid="{A83CED95-BB10-433D-B167-3331FD1F9518}"/>
    <cellStyle name="reportData733column9 2" xfId="74" xr:uid="{E365E97C-1427-4FDE-BF24-066A88010F5D}"/>
    <cellStyle name="reportData733column9 2 2" xfId="120" xr:uid="{E8CAB158-F70F-4C8D-9DE6-6B63DA89BE93}"/>
    <cellStyle name="reportData733column9 3" xfId="92" xr:uid="{91C2740C-D3A3-4433-AC3C-1BAECB6716AD}"/>
    <cellStyle name="reportData733column9 4" xfId="106" xr:uid="{56D5D3FD-272A-4DC9-A236-2CA9A74D8D7C}"/>
    <cellStyle name="Title" xfId="24" builtinId="15" customBuiltin="1"/>
    <cellStyle name="Total" xfId="39" builtinId="25" customBuiltin="1"/>
    <cellStyle name="Warning Text" xfId="36" builtinId="11" customBuiltin="1"/>
  </cellStyles>
  <dxfs count="1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###,###,##0"/>
    </dxf>
    <dxf>
      <numFmt numFmtId="164" formatCode="###,###,##0"/>
    </dxf>
    <dxf>
      <numFmt numFmtId="164" formatCode="###,###,##0"/>
    </dxf>
    <dxf>
      <numFmt numFmtId="164" formatCode="###,###,##0"/>
    </dxf>
    <dxf>
      <numFmt numFmtId="164" formatCode="###,###,##0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E0E0E0"/>
        </top>
      </border>
    </dxf>
    <dxf>
      <border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border outline="0">
        <bottom style="thin">
          <color rgb="FFE0E0E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##,##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###,###,##0.0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styles" Target="styles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Structure" Target="richData/rdrichvaluestructure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95251</xdr:colOff>
      <xdr:row>2</xdr:row>
      <xdr:rowOff>38102</xdr:rowOff>
    </xdr:from>
    <xdr:to>
      <xdr:col>3</xdr:col>
      <xdr:colOff>809625</xdr:colOff>
      <xdr:row>2</xdr:row>
      <xdr:rowOff>438620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5AD657-7FA6-408F-B9FD-CCC87A7A2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485777"/>
          <a:ext cx="714374" cy="4005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76202</xdr:colOff>
      <xdr:row>2</xdr:row>
      <xdr:rowOff>28576</xdr:rowOff>
    </xdr:from>
    <xdr:to>
      <xdr:col>4</xdr:col>
      <xdr:colOff>447675</xdr:colOff>
      <xdr:row>2</xdr:row>
      <xdr:rowOff>448748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AF88B7-DCB6-4B58-BAF6-8E4A6FA18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7" y="552451"/>
          <a:ext cx="704848" cy="42017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3BBD9A-F16D-4ADD-97D1-50D603373CE8}" autoFormatId="16" applyNumberFormats="0" applyBorderFormats="0" applyFontFormats="0" applyPatternFormats="0" applyAlignmentFormats="0" applyWidthHeightFormats="0">
  <queryTableRefresh nextId="70">
    <queryTableFields count="69">
      <queryTableField id="1" name="S No" tableColumnId="1"/>
      <queryTableField id="2" name="STATE NAME" tableColumnId="2"/>
      <queryTableField id="3" name="ASM Name" tableColumnId="3"/>
      <queryTableField id="4" name="SS Code" tableColumnId="4"/>
      <queryTableField id="5" name="SS NAME" tableColumnId="5"/>
      <queryTableField id="6" name="SS TOWN" tableColumnId="6"/>
      <queryTableField id="7" name="Dist. Code" tableColumnId="7"/>
      <queryTableField id="8" name="Dealer Name (As Per GST)" tableColumnId="8"/>
      <queryTableField id="9" name="District Name" tableColumnId="9"/>
      <queryTableField id="10" name="Town Name" tableColumnId="10"/>
      <queryTableField id="11" name="Distance KM's From SS Point" tableColumnId="11"/>
      <queryTableField id="12" name="DB GST Number" tableColumnId="12"/>
      <queryTableField id="13" name="DB Contact Person Name" tableColumnId="13"/>
      <queryTableField id="14" name="DB Contact Person Mob Number" tableColumnId="14"/>
      <queryTableField id="15" name="DB Complete Postal Address" tableColumnId="15"/>
      <queryTableField id="16" name="DB PIN Code" tableColumnId="16"/>
      <queryTableField id="17" name="DB Email ID" tableColumnId="17"/>
      <queryTableField id="18" name="DB Status" tableColumnId="18"/>
      <queryTableField id="19" name="SR Name" tableColumnId="19"/>
      <queryTableField id="20" name="Cross Checking" tableColumnId="20"/>
      <queryTableField id="21" name="Bis. Target" tableColumnId="21"/>
      <queryTableField id="22" name="Conf. Target" tableColumnId="22"/>
      <queryTableField id="23" name="Noodle  Traget" tableColumnId="23"/>
      <queryTableField id="24" name="Total Target" tableColumnId="24"/>
      <queryTableField id="25" name="Bis. Target  " tableColumnId="25"/>
      <queryTableField id="26" name="Bis. Apr" tableColumnId="26"/>
      <queryTableField id="27" name="Bis. May" tableColumnId="27"/>
      <queryTableField id="28" name="Bis. Jun" tableColumnId="28"/>
      <queryTableField id="29" name="Bis. Jul" tableColumnId="29"/>
      <queryTableField id="30" name="Bis. Aug" tableColumnId="30"/>
      <queryTableField id="31" name="Bis. Sep" tableColumnId="31"/>
      <queryTableField id="32" name="Bis. Oct" tableColumnId="32"/>
      <queryTableField id="33" name="Bis. Nov" tableColumnId="33"/>
      <queryTableField id="34" name="Bis. Dec" tableColumnId="34"/>
      <queryTableField id="35" name="Bis. Jan" tableColumnId="35"/>
      <queryTableField id="36" name="Bis. Feb" tableColumnId="36"/>
      <queryTableField id="37" name="Bis. Mar" tableColumnId="37"/>
      <queryTableField id="38" name="Conf. Target  " tableColumnId="38"/>
      <queryTableField id="39" name="Conf. Apr" tableColumnId="39"/>
      <queryTableField id="40" name="Conf. May" tableColumnId="40"/>
      <queryTableField id="41" name="Conf. Jun" tableColumnId="41"/>
      <queryTableField id="42" name="Conf. Jul" tableColumnId="42"/>
      <queryTableField id="43" name="Conf. Aug" tableColumnId="43"/>
      <queryTableField id="44" name="Conf. Sep" tableColumnId="44"/>
      <queryTableField id="45" name="Conf. Oct" tableColumnId="45"/>
      <queryTableField id="46" name="Conf. Nov" tableColumnId="46"/>
      <queryTableField id="47" name="Conf. Dec" tableColumnId="47"/>
      <queryTableField id="48" name="Conf. Jan" tableColumnId="48"/>
      <queryTableField id="49" name="Conf. Feb" tableColumnId="49"/>
      <queryTableField id="50" name="Conf. Mar" tableColumnId="50"/>
      <queryTableField id="51" name="Juice Target  " tableColumnId="51"/>
      <queryTableField id="52" name="Juice Apr" tableColumnId="52"/>
      <queryTableField id="53" name="Juice May" tableColumnId="53"/>
      <queryTableField id="54" name="Juice Jun" tableColumnId="54"/>
      <queryTableField id="55" name="Juice Jul" tableColumnId="55"/>
      <queryTableField id="56" name="Juice Aug" tableColumnId="56"/>
      <queryTableField id="57" name="Juice Sep" tableColumnId="57"/>
      <queryTableField id="58" name="Juice Oct" tableColumnId="58"/>
      <queryTableField id="59" name="Juice Nov" tableColumnId="59"/>
      <queryTableField id="60" name="Juice Dec" tableColumnId="60"/>
      <queryTableField id="61" name="Juice Jan" tableColumnId="61"/>
      <queryTableField id="62" name="Juice Feb" tableColumnId="62"/>
      <queryTableField id="63" name="Juice Mar" tableColumnId="63"/>
      <queryTableField id="64" name="Noodles. Target" tableColumnId="64"/>
      <queryTableField id="65" name="Noodle Nov" tableColumnId="65"/>
      <queryTableField id="66" name="Noodle Dec" tableColumnId="66"/>
      <queryTableField id="67" name="Noodle Jan" tableColumnId="67"/>
      <queryTableField id="68" name="Noodle Feb" tableColumnId="68"/>
      <queryTableField id="69" name="Noodle Mar" tableColumnId="69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A97D2A-E33F-448E-A868-7544982CD793}" name="Data_Base" displayName="Data_Base" ref="A1:R311" totalsRowShown="0" headerRowDxfId="136">
  <tableColumns count="18">
    <tableColumn id="21" xr3:uid="{D606C6C4-18A7-4F2A-86B7-F087B6D3BB4C}" name="SS" dataDxfId="135">
      <calculatedColumnFormula>IFERROR(VLOOKUP(Data_Base[[#This Row],[Distributor Name]],Target[SS 2],1,FALSE),"Delete")</calculatedColumnFormula>
    </tableColumn>
    <tableColumn id="9" xr3:uid="{CD0AEF43-3759-482E-A5B8-1F745B3F008A}" name="Billing_Group" dataDxfId="134">
      <calculatedColumnFormula>IFERROR(VLOOKUP(Data_Base[[#This Row],[Item Sub Category]],Table2[[Sub Category]:[Billing Group]],3,0),99)</calculatedColumnFormula>
    </tableColumn>
    <tableColumn id="17" xr3:uid="{B0EFF945-696A-493D-A317-8610FCD0E93E}" name="Brand" dataDxfId="133">
      <calculatedColumnFormula>VLOOKUP(Data_Base[[#This Row],[Item Description]],Table2[[Item Name]:[Sub Category]],6,0)</calculatedColumnFormula>
    </tableColumn>
    <tableColumn id="16" xr3:uid="{873A5A77-1730-4819-BE03-A1BE842B82B0}" name="Fin. Year" dataDxfId="132"/>
    <tableColumn id="10" xr3:uid="{73ABFDE4-0ED1-4A0F-9150-2E229EC0D2F6}" name="month" dataDxfId="131"/>
    <tableColumn id="1" xr3:uid="{D1110953-1469-46EF-A0BC-079FEB2BC3E0}" name="Distributor Code" dataDxfId="130"/>
    <tableColumn id="2" xr3:uid="{404F1F88-D58F-4697-B704-0D2EF50B6619}" name="Distributor Name" dataDxfId="129"/>
    <tableColumn id="3" xr3:uid="{1B775EBA-25CF-4F62-8623-C20540D3B19A}" name="City Name" dataDxfId="128"/>
    <tableColumn id="4" xr3:uid="{217C3FB4-7815-41FC-922F-F0E316F89245}" name="State Name" dataDxfId="127"/>
    <tableColumn id="5" xr3:uid="{1F50D54E-24C0-4BA1-8F48-9991E5AD05CD}" name="Item Code" dataDxfId="126"/>
    <tableColumn id="6" xr3:uid="{EE28A903-2403-4C37-99F8-F611CAD65516}" name="Item Description" dataDxfId="125"/>
    <tableColumn id="7" xr3:uid="{1F166B60-222E-452C-91C7-33F63B822B1C}" name="Item Category" dataDxfId="124"/>
    <tableColumn id="8" xr3:uid="{9FCC3162-C30C-48A5-9295-CC20D4FDC395}" name="Item Sub Category" dataDxfId="123"/>
    <tableColumn id="11" xr3:uid="{D2EAA8F3-3221-4BEC-9734-AE224DA29A38}" name="Opening" dataDxfId="122"/>
    <tableColumn id="12" xr3:uid="{F4EF8543-0ABA-44F2-B205-B1E6C39D7EDA}" name="Receive" dataDxfId="121"/>
    <tableColumn id="13" xr3:uid="{527DB415-F084-43DF-BCAF-1C3F4EC1609A}" name="Total" dataDxfId="120"/>
    <tableColumn id="14" xr3:uid="{10F1F061-0D0D-448D-AB99-3EEC0B233E39}" name="Sale" dataDxfId="119"/>
    <tableColumn id="15" xr3:uid="{ECE389F2-9A91-46FF-A7A8-B73F90A3C066}" name="Closing" dataDxfId="11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243088-3617-4F44-A1FE-4E86FC0A6D44}" name="Target" displayName="Target" ref="A1:I1293" totalsRowShown="0" headerRowDxfId="117" headerRowBorderDxfId="116" tableBorderDxfId="115" totalsRowBorderDxfId="114">
  <tableColumns count="9">
    <tableColumn id="1" xr3:uid="{3B20F4D3-D58D-4D92-A0B0-51B890652AAF}" name="SS1" dataDxfId="113"/>
    <tableColumn id="2" xr3:uid="{D4CAF601-1F0F-40FD-BA9D-C98A0ECFDD31}" name="DB" dataDxfId="112"/>
    <tableColumn id="3" xr3:uid="{FDE53A5B-602E-48B8-8C82-9C9B5E1555AC}" name="Town" dataDxfId="111"/>
    <tableColumn id="4" xr3:uid="{550813FC-2213-45F0-95F2-392A06C2467A}" name="Target" dataDxfId="110"/>
    <tableColumn id="5" xr3:uid="{E2A4DFB2-8387-4827-9D2E-F73BAAE43BF6}" name="Month" dataDxfId="109"/>
    <tableColumn id="6" xr3:uid="{64D5191D-369C-4E18-AC7B-81FF71224B32}" name="Cat." dataDxfId="108"/>
    <tableColumn id="7" xr3:uid="{D00FEE3D-650A-473A-856D-917A6BD636CC}" name="Cat.2" dataDxfId="107"/>
    <tableColumn id="8" xr3:uid="{74E81449-304F-4CED-AC0F-DD7229B6C8D7}" name="SS 2" dataDxfId="106"/>
    <tableColumn id="9" xr3:uid="{0557650C-A732-416A-861B-C2E17699BE92}" name="DB 2" dataDxfId="10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196FF8-B688-48A3-BA8D-1605C5EFA022}" name="Table2" displayName="Table2" ref="A1:J349" totalsRowShown="0" headerRowDxfId="104" headerRowBorderDxfId="103" tableBorderDxfId="102" totalsRowBorderDxfId="101">
  <tableColumns count="10">
    <tableColumn id="1" xr3:uid="{1305F80B-91EF-4CDA-8CC7-9008BBD8BAA1}" name="S.N." dataDxfId="100" dataCellStyle="reportData161column1"/>
    <tableColumn id="2" xr3:uid="{CE314373-83A6-4689-867F-64788BEFE7AA}" name="Item Code" dataDxfId="99" dataCellStyle="reportData161column2"/>
    <tableColumn id="4" xr3:uid="{9AD8CDD6-3D87-407B-A0B9-82FF805878F3}" name="Item Name" dataDxfId="98" dataCellStyle="reportData161column4"/>
    <tableColumn id="5" xr3:uid="{B3E07A8D-48C6-4B41-969A-B47D120762FD}" name="Group Name" dataDxfId="97" dataCellStyle="reportData161column8"/>
    <tableColumn id="6" xr3:uid="{2458E794-2691-4F6E-A2FF-F240CBFE84A6}" name="Division Name" dataDxfId="96" dataCellStyle="reportData161column9"/>
    <tableColumn id="10" xr3:uid="{27490060-1294-44E9-9695-D33E23EBCFB1}" name="Category" dataDxfId="95" dataCellStyle="reportData161column20"/>
    <tableColumn id="7" xr3:uid="{C7E86CE6-5544-4700-B771-9226E92ACC80}" name="Conversion Ratio" dataDxfId="94" dataCellStyle="reportData161column10"/>
    <tableColumn id="9" xr3:uid="{A58319D0-26A8-4881-BBA0-37BD29E36622}" name="Sub Category" dataDxfId="93" dataCellStyle="reportData161column19"/>
    <tableColumn id="8" xr3:uid="{89E315E2-560D-4B2E-9D35-B24AB4C7360C}" name="MRP" dataDxfId="92" dataCellStyle="reportData161column13"/>
    <tableColumn id="11" xr3:uid="{1946530B-0B47-4659-9586-EAA305F7E94C}" name="Billing Group" dataDxfId="91">
      <calculatedColumnFormula>IF(TODAY()&lt;45894,Table2[[#This Row],[S.N.]],RANDBETWEEN(1,200))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66A97E-7499-43BF-A6C1-3157286963D4}" name="Month" displayName="Month" ref="Q1:Q13" totalsRowShown="0" headerRowDxfId="90" dataDxfId="88" headerRowBorderDxfId="89" tableBorderDxfId="87" totalsRowBorderDxfId="86">
  <tableColumns count="1">
    <tableColumn id="1" xr3:uid="{347524C5-1ECB-4D3B-92A3-396EACC8386E}" name="Month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90EF4C-9210-4FDC-BA2E-ABE377077C1A}" name="Dist_Detail_Master" displayName="Dist_Detail_Master" ref="A1:BQ211" tableType="queryTable" totalsRowShown="0" dataDxfId="84">
  <tableColumns count="69">
    <tableColumn id="1" xr3:uid="{7D866DB0-1D65-4F3D-ACF3-08BACB661095}" uniqueName="1" name="S No" queryTableFieldId="1" dataDxfId="83"/>
    <tableColumn id="2" xr3:uid="{691CD132-E16D-47D7-879A-293B268A7502}" uniqueName="2" name="STATE NAME" queryTableFieldId="2" dataDxfId="82"/>
    <tableColumn id="3" xr3:uid="{35A204D5-C10B-479F-A45B-78255468ECC1}" uniqueName="3" name="ASM Name" queryTableFieldId="3" dataDxfId="81"/>
    <tableColumn id="4" xr3:uid="{63096A51-A8D3-4A1C-B84C-F0042267CD18}" uniqueName="4" name="SS Code" queryTableFieldId="4" dataDxfId="80"/>
    <tableColumn id="5" xr3:uid="{246F4B5A-59E1-4EB1-8687-23E915BD0CBF}" uniqueName="5" name="SS NAME" queryTableFieldId="5" dataDxfId="79"/>
    <tableColumn id="6" xr3:uid="{0F0A58C2-8C06-4316-BC4F-A0A05A746EE0}" uniqueName="6" name="SS TOWN" queryTableFieldId="6" dataDxfId="78"/>
    <tableColumn id="7" xr3:uid="{6B4ACE7C-B566-4893-AE4E-04C5DFC0A367}" uniqueName="7" name="Dist. Code" queryTableFieldId="7" dataDxfId="77"/>
    <tableColumn id="8" xr3:uid="{364FB318-D970-47E1-A972-C018DB2028DA}" uniqueName="8" name="Dealer Name (As Per GST)" queryTableFieldId="8" dataDxfId="76"/>
    <tableColumn id="9" xr3:uid="{C09D38CF-7E71-45B2-82ED-83C47AE336AA}" uniqueName="9" name="District Name" queryTableFieldId="9" dataDxfId="75"/>
    <tableColumn id="10" xr3:uid="{01CE8E8B-1026-432B-A400-A130D5195805}" uniqueName="10" name="Town Name" queryTableFieldId="10" dataDxfId="74"/>
    <tableColumn id="11" xr3:uid="{FC199DBE-B02D-4771-917E-F36834A215DB}" uniqueName="11" name="Distance KM's From SS Point" queryTableFieldId="11" dataDxfId="73"/>
    <tableColumn id="12" xr3:uid="{B0FC8B97-FF45-4A98-8EFB-532C5150F313}" uniqueName="12" name="DB GST Number" queryTableFieldId="12" dataDxfId="72"/>
    <tableColumn id="13" xr3:uid="{3E2E225E-FDF4-4820-8DF5-D347F3DEC1AF}" uniqueName="13" name="DB Contact Person Name" queryTableFieldId="13" dataDxfId="71"/>
    <tableColumn id="14" xr3:uid="{B4BC5B56-FADF-4C2C-86F7-22D422B5E3C8}" uniqueName="14" name="DB Contact Person Mob Number" queryTableFieldId="14" dataDxfId="70"/>
    <tableColumn id="15" xr3:uid="{633FC1EB-8AB5-416A-9BCC-8DFBAC7ED0E0}" uniqueName="15" name="DB Complete Postal Address" queryTableFieldId="15" dataDxfId="69"/>
    <tableColumn id="16" xr3:uid="{05D761DA-EA4E-432C-A988-23C55F50976D}" uniqueName="16" name="DB PIN Code" queryTableFieldId="16" dataDxfId="68"/>
    <tableColumn id="17" xr3:uid="{78F04592-5D98-4FEC-9230-F223904FFA09}" uniqueName="17" name="DB Email ID" queryTableFieldId="17" dataDxfId="67"/>
    <tableColumn id="18" xr3:uid="{DE4CDA78-1457-44FD-8F93-FD0844B33EA7}" uniqueName="18" name="DB Status" queryTableFieldId="18" dataDxfId="66"/>
    <tableColumn id="19" xr3:uid="{54C2A663-A4E9-4A89-AC6E-064B97688036}" uniqueName="19" name="SR Name" queryTableFieldId="19" dataDxfId="65"/>
    <tableColumn id="20" xr3:uid="{3E1F7F50-B50C-4CA3-BCC9-49343118FC2B}" uniqueName="20" name="Cross Checking" queryTableFieldId="20" dataDxfId="64"/>
    <tableColumn id="21" xr3:uid="{C203385B-21D9-4AD3-A5FF-0BD456DBF0AF}" uniqueName="21" name="Bis. Target" queryTableFieldId="21" dataDxfId="63"/>
    <tableColumn id="22" xr3:uid="{7DB197D1-0492-4F2B-BD1F-B729FC4F6D7B}" uniqueName="22" name="Conf. Target" queryTableFieldId="22" dataDxfId="62"/>
    <tableColumn id="23" xr3:uid="{3DE26ED0-5739-483C-ACEF-231847F72006}" uniqueName="23" name="Noodle  Traget" queryTableFieldId="23" dataDxfId="61"/>
    <tableColumn id="24" xr3:uid="{B57C005E-F00C-4E73-A76E-00B6DD24B6A6}" uniqueName="24" name="Total Target" queryTableFieldId="24" dataDxfId="60"/>
    <tableColumn id="25" xr3:uid="{AA24CA80-4C3B-4595-B9A3-50526C011273}" uniqueName="25" name="Bis. Target  " queryTableFieldId="25" dataDxfId="59"/>
    <tableColumn id="26" xr3:uid="{F030D460-AA68-4B4C-8312-EB50E6C19E1B}" uniqueName="26" name="Bis. Apr" queryTableFieldId="26" dataDxfId="58"/>
    <tableColumn id="27" xr3:uid="{C40D06D6-BAEF-4860-9BCA-F4E50439444E}" uniqueName="27" name="Bis. May" queryTableFieldId="27" dataDxfId="57"/>
    <tableColumn id="28" xr3:uid="{F9847F8D-906B-4ED5-A579-A4EC04B92984}" uniqueName="28" name="Bis. Jun" queryTableFieldId="28" dataDxfId="56"/>
    <tableColumn id="29" xr3:uid="{CCE12B40-92C3-4B49-BE7E-A4FD68393E9B}" uniqueName="29" name="Bis. Jul" queryTableFieldId="29" dataDxfId="55"/>
    <tableColumn id="30" xr3:uid="{B1D36C71-021B-42E0-8C32-7838259FF7EF}" uniqueName="30" name="Bis. Aug" queryTableFieldId="30" dataDxfId="54"/>
    <tableColumn id="31" xr3:uid="{23083A17-657A-4A11-858F-EED8572C43AA}" uniqueName="31" name="Bis. Sep" queryTableFieldId="31" dataDxfId="53"/>
    <tableColumn id="32" xr3:uid="{6C3ADA65-9B88-4E10-84E8-523B042781C9}" uniqueName="32" name="Bis. Oct" queryTableFieldId="32" dataDxfId="52"/>
    <tableColumn id="33" xr3:uid="{F8E55A30-5270-4DBE-8DDF-72E215327516}" uniqueName="33" name="Bis. Nov" queryTableFieldId="33" dataDxfId="51"/>
    <tableColumn id="34" xr3:uid="{351EFA52-050A-4CA5-9550-A6AB4ED4BFFC}" uniqueName="34" name="Bis. Dec" queryTableFieldId="34" dataDxfId="50"/>
    <tableColumn id="35" xr3:uid="{7AED1CB5-ECD8-4B60-A740-D293BE4EEA3A}" uniqueName="35" name="Bis. Jan" queryTableFieldId="35" dataDxfId="49"/>
    <tableColumn id="36" xr3:uid="{EDDC19FC-DB13-4741-88F1-8102414D1F23}" uniqueName="36" name="Bis. Feb" queryTableFieldId="36" dataDxfId="48"/>
    <tableColumn id="37" xr3:uid="{1E375481-43B6-43D4-9F64-C525559BF23F}" uniqueName="37" name="Bis. Mar" queryTableFieldId="37" dataDxfId="47"/>
    <tableColumn id="38" xr3:uid="{5A576E9C-1A76-4CD5-A2E1-A5E0681BFEDA}" uniqueName="38" name="Conf. Target  " queryTableFieldId="38" dataDxfId="46"/>
    <tableColumn id="39" xr3:uid="{D4CD516A-C3F4-42A6-ADB0-FB51CC8689F8}" uniqueName="39" name="Conf. Apr" queryTableFieldId="39" dataDxfId="45"/>
    <tableColumn id="40" xr3:uid="{B51C7DC0-183D-4395-8EA1-89A39866967B}" uniqueName="40" name="Conf. May" queryTableFieldId="40" dataDxfId="44"/>
    <tableColumn id="41" xr3:uid="{14E94486-387D-4942-92A9-2F5B26673B7B}" uniqueName="41" name="Conf. Jun" queryTableFieldId="41" dataDxfId="43"/>
    <tableColumn id="42" xr3:uid="{4C79C277-E179-483B-AC82-9676F0F82C0D}" uniqueName="42" name="Conf. Jul" queryTableFieldId="42" dataDxfId="42"/>
    <tableColumn id="43" xr3:uid="{5E370108-B7BA-4279-A8AD-F237B7534410}" uniqueName="43" name="Conf. Aug" queryTableFieldId="43" dataDxfId="41"/>
    <tableColumn id="44" xr3:uid="{B54649C0-ACC0-435B-B4BE-9CF838FAD570}" uniqueName="44" name="Conf. Sep" queryTableFieldId="44" dataDxfId="40"/>
    <tableColumn id="45" xr3:uid="{D61F01AE-5308-4A17-BD3E-DD24EF85528C}" uniqueName="45" name="Conf. Oct" queryTableFieldId="45" dataDxfId="39"/>
    <tableColumn id="46" xr3:uid="{8C555639-FFF0-47A1-A609-5D36FDF4DEDA}" uniqueName="46" name="Conf. Nov" queryTableFieldId="46" dataDxfId="38"/>
    <tableColumn id="47" xr3:uid="{BCA9ECD9-8249-46B7-B89D-929B2AD7F467}" uniqueName="47" name="Conf. Dec" queryTableFieldId="47" dataDxfId="37"/>
    <tableColumn id="48" xr3:uid="{F7347C6D-8E2B-4C52-B47C-9BB0BB323F87}" uniqueName="48" name="Conf. Jan" queryTableFieldId="48" dataDxfId="36"/>
    <tableColumn id="49" xr3:uid="{2F1EE64D-A3F3-4B76-8695-525C761E1438}" uniqueName="49" name="Conf. Feb" queryTableFieldId="49" dataDxfId="35"/>
    <tableColumn id="50" xr3:uid="{A34D3747-68C3-4692-9776-8033962526F9}" uniqueName="50" name="Conf. Mar" queryTableFieldId="50" dataDxfId="34"/>
    <tableColumn id="51" xr3:uid="{2BBE122A-F3AA-4AE4-8527-92634E17EF56}" uniqueName="51" name="Juice Target  " queryTableFieldId="51" dataDxfId="33"/>
    <tableColumn id="52" xr3:uid="{A56DC66F-1213-4B5B-8DE6-599C21B486F5}" uniqueName="52" name="Juice Apr" queryTableFieldId="52" dataDxfId="32"/>
    <tableColumn id="53" xr3:uid="{BB8CAD19-1BA5-4571-AF87-4664DA3FB67F}" uniqueName="53" name="Juice May" queryTableFieldId="53" dataDxfId="31"/>
    <tableColumn id="54" xr3:uid="{9D67DBEA-0D22-4900-A293-079AEAB569D9}" uniqueName="54" name="Juice Jun" queryTableFieldId="54" dataDxfId="30"/>
    <tableColumn id="55" xr3:uid="{5EE03CA4-8D04-4F99-AC05-AA77D5E43810}" uniqueName="55" name="Juice Jul" queryTableFieldId="55" dataDxfId="29"/>
    <tableColumn id="56" xr3:uid="{06E15E6F-D603-4C7F-A545-9E75CC3703AD}" uniqueName="56" name="Juice Aug" queryTableFieldId="56" dataDxfId="28"/>
    <tableColumn id="57" xr3:uid="{D5119718-7B14-4284-85D8-73458D77516C}" uniqueName="57" name="Juice Sep" queryTableFieldId="57" dataDxfId="27"/>
    <tableColumn id="58" xr3:uid="{88044AB5-151C-4346-A6E1-BDA6ABCD9F27}" uniqueName="58" name="Juice Oct" queryTableFieldId="58" dataDxfId="26"/>
    <tableColumn id="59" xr3:uid="{D110E62A-75E4-4D88-AFB1-87ED3DFA644C}" uniqueName="59" name="Juice Nov" queryTableFieldId="59" dataDxfId="25"/>
    <tableColumn id="60" xr3:uid="{F4DC298F-A123-4535-AF53-92C6617605E0}" uniqueName="60" name="Juice Dec" queryTableFieldId="60" dataDxfId="24"/>
    <tableColumn id="61" xr3:uid="{C6E74712-59E1-4E74-80E7-E518D6C16207}" uniqueName="61" name="Juice Jan" queryTableFieldId="61" dataDxfId="23"/>
    <tableColumn id="62" xr3:uid="{DC1C938B-861A-46EF-B802-7EAE171915E6}" uniqueName="62" name="Juice Feb" queryTableFieldId="62" dataDxfId="22"/>
    <tableColumn id="63" xr3:uid="{8B6ED317-687A-462A-82D1-1A6D953598A8}" uniqueName="63" name="Juice Mar" queryTableFieldId="63" dataDxfId="21"/>
    <tableColumn id="64" xr3:uid="{8B3F9736-4F4E-4D06-9F10-DB4DB95BDCED}" uniqueName="64" name="Noodles. Target" queryTableFieldId="64" dataDxfId="20"/>
    <tableColumn id="65" xr3:uid="{26472434-3756-424B-A555-5541BFEA6BAA}" uniqueName="65" name="Noodle Nov" queryTableFieldId="65" dataDxfId="19"/>
    <tableColumn id="66" xr3:uid="{01FE8947-BF49-4B9B-A921-F8E15AD7EF35}" uniqueName="66" name="Noodle Dec" queryTableFieldId="66" dataDxfId="18"/>
    <tableColumn id="67" xr3:uid="{C12667FA-85E3-4E29-B939-BED6F8031175}" uniqueName="67" name="Noodle Jan" queryTableFieldId="67" dataDxfId="17"/>
    <tableColumn id="68" xr3:uid="{19BDE6D9-BDD4-4449-990F-01B01602097C}" uniqueName="68" name="Noodle Feb" queryTableFieldId="68" dataDxfId="16"/>
    <tableColumn id="69" xr3:uid="{4104A0F3-350E-4E78-97B1-1CB34CC71327}" uniqueName="69" name="Noodle Mar" queryTableFieldId="69" dataDxfId="1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F7CB0-3849-4541-83B1-DD3BF5EEA3C0}">
  <sheetPr codeName="Sheet1">
    <pageSetUpPr fitToPage="1"/>
  </sheetPr>
  <dimension ref="A1:T91"/>
  <sheetViews>
    <sheetView showGridLines="0" zoomScaleNormal="100" zoomScalePageLayoutView="40" workbookViewId="0">
      <selection activeCell="D5" sqref="D5:E5"/>
    </sheetView>
  </sheetViews>
  <sheetFormatPr defaultColWidth="23" defaultRowHeight="10.5"/>
  <cols>
    <col min="1" max="1" width="14.08984375" style="11" customWidth="1"/>
    <col min="2" max="2" width="18" style="11" customWidth="1"/>
    <col min="3" max="3" width="10.453125" style="11" bestFit="1" customWidth="1"/>
    <col min="4" max="4" width="16.6328125" style="11" customWidth="1"/>
    <col min="5" max="5" width="12.1796875" style="11" customWidth="1"/>
    <col min="6" max="7" width="11.1796875" style="11" customWidth="1"/>
    <col min="8" max="8" width="13" style="11" customWidth="1"/>
    <col min="9" max="9" width="13.6328125" style="11" customWidth="1"/>
    <col min="10" max="13" width="13.6328125" style="12" customWidth="1"/>
    <col min="14" max="14" width="13" style="12" customWidth="1"/>
    <col min="15" max="15" width="14.453125" style="12" customWidth="1"/>
    <col min="16" max="17" width="14.81640625" style="12" customWidth="1"/>
    <col min="18" max="19" width="23" style="11"/>
    <col min="20" max="20" width="5.6328125" style="11" hidden="1" customWidth="1"/>
    <col min="21" max="16384" width="23" style="11"/>
  </cols>
  <sheetData>
    <row r="1" spans="1:20" s="14" customFormat="1" ht="22.5" customHeight="1" thickBot="1">
      <c r="C1" s="79" t="s">
        <v>0</v>
      </c>
      <c r="D1" s="192" t="s">
        <v>997</v>
      </c>
      <c r="E1" s="229" t="s">
        <v>1408</v>
      </c>
      <c r="F1" s="229"/>
      <c r="G1" s="230"/>
      <c r="H1" s="80"/>
      <c r="I1" s="193" t="s">
        <v>1002</v>
      </c>
      <c r="J1" s="229" t="s">
        <v>2470</v>
      </c>
      <c r="K1" s="229"/>
      <c r="L1" s="229"/>
      <c r="M1" s="230"/>
      <c r="N1" s="212"/>
      <c r="O1" s="192" t="s">
        <v>998</v>
      </c>
      <c r="P1" s="233" t="str">
        <f>IFERROR(VLOOKUP($E$1,Data_Base[[Distributor Name]:[City Name]],2,0),"")</f>
        <v>Thane</v>
      </c>
      <c r="Q1" s="234"/>
      <c r="T1" s="14" t="e" cm="1" vm="1">
        <f t="array" ref="T1">_xlfn.CHOOSECOLS(_xlfn._xlws.FILTER(Target!$M$2:$N$293,Target!$M$2:$M$293=$E$1),2)</f>
        <v>#VALUE!</v>
      </c>
    </row>
    <row r="2" spans="1:20" ht="7.5" customHeight="1" thickBot="1">
      <c r="C2" s="18"/>
      <c r="D2" s="73"/>
      <c r="E2" s="74"/>
      <c r="F2" s="74"/>
      <c r="G2" s="74"/>
      <c r="H2" s="19"/>
      <c r="I2" s="73"/>
      <c r="J2" s="73"/>
      <c r="K2" s="74"/>
      <c r="L2" s="74"/>
      <c r="M2" s="74"/>
      <c r="O2" s="73"/>
      <c r="P2" s="75"/>
      <c r="Q2" s="76"/>
    </row>
    <row r="3" spans="1:20" ht="38.25" customHeight="1" thickBot="1">
      <c r="C3" s="47"/>
      <c r="D3" s="47"/>
      <c r="E3" s="226" t="s">
        <v>2</v>
      </c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  <c r="Q3" s="77" t="s">
        <v>82</v>
      </c>
    </row>
    <row r="4" spans="1:20" s="59" customFormat="1" ht="35.25" customHeight="1" thickBot="1">
      <c r="A4" s="305" t="s">
        <v>717</v>
      </c>
      <c r="B4" s="286" t="s">
        <v>2516</v>
      </c>
      <c r="C4" s="285" t="s">
        <v>3</v>
      </c>
      <c r="D4" s="235" t="s">
        <v>4</v>
      </c>
      <c r="E4" s="236"/>
      <c r="F4" s="199" t="s">
        <v>5</v>
      </c>
      <c r="G4" s="200" t="s">
        <v>6</v>
      </c>
      <c r="H4" s="201" t="s">
        <v>992</v>
      </c>
      <c r="I4" s="202" t="s">
        <v>7</v>
      </c>
      <c r="J4" s="203" t="s">
        <v>999</v>
      </c>
      <c r="K4" s="203" t="s">
        <v>1000</v>
      </c>
      <c r="L4" s="203" t="s">
        <v>1001</v>
      </c>
      <c r="M4" s="202" t="s">
        <v>8</v>
      </c>
      <c r="N4" s="202" t="s">
        <v>993</v>
      </c>
      <c r="O4" s="202" t="s">
        <v>994</v>
      </c>
      <c r="P4" s="204" t="s">
        <v>995</v>
      </c>
      <c r="Q4" s="202" t="s">
        <v>996</v>
      </c>
    </row>
    <row r="5" spans="1:20" ht="17.25" customHeight="1" thickBot="1">
      <c r="A5" s="11" t="s">
        <v>0</v>
      </c>
      <c r="B5" s="11" t="str">
        <f>D5&amp;" "&amp;F5&amp;" "&amp;G5</f>
        <v>Digestive F.P. ₹ 35 x 30</v>
      </c>
      <c r="C5" s="13">
        <v>1</v>
      </c>
      <c r="D5" s="237" t="s">
        <v>9</v>
      </c>
      <c r="E5" s="238"/>
      <c r="F5" s="198" t="s">
        <v>899</v>
      </c>
      <c r="G5" s="196" t="s">
        <v>906</v>
      </c>
      <c r="H5" s="189">
        <v>100</v>
      </c>
      <c r="I5" s="190">
        <f ca="1">SUMIFS(Data_Base[Opening],Data_Base[Billing_Group],Biscuit!$C5,Data_Base[Distributor Name],Biscuit!$E$1,Data_Base[month],Biscuit!$Q$3)</f>
        <v>0</v>
      </c>
      <c r="J5" s="190">
        <f ca="1">SUMIFS(Data_Base[Receive],Data_Base[Billing_Group],Biscuit!$C5,Data_Base[Distributor Name],Biscuit!$E$1,Data_Base[month],Biscuit!$Q$3)</f>
        <v>0</v>
      </c>
      <c r="K5" s="190">
        <f ca="1">I5+J5</f>
        <v>0</v>
      </c>
      <c r="L5" s="190">
        <v>80</v>
      </c>
      <c r="M5" s="190">
        <f ca="1">K5-L5</f>
        <v>-80</v>
      </c>
      <c r="N5" s="190">
        <f ca="1">(M5)-((H5-L5)+(H5*50%))</f>
        <v>-150</v>
      </c>
      <c r="O5" s="190"/>
      <c r="P5" s="190">
        <f>H5-L5</f>
        <v>20</v>
      </c>
      <c r="Q5" s="191"/>
    </row>
    <row r="6" spans="1:20" ht="17.25" customHeight="1" thickBot="1">
      <c r="A6" s="11" t="s">
        <v>0</v>
      </c>
      <c r="B6" s="11" t="str">
        <f>D6&amp;" "&amp;F6&amp;" "&amp;G6</f>
        <v>Butter Bite Pouch ₹ 5 x 140</v>
      </c>
      <c r="C6" s="13">
        <v>2</v>
      </c>
      <c r="D6" s="270" t="s">
        <v>1004</v>
      </c>
      <c r="E6" s="270"/>
      <c r="F6" s="105" t="s">
        <v>65</v>
      </c>
      <c r="G6" s="106" t="s">
        <v>907</v>
      </c>
      <c r="H6" s="189">
        <v>500</v>
      </c>
      <c r="I6" s="190">
        <f ca="1">SUMIFS(Data_Base[Opening],Data_Base[Billing_Group],Biscuit!$C6,Data_Base[Distributor Name],Biscuit!$E$1,Data_Base[month],Biscuit!$Q$3)</f>
        <v>98</v>
      </c>
      <c r="J6" s="190">
        <f ca="1">SUMIFS(Data_Base[Receive],Data_Base[Billing_Group],Biscuit!$C6,Data_Base[Distributor Name],Biscuit!$E$1,Data_Base[month],Biscuit!$Q$3)</f>
        <v>0</v>
      </c>
      <c r="K6" s="190">
        <f t="shared" ref="K6:K69" ca="1" si="0">I6+J6</f>
        <v>98</v>
      </c>
      <c r="L6" s="190">
        <v>10</v>
      </c>
      <c r="M6" s="190">
        <f t="shared" ref="M6:M69" ca="1" si="1">K6-L6</f>
        <v>88</v>
      </c>
      <c r="N6" s="190">
        <f t="shared" ref="N6:N69" ca="1" si="2">(M6)-((H6-L6)+(H6*50%))</f>
        <v>-652</v>
      </c>
      <c r="O6" s="190"/>
      <c r="P6" s="190">
        <f t="shared" ref="P6:P69" si="3">H6-L6</f>
        <v>490</v>
      </c>
      <c r="Q6" s="191"/>
    </row>
    <row r="7" spans="1:20" ht="17.25" customHeight="1" thickBot="1">
      <c r="A7" s="11" t="s">
        <v>0</v>
      </c>
      <c r="B7" s="11" t="str">
        <f>D7&amp;" "&amp;F7&amp;" "&amp;G7</f>
        <v>Butter Bite Pouch ₹ 10 x 60</v>
      </c>
      <c r="C7" s="13">
        <v>3</v>
      </c>
      <c r="D7" s="270" t="s">
        <v>1004</v>
      </c>
      <c r="E7" s="271"/>
      <c r="F7" s="99" t="s">
        <v>65</v>
      </c>
      <c r="G7" s="96" t="s">
        <v>908</v>
      </c>
      <c r="H7" s="189">
        <v>200</v>
      </c>
      <c r="I7" s="190">
        <f ca="1">SUMIFS(Data_Base[Opening],Data_Base[Billing_Group],Biscuit!$C7,Data_Base[Distributor Name],Biscuit!$E$1,Data_Base[month],Biscuit!$Q$3)</f>
        <v>9</v>
      </c>
      <c r="J7" s="190">
        <f ca="1">SUMIFS(Data_Base[Receive],Data_Base[Billing_Group],Biscuit!$C7,Data_Base[Distributor Name],Biscuit!$E$1,Data_Base[month],Biscuit!$Q$3)</f>
        <v>0</v>
      </c>
      <c r="K7" s="190">
        <f t="shared" ca="1" si="0"/>
        <v>9</v>
      </c>
      <c r="L7" s="190">
        <v>20</v>
      </c>
      <c r="M7" s="190">
        <f t="shared" ca="1" si="1"/>
        <v>-11</v>
      </c>
      <c r="N7" s="190">
        <f t="shared" ca="1" si="2"/>
        <v>-291</v>
      </c>
      <c r="O7" s="190"/>
      <c r="P7" s="190">
        <f t="shared" si="3"/>
        <v>180</v>
      </c>
      <c r="Q7" s="92"/>
    </row>
    <row r="8" spans="1:20" ht="17.25" customHeight="1" thickBot="1">
      <c r="A8" s="11" t="s">
        <v>0</v>
      </c>
      <c r="B8" s="11" t="str">
        <f t="shared" ref="B8:B40" si="4">D8&amp;" "&amp;F8&amp;" "&amp;G8</f>
        <v>Butter Bite F.P. ₹ 20 x 30</v>
      </c>
      <c r="C8" s="13">
        <v>4</v>
      </c>
      <c r="D8" s="270" t="s">
        <v>1004</v>
      </c>
      <c r="E8" s="271"/>
      <c r="F8" s="99" t="s">
        <v>899</v>
      </c>
      <c r="G8" s="96" t="s">
        <v>909</v>
      </c>
      <c r="H8" s="189">
        <v>100</v>
      </c>
      <c r="I8" s="190">
        <f ca="1">SUMIFS(Data_Base[Opening],Data_Base[Billing_Group],Biscuit!$C8,Data_Base[Distributor Name],Biscuit!$E$1,Data_Base[month],Biscuit!$Q$3)</f>
        <v>274</v>
      </c>
      <c r="J8" s="190">
        <f ca="1">SUMIFS(Data_Base[Receive],Data_Base[Billing_Group],Biscuit!$C8,Data_Base[Distributor Name],Biscuit!$E$1,Data_Base[month],Biscuit!$Q$3)</f>
        <v>218</v>
      </c>
      <c r="K8" s="190">
        <f t="shared" ca="1" si="0"/>
        <v>492</v>
      </c>
      <c r="L8" s="190">
        <v>20</v>
      </c>
      <c r="M8" s="190">
        <f t="shared" ca="1" si="1"/>
        <v>472</v>
      </c>
      <c r="N8" s="190">
        <f t="shared" ca="1" si="2"/>
        <v>342</v>
      </c>
      <c r="O8" s="190"/>
      <c r="P8" s="190">
        <f t="shared" si="3"/>
        <v>80</v>
      </c>
      <c r="Q8" s="92"/>
    </row>
    <row r="9" spans="1:20" ht="17.25" customHeight="1" thickBot="1">
      <c r="A9" s="11" t="s">
        <v>0</v>
      </c>
      <c r="B9" s="11" t="str">
        <f t="shared" si="4"/>
        <v>Butter Bite F.P. ₹ 35 x 20</v>
      </c>
      <c r="C9" s="13">
        <v>5</v>
      </c>
      <c r="D9" s="270" t="s">
        <v>1004</v>
      </c>
      <c r="E9" s="271"/>
      <c r="F9" s="100" t="s">
        <v>894</v>
      </c>
      <c r="G9" s="97" t="s">
        <v>910</v>
      </c>
      <c r="H9" s="189">
        <v>100</v>
      </c>
      <c r="I9" s="190">
        <f ca="1">SUMIFS(Data_Base[Opening],Data_Base[Billing_Group],Biscuit!$C9,Data_Base[Distributor Name],Biscuit!$E$1,Data_Base[month],Biscuit!$Q$3)</f>
        <v>0</v>
      </c>
      <c r="J9" s="190">
        <f ca="1">SUMIFS(Data_Base[Receive],Data_Base[Billing_Group],Biscuit!$C9,Data_Base[Distributor Name],Biscuit!$E$1,Data_Base[month],Biscuit!$Q$3)</f>
        <v>0</v>
      </c>
      <c r="K9" s="190">
        <f t="shared" ca="1" si="0"/>
        <v>0</v>
      </c>
      <c r="L9" s="190">
        <v>10</v>
      </c>
      <c r="M9" s="190">
        <f t="shared" ca="1" si="1"/>
        <v>-10</v>
      </c>
      <c r="N9" s="190">
        <f t="shared" ca="1" si="2"/>
        <v>-150</v>
      </c>
      <c r="O9" s="190"/>
      <c r="P9" s="190">
        <f t="shared" si="3"/>
        <v>90</v>
      </c>
      <c r="Q9" s="92"/>
    </row>
    <row r="10" spans="1:20" ht="19.5" customHeight="1" thickBot="1">
      <c r="B10" s="11">
        <v>1</v>
      </c>
      <c r="C10" s="217" t="str">
        <f>D6</f>
        <v>Butter Bite</v>
      </c>
      <c r="D10" s="220" t="str">
        <f>D6&amp;" Total"</f>
        <v>Butter Bite Total</v>
      </c>
      <c r="E10" s="221"/>
      <c r="F10" s="221"/>
      <c r="G10" s="222"/>
      <c r="H10" s="209">
        <f>SUMIFS(Target[Target],Target[SS 2],$E$1,Target[DB 2],$J$1,Target[Cat.2],$C10,Target[Month],LEFT($Q$3,3))</f>
        <v>29.400000000000002</v>
      </c>
      <c r="I10" s="194">
        <f ca="1">SUM(I5:I9)</f>
        <v>381</v>
      </c>
      <c r="J10" s="194">
        <f t="shared" ref="J10" ca="1" si="5">SUM(J5:J9)</f>
        <v>218</v>
      </c>
      <c r="K10" s="194">
        <f t="shared" ca="1" si="0"/>
        <v>599</v>
      </c>
      <c r="L10" s="194">
        <v>80</v>
      </c>
      <c r="M10" s="194">
        <f t="shared" ca="1" si="1"/>
        <v>519</v>
      </c>
      <c r="N10" s="194">
        <f t="shared" ca="1" si="2"/>
        <v>554.9</v>
      </c>
      <c r="O10" s="194"/>
      <c r="P10" s="194">
        <f t="shared" si="3"/>
        <v>-50.599999999999994</v>
      </c>
      <c r="Q10" s="195"/>
    </row>
    <row r="11" spans="1:20" ht="17.25" customHeight="1" thickBot="1">
      <c r="A11" s="11" t="s">
        <v>0</v>
      </c>
      <c r="B11" s="11" t="str">
        <f t="shared" si="4"/>
        <v>B.B. Pista ATC ₹ 45 x 24</v>
      </c>
      <c r="C11" s="13">
        <v>6</v>
      </c>
      <c r="D11" s="273" t="s">
        <v>10</v>
      </c>
      <c r="E11" s="274"/>
      <c r="F11" s="50" t="s">
        <v>40</v>
      </c>
      <c r="G11" s="16" t="s">
        <v>911</v>
      </c>
      <c r="H11" s="210"/>
      <c r="I11" s="91">
        <f ca="1">SUMIFS(Data_Base[Opening],Data_Base[Billing_Group],Biscuit!$C11,Data_Base[Distributor Name],Biscuit!$E$1,Data_Base[month],Biscuit!$Q$3)</f>
        <v>10</v>
      </c>
      <c r="J11" s="91">
        <f ca="1">SUMIFS(Data_Base[Receive],Data_Base[Billing_Group],Biscuit!$C11,Data_Base[Distributor Name],Biscuit!$E$1,Data_Base[month],Biscuit!$Q$3)</f>
        <v>0</v>
      </c>
      <c r="K11" s="91">
        <f t="shared" ca="1" si="0"/>
        <v>10</v>
      </c>
      <c r="L11" s="91">
        <v>80</v>
      </c>
      <c r="M11" s="91">
        <f t="shared" ca="1" si="1"/>
        <v>-70</v>
      </c>
      <c r="N11" s="91">
        <f t="shared" ca="1" si="2"/>
        <v>10</v>
      </c>
      <c r="O11" s="91"/>
      <c r="P11" s="91">
        <f t="shared" si="3"/>
        <v>-80</v>
      </c>
      <c r="Q11" s="92"/>
    </row>
    <row r="12" spans="1:20" ht="17.25" customHeight="1" thickBot="1">
      <c r="A12" s="11" t="s">
        <v>0</v>
      </c>
      <c r="B12" s="11" t="str">
        <f t="shared" si="4"/>
        <v>Butter Bite Cashew Pouch ₹ 10 x 72</v>
      </c>
      <c r="C12" s="13">
        <v>7</v>
      </c>
      <c r="D12" s="271" t="s">
        <v>1005</v>
      </c>
      <c r="E12" s="271"/>
      <c r="F12" s="98" t="s">
        <v>65</v>
      </c>
      <c r="G12" s="95" t="s">
        <v>912</v>
      </c>
      <c r="H12" s="210"/>
      <c r="I12" s="91">
        <f ca="1">SUMIFS(Data_Base[Opening],Data_Base[Billing_Group],Biscuit!$C12,Data_Base[Distributor Name],Biscuit!$E$1,Data_Base[month],Biscuit!$Q$3)</f>
        <v>19</v>
      </c>
      <c r="J12" s="91">
        <f ca="1">SUMIFS(Data_Base[Receive],Data_Base[Billing_Group],Biscuit!$C12,Data_Base[Distributor Name],Biscuit!$E$1,Data_Base[month],Biscuit!$Q$3)</f>
        <v>0</v>
      </c>
      <c r="K12" s="91">
        <f t="shared" ca="1" si="0"/>
        <v>19</v>
      </c>
      <c r="L12" s="91">
        <v>80</v>
      </c>
      <c r="M12" s="91">
        <f t="shared" ca="1" si="1"/>
        <v>-61</v>
      </c>
      <c r="N12" s="91">
        <f t="shared" ca="1" si="2"/>
        <v>19</v>
      </c>
      <c r="O12" s="91"/>
      <c r="P12" s="91">
        <f t="shared" si="3"/>
        <v>-80</v>
      </c>
      <c r="Q12" s="92"/>
    </row>
    <row r="13" spans="1:20" ht="17.25" customHeight="1" thickBot="1">
      <c r="A13" s="11" t="s">
        <v>0</v>
      </c>
      <c r="B13" s="11" t="str">
        <f t="shared" si="4"/>
        <v>Butter Bite Cashew F.P. ₹ 20 x 30</v>
      </c>
      <c r="C13" s="13">
        <v>8</v>
      </c>
      <c r="D13" s="271" t="s">
        <v>1005</v>
      </c>
      <c r="E13" s="271"/>
      <c r="F13" s="99" t="s">
        <v>899</v>
      </c>
      <c r="G13" s="96" t="s">
        <v>909</v>
      </c>
      <c r="H13" s="210"/>
      <c r="I13" s="91">
        <f ca="1">SUMIFS(Data_Base[Opening],Data_Base[Billing_Group],Biscuit!$C13,Data_Base[Distributor Name],Biscuit!$E$1,Data_Base[month],Biscuit!$Q$3)</f>
        <v>0</v>
      </c>
      <c r="J13" s="91">
        <f ca="1">SUMIFS(Data_Base[Receive],Data_Base[Billing_Group],Biscuit!$C13,Data_Base[Distributor Name],Biscuit!$E$1,Data_Base[month],Biscuit!$Q$3)</f>
        <v>0</v>
      </c>
      <c r="K13" s="91">
        <f t="shared" ca="1" si="0"/>
        <v>0</v>
      </c>
      <c r="L13" s="91">
        <v>80</v>
      </c>
      <c r="M13" s="91">
        <f t="shared" ca="1" si="1"/>
        <v>-80</v>
      </c>
      <c r="N13" s="91">
        <f t="shared" ca="1" si="2"/>
        <v>0</v>
      </c>
      <c r="O13" s="91"/>
      <c r="P13" s="91">
        <f t="shared" si="3"/>
        <v>-80</v>
      </c>
      <c r="Q13" s="92"/>
    </row>
    <row r="14" spans="1:20" ht="17.25" customHeight="1" thickBot="1">
      <c r="A14" s="11" t="s">
        <v>0</v>
      </c>
      <c r="B14" s="11" t="str">
        <f t="shared" si="4"/>
        <v>Butter Bite Cashew ATC ₹ 45 x 24</v>
      </c>
      <c r="C14" s="13">
        <v>9</v>
      </c>
      <c r="D14" s="271" t="s">
        <v>1005</v>
      </c>
      <c r="E14" s="271"/>
      <c r="F14" s="109" t="s">
        <v>40</v>
      </c>
      <c r="G14" s="110" t="s">
        <v>911</v>
      </c>
      <c r="H14" s="210"/>
      <c r="I14" s="91">
        <f ca="1">SUMIFS(Data_Base[Opening],Data_Base[Billing_Group],Biscuit!$C14,Data_Base[Distributor Name],Biscuit!$E$1,Data_Base[month],Biscuit!$Q$3)</f>
        <v>6.0016999999999996</v>
      </c>
      <c r="J14" s="91">
        <f ca="1">SUMIFS(Data_Base[Receive],Data_Base[Billing_Group],Biscuit!$C14,Data_Base[Distributor Name],Biscuit!$E$1,Data_Base[month],Biscuit!$Q$3)</f>
        <v>0</v>
      </c>
      <c r="K14" s="91">
        <f t="shared" ca="1" si="0"/>
        <v>6.0016999999999996</v>
      </c>
      <c r="L14" s="91">
        <v>80</v>
      </c>
      <c r="M14" s="91">
        <f t="shared" ca="1" si="1"/>
        <v>-73.9983</v>
      </c>
      <c r="N14" s="91">
        <f t="shared" ca="1" si="2"/>
        <v>6.0016999999999996</v>
      </c>
      <c r="O14" s="91"/>
      <c r="P14" s="91">
        <f t="shared" si="3"/>
        <v>-80</v>
      </c>
      <c r="Q14" s="92"/>
    </row>
    <row r="15" spans="1:20" ht="19.5" customHeight="1" thickBot="1">
      <c r="B15" s="11">
        <v>1</v>
      </c>
      <c r="C15" s="217" t="str">
        <f>D12</f>
        <v>Butter Bite Cashew</v>
      </c>
      <c r="D15" s="220" t="str">
        <f>D12&amp;" Total"</f>
        <v>Butter Bite Cashew Total</v>
      </c>
      <c r="E15" s="221"/>
      <c r="F15" s="221"/>
      <c r="G15" s="222"/>
      <c r="H15" s="209">
        <f>SUM(H11:H14)</f>
        <v>0</v>
      </c>
      <c r="I15" s="194">
        <f t="shared" ref="I15:J15" ca="1" si="6">SUM(I11:I14)</f>
        <v>35.0017</v>
      </c>
      <c r="J15" s="194">
        <f t="shared" ca="1" si="6"/>
        <v>0</v>
      </c>
      <c r="K15" s="194">
        <f t="shared" ca="1" si="0"/>
        <v>35.0017</v>
      </c>
      <c r="L15" s="194">
        <v>80</v>
      </c>
      <c r="M15" s="194">
        <f t="shared" ca="1" si="1"/>
        <v>-44.9983</v>
      </c>
      <c r="N15" s="194">
        <f t="shared" ca="1" si="2"/>
        <v>35.0017</v>
      </c>
      <c r="O15" s="194"/>
      <c r="P15" s="194">
        <f t="shared" si="3"/>
        <v>-80</v>
      </c>
      <c r="Q15" s="195"/>
    </row>
    <row r="16" spans="1:20" ht="17.25" customHeight="1" thickBot="1">
      <c r="A16" s="11" t="s">
        <v>0</v>
      </c>
      <c r="B16" s="11" t="str">
        <f t="shared" si="4"/>
        <v>Jeera Gold Pouch ₹ 5 x 120</v>
      </c>
      <c r="C16" s="13">
        <v>10</v>
      </c>
      <c r="D16" s="272" t="s">
        <v>986</v>
      </c>
      <c r="E16" s="271"/>
      <c r="F16" s="98" t="s">
        <v>65</v>
      </c>
      <c r="G16" s="95" t="s">
        <v>913</v>
      </c>
      <c r="H16" s="210"/>
      <c r="I16" s="91">
        <f ca="1">SUMIFS(Data_Base[Opening],Data_Base[Billing_Group],Biscuit!$C16,Data_Base[Distributor Name],Biscuit!$E$1,Data_Base[month],Biscuit!$Q$3)</f>
        <v>25</v>
      </c>
      <c r="J16" s="91">
        <f ca="1">SUMIFS(Data_Base[Receive],Data_Base[Billing_Group],Biscuit!$C16,Data_Base[Distributor Name],Biscuit!$E$1,Data_Base[month],Biscuit!$Q$3)</f>
        <v>0</v>
      </c>
      <c r="K16" s="91">
        <f t="shared" ca="1" si="0"/>
        <v>25</v>
      </c>
      <c r="L16" s="91">
        <v>80</v>
      </c>
      <c r="M16" s="91">
        <f t="shared" ca="1" si="1"/>
        <v>-55</v>
      </c>
      <c r="N16" s="91">
        <f t="shared" ca="1" si="2"/>
        <v>25</v>
      </c>
      <c r="O16" s="91"/>
      <c r="P16" s="91">
        <f t="shared" si="3"/>
        <v>-80</v>
      </c>
      <c r="Q16" s="92"/>
    </row>
    <row r="17" spans="1:17" ht="17.25" customHeight="1" thickBot="1">
      <c r="A17" s="11" t="s">
        <v>0</v>
      </c>
      <c r="B17" s="11" t="str">
        <f t="shared" si="4"/>
        <v>Jeera Gold Pouch ₹ 10 x 60</v>
      </c>
      <c r="C17" s="13">
        <v>11</v>
      </c>
      <c r="D17" s="272" t="s">
        <v>986</v>
      </c>
      <c r="E17" s="271"/>
      <c r="F17" s="99" t="s">
        <v>65</v>
      </c>
      <c r="G17" s="96" t="s">
        <v>908</v>
      </c>
      <c r="H17" s="210"/>
      <c r="I17" s="91">
        <f ca="1">SUMIFS(Data_Base[Opening],Data_Base[Billing_Group],Biscuit!$C17,Data_Base[Distributor Name],Biscuit!$E$1,Data_Base[month],Biscuit!$Q$3)</f>
        <v>13</v>
      </c>
      <c r="J17" s="91">
        <f ca="1">SUMIFS(Data_Base[Receive],Data_Base[Billing_Group],Biscuit!$C17,Data_Base[Distributor Name],Biscuit!$E$1,Data_Base[month],Biscuit!$Q$3)</f>
        <v>0</v>
      </c>
      <c r="K17" s="91">
        <f t="shared" ca="1" si="0"/>
        <v>13</v>
      </c>
      <c r="L17" s="91">
        <v>80</v>
      </c>
      <c r="M17" s="91">
        <f t="shared" ca="1" si="1"/>
        <v>-67</v>
      </c>
      <c r="N17" s="91">
        <f t="shared" ca="1" si="2"/>
        <v>13</v>
      </c>
      <c r="O17" s="91"/>
      <c r="P17" s="91">
        <f t="shared" si="3"/>
        <v>-80</v>
      </c>
      <c r="Q17" s="92"/>
    </row>
    <row r="18" spans="1:17" ht="17.25" customHeight="1" thickBot="1">
      <c r="A18" s="11" t="s">
        <v>0</v>
      </c>
      <c r="B18" s="11" t="str">
        <f t="shared" si="4"/>
        <v>Jeera Gold F.P. ₹ 20 x 30</v>
      </c>
      <c r="C18" s="13">
        <v>12</v>
      </c>
      <c r="D18" s="272" t="s">
        <v>986</v>
      </c>
      <c r="E18" s="271"/>
      <c r="F18" s="109" t="s">
        <v>899</v>
      </c>
      <c r="G18" s="110" t="s">
        <v>909</v>
      </c>
      <c r="H18" s="210"/>
      <c r="I18" s="91">
        <f ca="1">SUMIFS(Data_Base[Opening],Data_Base[Billing_Group],Biscuit!$C18,Data_Base[Distributor Name],Biscuit!$E$1,Data_Base[month],Biscuit!$Q$3)</f>
        <v>29</v>
      </c>
      <c r="J18" s="91">
        <f ca="1">SUMIFS(Data_Base[Receive],Data_Base[Billing_Group],Biscuit!$C18,Data_Base[Distributor Name],Biscuit!$E$1,Data_Base[month],Biscuit!$Q$3)</f>
        <v>0</v>
      </c>
      <c r="K18" s="91">
        <f t="shared" ca="1" si="0"/>
        <v>29</v>
      </c>
      <c r="L18" s="91">
        <v>80</v>
      </c>
      <c r="M18" s="91">
        <f t="shared" ca="1" si="1"/>
        <v>-51</v>
      </c>
      <c r="N18" s="91">
        <f t="shared" ca="1" si="2"/>
        <v>29</v>
      </c>
      <c r="O18" s="91"/>
      <c r="P18" s="91">
        <f t="shared" si="3"/>
        <v>-80</v>
      </c>
      <c r="Q18" s="92"/>
    </row>
    <row r="19" spans="1:17" ht="19.5" customHeight="1" thickBot="1">
      <c r="B19" s="11">
        <v>1</v>
      </c>
      <c r="C19" s="217" t="str">
        <f>D16</f>
        <v>Jeera Gold</v>
      </c>
      <c r="D19" s="220" t="str">
        <f>D16&amp;" Total"</f>
        <v>Jeera Gold Total</v>
      </c>
      <c r="E19" s="221"/>
      <c r="F19" s="221"/>
      <c r="G19" s="222"/>
      <c r="H19" s="209">
        <f>SUM(H16:H18)</f>
        <v>0</v>
      </c>
      <c r="I19" s="194">
        <f t="shared" ref="I19:J19" ca="1" si="7">SUM(I16:I18)</f>
        <v>67</v>
      </c>
      <c r="J19" s="194">
        <f t="shared" ca="1" si="7"/>
        <v>0</v>
      </c>
      <c r="K19" s="194">
        <f t="shared" ca="1" si="0"/>
        <v>67</v>
      </c>
      <c r="L19" s="194">
        <v>80</v>
      </c>
      <c r="M19" s="194">
        <f t="shared" ca="1" si="1"/>
        <v>-13</v>
      </c>
      <c r="N19" s="194">
        <f t="shared" ca="1" si="2"/>
        <v>67</v>
      </c>
      <c r="O19" s="194"/>
      <c r="P19" s="194">
        <f t="shared" si="3"/>
        <v>-80</v>
      </c>
      <c r="Q19" s="195"/>
    </row>
    <row r="20" spans="1:17" ht="17.25" customHeight="1" thickBot="1">
      <c r="A20" s="11" t="s">
        <v>0</v>
      </c>
      <c r="B20" s="11" t="str">
        <f t="shared" si="4"/>
        <v>Chooo 
Chekkers Pouch ₹ 5 x 120</v>
      </c>
      <c r="C20" s="13">
        <v>13</v>
      </c>
      <c r="D20" s="272" t="s">
        <v>1018</v>
      </c>
      <c r="E20" s="275"/>
      <c r="F20" s="98" t="s">
        <v>65</v>
      </c>
      <c r="G20" s="95" t="s">
        <v>913</v>
      </c>
      <c r="H20" s="210"/>
      <c r="I20" s="91">
        <f ca="1">SUMIFS(Data_Base[Opening],Data_Base[Billing_Group],Biscuit!$C20,Data_Base[Distributor Name],Biscuit!$E$1,Data_Base[month],Biscuit!$Q$3)</f>
        <v>-6</v>
      </c>
      <c r="J20" s="91">
        <f ca="1">SUMIFS(Data_Base[Receive],Data_Base[Billing_Group],Biscuit!$C20,Data_Base[Distributor Name],Biscuit!$E$1,Data_Base[month],Biscuit!$Q$3)</f>
        <v>50</v>
      </c>
      <c r="K20" s="91">
        <f t="shared" ca="1" si="0"/>
        <v>44</v>
      </c>
      <c r="L20" s="91">
        <v>80</v>
      </c>
      <c r="M20" s="91">
        <f t="shared" ca="1" si="1"/>
        <v>-36</v>
      </c>
      <c r="N20" s="91">
        <f t="shared" ca="1" si="2"/>
        <v>44</v>
      </c>
      <c r="O20" s="91"/>
      <c r="P20" s="91">
        <f t="shared" si="3"/>
        <v>-80</v>
      </c>
      <c r="Q20" s="92"/>
    </row>
    <row r="21" spans="1:17" ht="17.25" customHeight="1" thickBot="1">
      <c r="A21" s="11" t="s">
        <v>0</v>
      </c>
      <c r="B21" s="11" t="str">
        <f t="shared" si="4"/>
        <v>Chooo 
Chekkers Pouch ₹ 10 x 60</v>
      </c>
      <c r="C21" s="13">
        <v>14</v>
      </c>
      <c r="D21" s="272" t="s">
        <v>1018</v>
      </c>
      <c r="E21" s="275"/>
      <c r="F21" s="99" t="s">
        <v>65</v>
      </c>
      <c r="G21" s="96" t="s">
        <v>908</v>
      </c>
      <c r="H21" s="210"/>
      <c r="I21" s="91">
        <f ca="1">SUMIFS(Data_Base[Opening],Data_Base[Billing_Group],Biscuit!$C21,Data_Base[Distributor Name],Biscuit!$E$1,Data_Base[month],Biscuit!$Q$3)</f>
        <v>-2</v>
      </c>
      <c r="J21" s="91">
        <f ca="1">SUMIFS(Data_Base[Receive],Data_Base[Billing_Group],Biscuit!$C21,Data_Base[Distributor Name],Biscuit!$E$1,Data_Base[month],Biscuit!$Q$3)</f>
        <v>55</v>
      </c>
      <c r="K21" s="91">
        <f t="shared" ca="1" si="0"/>
        <v>53</v>
      </c>
      <c r="L21" s="91">
        <v>80</v>
      </c>
      <c r="M21" s="91">
        <f t="shared" ca="1" si="1"/>
        <v>-27</v>
      </c>
      <c r="N21" s="91">
        <f t="shared" ca="1" si="2"/>
        <v>53</v>
      </c>
      <c r="O21" s="91"/>
      <c r="P21" s="91">
        <f t="shared" si="3"/>
        <v>-80</v>
      </c>
      <c r="Q21" s="92"/>
    </row>
    <row r="22" spans="1:17" ht="17.25" customHeight="1" thickBot="1">
      <c r="A22" s="11" t="s">
        <v>0</v>
      </c>
      <c r="B22" s="11" t="str">
        <f t="shared" si="4"/>
        <v>Chooo 
Chekkers F.P. ₹ 20 x 30</v>
      </c>
      <c r="C22" s="13">
        <v>15</v>
      </c>
      <c r="D22" s="272" t="s">
        <v>1018</v>
      </c>
      <c r="E22" s="275"/>
      <c r="F22" s="109" t="s">
        <v>899</v>
      </c>
      <c r="G22" s="110" t="s">
        <v>909</v>
      </c>
      <c r="H22" s="210"/>
      <c r="I22" s="91">
        <f ca="1">SUMIFS(Data_Base[Opening],Data_Base[Billing_Group],Biscuit!$C22,Data_Base[Distributor Name],Biscuit!$E$1,Data_Base[month],Biscuit!$Q$3)</f>
        <v>33</v>
      </c>
      <c r="J22" s="91">
        <f ca="1">SUMIFS(Data_Base[Receive],Data_Base[Billing_Group],Biscuit!$C22,Data_Base[Distributor Name],Biscuit!$E$1,Data_Base[month],Biscuit!$Q$3)</f>
        <v>50</v>
      </c>
      <c r="K22" s="91">
        <f t="shared" ca="1" si="0"/>
        <v>83</v>
      </c>
      <c r="L22" s="91">
        <v>80</v>
      </c>
      <c r="M22" s="91">
        <f t="shared" ca="1" si="1"/>
        <v>3</v>
      </c>
      <c r="N22" s="91">
        <f t="shared" ca="1" si="2"/>
        <v>83</v>
      </c>
      <c r="O22" s="91"/>
      <c r="P22" s="91">
        <f t="shared" si="3"/>
        <v>-80</v>
      </c>
      <c r="Q22" s="92"/>
    </row>
    <row r="23" spans="1:17" ht="17.25" customHeight="1" thickBot="1">
      <c r="A23" s="11" t="s">
        <v>0</v>
      </c>
      <c r="B23" s="11" t="str">
        <f t="shared" si="4"/>
        <v>Chai Biscuit Pouch ₹ 10 x 60</v>
      </c>
      <c r="C23" s="13"/>
      <c r="D23" s="276" t="s">
        <v>895</v>
      </c>
      <c r="E23" s="276"/>
      <c r="F23" s="105" t="s">
        <v>65</v>
      </c>
      <c r="G23" s="106" t="s">
        <v>908</v>
      </c>
      <c r="H23" s="210"/>
      <c r="I23" s="91">
        <f ca="1">SUMIFS(Data_Base[Opening],Data_Base[Billing_Group],Biscuit!$C23,Data_Base[Distributor Name],Biscuit!$E$1,Data_Base[month],Biscuit!$Q$3)</f>
        <v>0</v>
      </c>
      <c r="J23" s="91">
        <f ca="1">SUMIFS(Data_Base[Receive],Data_Base[Billing_Group],Biscuit!$C23,Data_Base[Distributor Name],Biscuit!$E$1,Data_Base[month],Biscuit!$Q$3)</f>
        <v>0</v>
      </c>
      <c r="K23" s="91">
        <f t="shared" ca="1" si="0"/>
        <v>0</v>
      </c>
      <c r="L23" s="91">
        <v>80</v>
      </c>
      <c r="M23" s="91">
        <f t="shared" ca="1" si="1"/>
        <v>-80</v>
      </c>
      <c r="N23" s="91">
        <f t="shared" ca="1" si="2"/>
        <v>0</v>
      </c>
      <c r="O23" s="91"/>
      <c r="P23" s="91">
        <f t="shared" si="3"/>
        <v>-80</v>
      </c>
      <c r="Q23" s="92"/>
    </row>
    <row r="24" spans="1:17" ht="17.25" customHeight="1" thickBot="1">
      <c r="A24" s="11" t="s">
        <v>0</v>
      </c>
      <c r="B24" s="11" t="str">
        <f t="shared" si="4"/>
        <v>Chai Biscuit F.P. ₹ 20 x 30</v>
      </c>
      <c r="C24" s="13"/>
      <c r="D24" s="276" t="s">
        <v>895</v>
      </c>
      <c r="E24" s="275"/>
      <c r="F24" s="99" t="s">
        <v>899</v>
      </c>
      <c r="G24" s="96" t="s">
        <v>909</v>
      </c>
      <c r="H24" s="210"/>
      <c r="I24" s="91">
        <f ca="1">SUMIFS(Data_Base[Opening],Data_Base[Billing_Group],Biscuit!$C24,Data_Base[Distributor Name],Biscuit!$E$1,Data_Base[month],Biscuit!$Q$3)</f>
        <v>0</v>
      </c>
      <c r="J24" s="91">
        <f ca="1">SUMIFS(Data_Base[Receive],Data_Base[Billing_Group],Biscuit!$C24,Data_Base[Distributor Name],Biscuit!$E$1,Data_Base[month],Biscuit!$Q$3)</f>
        <v>0</v>
      </c>
      <c r="K24" s="91">
        <f t="shared" ca="1" si="0"/>
        <v>0</v>
      </c>
      <c r="L24" s="91">
        <v>80</v>
      </c>
      <c r="M24" s="91">
        <f t="shared" ca="1" si="1"/>
        <v>-80</v>
      </c>
      <c r="N24" s="91">
        <f t="shared" ca="1" si="2"/>
        <v>0</v>
      </c>
      <c r="O24" s="91"/>
      <c r="P24" s="91">
        <f t="shared" si="3"/>
        <v>-80</v>
      </c>
      <c r="Q24" s="92"/>
    </row>
    <row r="25" spans="1:17" ht="19.5" customHeight="1" thickBot="1">
      <c r="B25" s="11">
        <v>1</v>
      </c>
      <c r="C25" s="217" t="str">
        <f>D20</f>
        <v>Chooo 
Chekkers</v>
      </c>
      <c r="D25" s="223" t="str">
        <f>D20&amp;" Total"</f>
        <v>Chooo 
Chekkers Total</v>
      </c>
      <c r="E25" s="224"/>
      <c r="F25" s="224"/>
      <c r="G25" s="225"/>
      <c r="H25" s="209">
        <f>SUM(H20:H24)</f>
        <v>0</v>
      </c>
      <c r="I25" s="194">
        <f t="shared" ref="I25:J25" ca="1" si="8">SUM(I20:I24)</f>
        <v>25</v>
      </c>
      <c r="J25" s="194">
        <f t="shared" ca="1" si="8"/>
        <v>155</v>
      </c>
      <c r="K25" s="194">
        <f t="shared" ca="1" si="0"/>
        <v>180</v>
      </c>
      <c r="L25" s="194">
        <v>80</v>
      </c>
      <c r="M25" s="194">
        <f t="shared" ca="1" si="1"/>
        <v>100</v>
      </c>
      <c r="N25" s="194">
        <f t="shared" ca="1" si="2"/>
        <v>180</v>
      </c>
      <c r="O25" s="194"/>
      <c r="P25" s="194">
        <f t="shared" si="3"/>
        <v>-80</v>
      </c>
      <c r="Q25" s="195"/>
    </row>
    <row r="26" spans="1:17" ht="17.25" customHeight="1" thickBot="1">
      <c r="A26" s="11" t="s">
        <v>0</v>
      </c>
      <c r="B26" s="11" t="str">
        <f t="shared" si="4"/>
        <v>Milky Brust Pouch ₹ 5 x 120</v>
      </c>
      <c r="C26" s="13">
        <v>85</v>
      </c>
      <c r="D26" s="272" t="s">
        <v>896</v>
      </c>
      <c r="E26" s="271"/>
      <c r="F26" s="99" t="s">
        <v>65</v>
      </c>
      <c r="G26" s="96" t="s">
        <v>913</v>
      </c>
      <c r="H26" s="210"/>
      <c r="I26" s="91">
        <f ca="1">SUMIFS(Data_Base[Opening],Data_Base[Billing_Group],Biscuit!$C26,Data_Base[Distributor Name],Biscuit!$E$1,Data_Base[month],Biscuit!$Q$3)</f>
        <v>1.24E-2</v>
      </c>
      <c r="J26" s="91">
        <f ca="1">SUMIFS(Data_Base[Receive],Data_Base[Billing_Group],Biscuit!$C26,Data_Base[Distributor Name],Biscuit!$E$1,Data_Base[month],Biscuit!$Q$3)</f>
        <v>0</v>
      </c>
      <c r="K26" s="91">
        <f t="shared" ca="1" si="0"/>
        <v>1.24E-2</v>
      </c>
      <c r="L26" s="91">
        <v>80</v>
      </c>
      <c r="M26" s="91">
        <f t="shared" ca="1" si="1"/>
        <v>-79.9876</v>
      </c>
      <c r="N26" s="91">
        <f t="shared" ca="1" si="2"/>
        <v>1.2399999999999523E-2</v>
      </c>
      <c r="O26" s="91"/>
      <c r="P26" s="91">
        <f t="shared" si="3"/>
        <v>-80</v>
      </c>
      <c r="Q26" s="92"/>
    </row>
    <row r="27" spans="1:17" ht="17.25" customHeight="1" thickBot="1">
      <c r="A27" s="11" t="s">
        <v>0</v>
      </c>
      <c r="B27" s="11" t="str">
        <f t="shared" si="4"/>
        <v>Milky Brust Pouch ₹ 10 x 60</v>
      </c>
      <c r="C27" s="13">
        <v>86</v>
      </c>
      <c r="D27" s="272" t="s">
        <v>896</v>
      </c>
      <c r="E27" s="271"/>
      <c r="F27" s="99" t="s">
        <v>65</v>
      </c>
      <c r="G27" s="96" t="s">
        <v>908</v>
      </c>
      <c r="H27" s="210"/>
      <c r="I27" s="91">
        <f ca="1">SUMIFS(Data_Base[Opening],Data_Base[Billing_Group],Biscuit!$C27,Data_Base[Distributor Name],Biscuit!$E$1,Data_Base[month],Biscuit!$Q$3)</f>
        <v>0</v>
      </c>
      <c r="J27" s="91">
        <f ca="1">SUMIFS(Data_Base[Receive],Data_Base[Billing_Group],Biscuit!$C27,Data_Base[Distributor Name],Biscuit!$E$1,Data_Base[month],Biscuit!$Q$3)</f>
        <v>0</v>
      </c>
      <c r="K27" s="91">
        <f t="shared" ca="1" si="0"/>
        <v>0</v>
      </c>
      <c r="L27" s="91">
        <v>80</v>
      </c>
      <c r="M27" s="91">
        <f t="shared" ca="1" si="1"/>
        <v>-80</v>
      </c>
      <c r="N27" s="91">
        <f t="shared" ca="1" si="2"/>
        <v>0</v>
      </c>
      <c r="O27" s="91"/>
      <c r="P27" s="91">
        <f t="shared" si="3"/>
        <v>-80</v>
      </c>
      <c r="Q27" s="92"/>
    </row>
    <row r="28" spans="1:17" ht="17.25" customHeight="1" thickBot="1">
      <c r="A28" s="11" t="s">
        <v>0</v>
      </c>
      <c r="B28" s="11" t="str">
        <f t="shared" si="4"/>
        <v>Milky Brust F.P. ₹ 20 x 30</v>
      </c>
      <c r="C28" s="13">
        <v>87</v>
      </c>
      <c r="D28" s="272" t="s">
        <v>896</v>
      </c>
      <c r="E28" s="277"/>
      <c r="F28" s="103" t="s">
        <v>899</v>
      </c>
      <c r="G28" s="104" t="s">
        <v>909</v>
      </c>
      <c r="H28" s="210"/>
      <c r="I28" s="91">
        <f ca="1">SUMIFS(Data_Base[Opening],Data_Base[Billing_Group],Biscuit!$C28,Data_Base[Distributor Name],Biscuit!$E$1,Data_Base[month],Biscuit!$Q$3)</f>
        <v>0</v>
      </c>
      <c r="J28" s="91">
        <f ca="1">SUMIFS(Data_Base[Receive],Data_Base[Billing_Group],Biscuit!$C28,Data_Base[Distributor Name],Biscuit!$E$1,Data_Base[month],Biscuit!$Q$3)</f>
        <v>0</v>
      </c>
      <c r="K28" s="91">
        <f t="shared" ca="1" si="0"/>
        <v>0</v>
      </c>
      <c r="L28" s="91">
        <v>80</v>
      </c>
      <c r="M28" s="91">
        <f t="shared" ca="1" si="1"/>
        <v>-80</v>
      </c>
      <c r="N28" s="91">
        <f t="shared" ca="1" si="2"/>
        <v>0</v>
      </c>
      <c r="O28" s="91"/>
      <c r="P28" s="91">
        <f t="shared" si="3"/>
        <v>-80</v>
      </c>
      <c r="Q28" s="92"/>
    </row>
    <row r="29" spans="1:17" ht="19.5" customHeight="1" thickBot="1">
      <c r="B29" s="11">
        <v>1</v>
      </c>
      <c r="C29" s="217" t="str">
        <f>D26</f>
        <v>Milky Brust</v>
      </c>
      <c r="D29" s="220" t="str">
        <f>D26&amp;" Total"</f>
        <v>Milky Brust Total</v>
      </c>
      <c r="E29" s="221"/>
      <c r="F29" s="221"/>
      <c r="G29" s="222"/>
      <c r="H29" s="209">
        <f>SUM(H26:H28)</f>
        <v>0</v>
      </c>
      <c r="I29" s="194">
        <f t="shared" ref="I29:J29" ca="1" si="9">SUM(I26:I28)</f>
        <v>1.24E-2</v>
      </c>
      <c r="J29" s="194">
        <f t="shared" ca="1" si="9"/>
        <v>0</v>
      </c>
      <c r="K29" s="194">
        <f t="shared" ca="1" si="0"/>
        <v>1.24E-2</v>
      </c>
      <c r="L29" s="194">
        <v>80</v>
      </c>
      <c r="M29" s="194">
        <f t="shared" ca="1" si="1"/>
        <v>-79.9876</v>
      </c>
      <c r="N29" s="194">
        <f t="shared" ca="1" si="2"/>
        <v>1.2399999999999523E-2</v>
      </c>
      <c r="O29" s="194"/>
      <c r="P29" s="194">
        <f t="shared" si="3"/>
        <v>-80</v>
      </c>
      <c r="Q29" s="195"/>
    </row>
    <row r="30" spans="1:17" ht="17.25" customHeight="1" thickBot="1">
      <c r="A30" s="11" t="s">
        <v>0</v>
      </c>
      <c r="B30" s="11" t="str">
        <f t="shared" si="4"/>
        <v>Coconut Crunch Pouch ₹ 5 x 120</v>
      </c>
      <c r="C30" s="13">
        <v>19</v>
      </c>
      <c r="D30" s="271" t="s">
        <v>1006</v>
      </c>
      <c r="E30" s="271"/>
      <c r="F30" s="98" t="s">
        <v>65</v>
      </c>
      <c r="G30" s="95" t="s">
        <v>913</v>
      </c>
      <c r="H30" s="210"/>
      <c r="I30" s="91">
        <f ca="1">SUMIFS(Data_Base[Opening],Data_Base[Billing_Group],Biscuit!$C30,Data_Base[Distributor Name],Biscuit!$E$1,Data_Base[month],Biscuit!$Q$3)</f>
        <v>25</v>
      </c>
      <c r="J30" s="91">
        <f ca="1">SUMIFS(Data_Base[Receive],Data_Base[Billing_Group],Biscuit!$C30,Data_Base[Distributor Name],Biscuit!$E$1,Data_Base[month],Biscuit!$Q$3)</f>
        <v>0</v>
      </c>
      <c r="K30" s="91">
        <f t="shared" ca="1" si="0"/>
        <v>25</v>
      </c>
      <c r="L30" s="91">
        <v>80</v>
      </c>
      <c r="M30" s="91">
        <f t="shared" ca="1" si="1"/>
        <v>-55</v>
      </c>
      <c r="N30" s="91">
        <f t="shared" ca="1" si="2"/>
        <v>25</v>
      </c>
      <c r="O30" s="91"/>
      <c r="P30" s="91">
        <f t="shared" si="3"/>
        <v>-80</v>
      </c>
      <c r="Q30" s="92"/>
    </row>
    <row r="31" spans="1:17" ht="17.25" customHeight="1" thickBot="1">
      <c r="A31" s="11" t="s">
        <v>0</v>
      </c>
      <c r="B31" s="11" t="str">
        <f t="shared" si="4"/>
        <v>Coconut Crunch Pouch ₹ 10 x 60</v>
      </c>
      <c r="C31" s="13">
        <v>20</v>
      </c>
      <c r="D31" s="271" t="s">
        <v>1006</v>
      </c>
      <c r="E31" s="271"/>
      <c r="F31" s="99" t="s">
        <v>65</v>
      </c>
      <c r="G31" s="96" t="s">
        <v>908</v>
      </c>
      <c r="H31" s="210"/>
      <c r="I31" s="91">
        <f ca="1">SUMIFS(Data_Base[Opening],Data_Base[Billing_Group],Biscuit!$C31,Data_Base[Distributor Name],Biscuit!$E$1,Data_Base[month],Biscuit!$Q$3)</f>
        <v>308</v>
      </c>
      <c r="J31" s="91">
        <f ca="1">SUMIFS(Data_Base[Receive],Data_Base[Billing_Group],Biscuit!$C31,Data_Base[Distributor Name],Biscuit!$E$1,Data_Base[month],Biscuit!$Q$3)</f>
        <v>0</v>
      </c>
      <c r="K31" s="91">
        <f t="shared" ca="1" si="0"/>
        <v>308</v>
      </c>
      <c r="L31" s="91">
        <v>80</v>
      </c>
      <c r="M31" s="91">
        <f t="shared" ca="1" si="1"/>
        <v>228</v>
      </c>
      <c r="N31" s="91">
        <f t="shared" ca="1" si="2"/>
        <v>308</v>
      </c>
      <c r="O31" s="91"/>
      <c r="P31" s="91">
        <f t="shared" si="3"/>
        <v>-80</v>
      </c>
      <c r="Q31" s="92"/>
    </row>
    <row r="32" spans="1:17" ht="17.25" customHeight="1" thickBot="1">
      <c r="A32" s="11" t="s">
        <v>0</v>
      </c>
      <c r="B32" s="11" t="str">
        <f t="shared" si="4"/>
        <v>Coconut Crunch F.P. ₹ 20 x 30</v>
      </c>
      <c r="C32" s="13">
        <v>21</v>
      </c>
      <c r="D32" s="271" t="s">
        <v>1006</v>
      </c>
      <c r="E32" s="271"/>
      <c r="F32" s="109" t="s">
        <v>899</v>
      </c>
      <c r="G32" s="110" t="s">
        <v>909</v>
      </c>
      <c r="H32" s="210"/>
      <c r="I32" s="91">
        <f ca="1">SUMIFS(Data_Base[Opening],Data_Base[Billing_Group],Biscuit!$C32,Data_Base[Distributor Name],Biscuit!$E$1,Data_Base[month],Biscuit!$Q$3)</f>
        <v>9</v>
      </c>
      <c r="J32" s="91">
        <f ca="1">SUMIFS(Data_Base[Receive],Data_Base[Billing_Group],Biscuit!$C32,Data_Base[Distributor Name],Biscuit!$E$1,Data_Base[month],Biscuit!$Q$3)</f>
        <v>0</v>
      </c>
      <c r="K32" s="91">
        <f t="shared" ca="1" si="0"/>
        <v>9</v>
      </c>
      <c r="L32" s="91">
        <v>80</v>
      </c>
      <c r="M32" s="91">
        <f t="shared" ca="1" si="1"/>
        <v>-71</v>
      </c>
      <c r="N32" s="91">
        <f t="shared" ca="1" si="2"/>
        <v>9</v>
      </c>
      <c r="O32" s="91"/>
      <c r="P32" s="91">
        <f t="shared" si="3"/>
        <v>-80</v>
      </c>
      <c r="Q32" s="92"/>
    </row>
    <row r="33" spans="1:17" ht="19.5" customHeight="1" thickBot="1">
      <c r="B33" s="11">
        <v>1</v>
      </c>
      <c r="C33" s="217" t="str">
        <f>D30</f>
        <v>Coconut Crunch</v>
      </c>
      <c r="D33" s="220" t="str">
        <f>D30&amp;" Total"</f>
        <v>Coconut Crunch Total</v>
      </c>
      <c r="E33" s="221"/>
      <c r="F33" s="221"/>
      <c r="G33" s="222"/>
      <c r="H33" s="209">
        <f>SUM(H30:H32)</f>
        <v>0</v>
      </c>
      <c r="I33" s="194">
        <f t="shared" ref="I33:J33" ca="1" si="10">SUM(I30:I32)</f>
        <v>342</v>
      </c>
      <c r="J33" s="194">
        <f t="shared" ca="1" si="10"/>
        <v>0</v>
      </c>
      <c r="K33" s="194">
        <f t="shared" ca="1" si="0"/>
        <v>342</v>
      </c>
      <c r="L33" s="194">
        <v>80</v>
      </c>
      <c r="M33" s="194">
        <f t="shared" ca="1" si="1"/>
        <v>262</v>
      </c>
      <c r="N33" s="194">
        <f t="shared" ca="1" si="2"/>
        <v>342</v>
      </c>
      <c r="O33" s="194"/>
      <c r="P33" s="194">
        <f t="shared" si="3"/>
        <v>-80</v>
      </c>
      <c r="Q33" s="195"/>
    </row>
    <row r="34" spans="1:17" ht="17.25" customHeight="1" thickBot="1">
      <c r="A34" s="11" t="s">
        <v>0</v>
      </c>
      <c r="B34" s="11" t="str">
        <f t="shared" si="4"/>
        <v>Snakker Creme Pouch ₹ 10 x 60</v>
      </c>
      <c r="C34" s="13">
        <v>22</v>
      </c>
      <c r="D34" s="270" t="s">
        <v>1007</v>
      </c>
      <c r="E34" s="270"/>
      <c r="F34" s="105" t="s">
        <v>65</v>
      </c>
      <c r="G34" s="106" t="s">
        <v>908</v>
      </c>
      <c r="H34" s="210"/>
      <c r="I34" s="91">
        <f ca="1">SUMIFS(Data_Base[Opening],Data_Base[Billing_Group],Biscuit!$C34,Data_Base[Distributor Name],Biscuit!$E$1,Data_Base[month],Biscuit!$Q$3)</f>
        <v>74</v>
      </c>
      <c r="J34" s="91">
        <f ca="1">SUMIFS(Data_Base[Receive],Data_Base[Billing_Group],Biscuit!$C34,Data_Base[Distributor Name],Biscuit!$E$1,Data_Base[month],Biscuit!$Q$3)</f>
        <v>50</v>
      </c>
      <c r="K34" s="91">
        <f t="shared" ca="1" si="0"/>
        <v>124</v>
      </c>
      <c r="L34" s="91">
        <v>80</v>
      </c>
      <c r="M34" s="91">
        <f t="shared" ca="1" si="1"/>
        <v>44</v>
      </c>
      <c r="N34" s="91">
        <f t="shared" ca="1" si="2"/>
        <v>124</v>
      </c>
      <c r="O34" s="91"/>
      <c r="P34" s="91">
        <f t="shared" si="3"/>
        <v>-80</v>
      </c>
      <c r="Q34" s="92"/>
    </row>
    <row r="35" spans="1:17" ht="17.25" customHeight="1" thickBot="1">
      <c r="A35" s="11" t="s">
        <v>0</v>
      </c>
      <c r="B35" s="11" t="str">
        <f t="shared" si="4"/>
        <v>Snakker Creme F.P. ₹ 20 x 30</v>
      </c>
      <c r="C35" s="13">
        <v>23</v>
      </c>
      <c r="D35" s="270" t="s">
        <v>1007</v>
      </c>
      <c r="E35" s="277"/>
      <c r="F35" s="103" t="s">
        <v>899</v>
      </c>
      <c r="G35" s="104" t="s">
        <v>909</v>
      </c>
      <c r="H35" s="210"/>
      <c r="I35" s="91">
        <f ca="1">SUMIFS(Data_Base[Opening],Data_Base[Billing_Group],Biscuit!$C35,Data_Base[Distributor Name],Biscuit!$E$1,Data_Base[month],Biscuit!$Q$3)</f>
        <v>0</v>
      </c>
      <c r="J35" s="91">
        <f ca="1">SUMIFS(Data_Base[Receive],Data_Base[Billing_Group],Biscuit!$C35,Data_Base[Distributor Name],Biscuit!$E$1,Data_Base[month],Biscuit!$Q$3)</f>
        <v>0</v>
      </c>
      <c r="K35" s="91">
        <f t="shared" ca="1" si="0"/>
        <v>0</v>
      </c>
      <c r="L35" s="91">
        <v>80</v>
      </c>
      <c r="M35" s="91">
        <f t="shared" ca="1" si="1"/>
        <v>-80</v>
      </c>
      <c r="N35" s="91">
        <f t="shared" ca="1" si="2"/>
        <v>0</v>
      </c>
      <c r="O35" s="91"/>
      <c r="P35" s="91">
        <f t="shared" si="3"/>
        <v>-80</v>
      </c>
      <c r="Q35" s="92"/>
    </row>
    <row r="36" spans="1:17" ht="19.5" customHeight="1" thickBot="1">
      <c r="B36" s="11">
        <v>1</v>
      </c>
      <c r="C36" s="217" t="str">
        <f>D34</f>
        <v>Snakker Creme</v>
      </c>
      <c r="D36" s="220" t="str">
        <f>D34&amp;" Total"</f>
        <v>Snakker Creme Total</v>
      </c>
      <c r="E36" s="221"/>
      <c r="F36" s="221"/>
      <c r="G36" s="222"/>
      <c r="H36" s="209">
        <f>SUM(H34:H35)</f>
        <v>0</v>
      </c>
      <c r="I36" s="194">
        <f t="shared" ref="I36:J36" ca="1" si="11">SUM(I34:I35)</f>
        <v>74</v>
      </c>
      <c r="J36" s="194">
        <f t="shared" ca="1" si="11"/>
        <v>50</v>
      </c>
      <c r="K36" s="194">
        <f t="shared" ca="1" si="0"/>
        <v>124</v>
      </c>
      <c r="L36" s="194">
        <v>80</v>
      </c>
      <c r="M36" s="194">
        <f t="shared" ca="1" si="1"/>
        <v>44</v>
      </c>
      <c r="N36" s="194">
        <f t="shared" ca="1" si="2"/>
        <v>124</v>
      </c>
      <c r="O36" s="194"/>
      <c r="P36" s="194">
        <f t="shared" si="3"/>
        <v>-80</v>
      </c>
      <c r="Q36" s="195"/>
    </row>
    <row r="37" spans="1:17" ht="17.25" customHeight="1" thickBot="1">
      <c r="A37" s="11" t="s">
        <v>0</v>
      </c>
      <c r="B37" s="11" t="str">
        <f t="shared" si="4"/>
        <v>Bourbon Pouch ₹ 10 x 60</v>
      </c>
      <c r="C37" s="13">
        <v>24</v>
      </c>
      <c r="D37" s="271" t="s">
        <v>1008</v>
      </c>
      <c r="E37" s="271"/>
      <c r="F37" s="98" t="s">
        <v>65</v>
      </c>
      <c r="G37" s="95" t="s">
        <v>908</v>
      </c>
      <c r="H37" s="210"/>
      <c r="I37" s="91">
        <f ca="1">SUMIFS(Data_Base[Opening],Data_Base[Billing_Group],Biscuit!$C37,Data_Base[Distributor Name],Biscuit!$E$1,Data_Base[month],Biscuit!$Q$3)</f>
        <v>-5</v>
      </c>
      <c r="J37" s="91">
        <f ca="1">SUMIFS(Data_Base[Receive],Data_Base[Billing_Group],Biscuit!$C37,Data_Base[Distributor Name],Biscuit!$E$1,Data_Base[month],Biscuit!$Q$3)</f>
        <v>120</v>
      </c>
      <c r="K37" s="91">
        <f t="shared" ca="1" si="0"/>
        <v>115</v>
      </c>
      <c r="L37" s="91">
        <v>80</v>
      </c>
      <c r="M37" s="91">
        <f t="shared" ca="1" si="1"/>
        <v>35</v>
      </c>
      <c r="N37" s="91">
        <f t="shared" ca="1" si="2"/>
        <v>115</v>
      </c>
      <c r="O37" s="91"/>
      <c r="P37" s="91">
        <f t="shared" si="3"/>
        <v>-80</v>
      </c>
      <c r="Q37" s="92"/>
    </row>
    <row r="38" spans="1:17" ht="17.25" customHeight="1" thickBot="1">
      <c r="A38" s="11" t="s">
        <v>0</v>
      </c>
      <c r="B38" s="11" t="str">
        <f t="shared" si="4"/>
        <v>Bourbon F.P. ₹ 20 x 30</v>
      </c>
      <c r="C38" s="13">
        <v>25</v>
      </c>
      <c r="D38" s="271" t="s">
        <v>1008</v>
      </c>
      <c r="E38" s="271"/>
      <c r="F38" s="109" t="s">
        <v>899</v>
      </c>
      <c r="G38" s="110" t="s">
        <v>909</v>
      </c>
      <c r="H38" s="210"/>
      <c r="I38" s="91">
        <f ca="1">SUMIFS(Data_Base[Opening],Data_Base[Billing_Group],Biscuit!$C38,Data_Base[Distributor Name],Biscuit!$E$1,Data_Base[month],Biscuit!$Q$3)</f>
        <v>1</v>
      </c>
      <c r="J38" s="91">
        <f ca="1">SUMIFS(Data_Base[Receive],Data_Base[Billing_Group],Biscuit!$C38,Data_Base[Distributor Name],Biscuit!$E$1,Data_Base[month],Biscuit!$Q$3)</f>
        <v>55</v>
      </c>
      <c r="K38" s="91">
        <f t="shared" ca="1" si="0"/>
        <v>56</v>
      </c>
      <c r="L38" s="91">
        <v>80</v>
      </c>
      <c r="M38" s="91">
        <f t="shared" ca="1" si="1"/>
        <v>-24</v>
      </c>
      <c r="N38" s="91">
        <f t="shared" ca="1" si="2"/>
        <v>56</v>
      </c>
      <c r="O38" s="91"/>
      <c r="P38" s="91">
        <f t="shared" si="3"/>
        <v>-80</v>
      </c>
      <c r="Q38" s="92"/>
    </row>
    <row r="39" spans="1:17" ht="19.5" customHeight="1" thickBot="1">
      <c r="B39" s="11">
        <v>1</v>
      </c>
      <c r="C39" s="217" t="str">
        <f>D37</f>
        <v>Bourbon</v>
      </c>
      <c r="D39" s="220" t="str">
        <f>D37&amp;" Total"</f>
        <v>Bourbon Total</v>
      </c>
      <c r="E39" s="221"/>
      <c r="F39" s="221"/>
      <c r="G39" s="222"/>
      <c r="H39" s="209">
        <f>SUM(H37:H38)</f>
        <v>0</v>
      </c>
      <c r="I39" s="194">
        <f t="shared" ref="I39:J39" ca="1" si="12">SUM(I37:I38)</f>
        <v>-4</v>
      </c>
      <c r="J39" s="194">
        <f t="shared" ca="1" si="12"/>
        <v>175</v>
      </c>
      <c r="K39" s="194">
        <f t="shared" ca="1" si="0"/>
        <v>171</v>
      </c>
      <c r="L39" s="194">
        <v>80</v>
      </c>
      <c r="M39" s="194">
        <f t="shared" ca="1" si="1"/>
        <v>91</v>
      </c>
      <c r="N39" s="194">
        <f t="shared" ca="1" si="2"/>
        <v>171</v>
      </c>
      <c r="O39" s="194"/>
      <c r="P39" s="194">
        <f t="shared" si="3"/>
        <v>-80</v>
      </c>
      <c r="Q39" s="195"/>
    </row>
    <row r="40" spans="1:17" ht="17.25" customHeight="1" thickBot="1">
      <c r="A40" s="11" t="s">
        <v>0</v>
      </c>
      <c r="B40" s="11" t="str">
        <f t="shared" si="4"/>
        <v>Trojan Delite ATC ₹5 x 720</v>
      </c>
      <c r="C40" s="13">
        <v>81</v>
      </c>
      <c r="D40" s="280" t="s">
        <v>39</v>
      </c>
      <c r="E40" s="281"/>
      <c r="F40" s="107" t="s">
        <v>40</v>
      </c>
      <c r="G40" s="108" t="s">
        <v>930</v>
      </c>
      <c r="H40" s="210"/>
      <c r="I40" s="91">
        <f ca="1">SUMIFS(Data_Base[Opening],Data_Base[Billing_Group],Biscuit!$C40,Data_Base[Distributor Name],Biscuit!$E$1,Data_Base[month],Biscuit!$Q$3)</f>
        <v>0</v>
      </c>
      <c r="J40" s="91">
        <f ca="1">SUMIFS(Data_Base[Receive],Data_Base[Billing_Group],Biscuit!$C40,Data_Base[Distributor Name],Biscuit!$E$1,Data_Base[month],Biscuit!$Q$3)</f>
        <v>0</v>
      </c>
      <c r="K40" s="91">
        <f t="shared" ca="1" si="0"/>
        <v>0</v>
      </c>
      <c r="L40" s="91">
        <v>80</v>
      </c>
      <c r="M40" s="91">
        <f t="shared" ca="1" si="1"/>
        <v>-80</v>
      </c>
      <c r="N40" s="91">
        <f t="shared" ca="1" si="2"/>
        <v>0</v>
      </c>
      <c r="O40" s="91"/>
      <c r="P40" s="91">
        <f t="shared" si="3"/>
        <v>-80</v>
      </c>
      <c r="Q40" s="92"/>
    </row>
    <row r="41" spans="1:17" ht="17.25" customHeight="1" thickBot="1">
      <c r="A41" s="11" t="s">
        <v>0</v>
      </c>
      <c r="B41" s="284" t="str">
        <f>D41&amp;" "&amp;E41&amp;" "&amp;F41&amp;" "&amp;G41</f>
        <v>Classic Cream Chocolate Pouch ₹ 5 x 120</v>
      </c>
      <c r="C41" s="13">
        <v>26</v>
      </c>
      <c r="D41" s="271" t="s">
        <v>11</v>
      </c>
      <c r="E41" s="278" t="s">
        <v>12</v>
      </c>
      <c r="F41" s="98" t="s">
        <v>65</v>
      </c>
      <c r="G41" s="95" t="s">
        <v>913</v>
      </c>
      <c r="H41" s="210"/>
      <c r="I41" s="91">
        <f ca="1">SUMIFS(Data_Base[Opening],Data_Base[Billing_Group],Biscuit!$C41,Data_Base[Distributor Name],Biscuit!$E$1,Data_Base[month],Biscuit!$Q$3)</f>
        <v>-14</v>
      </c>
      <c r="J41" s="91">
        <f ca="1">SUMIFS(Data_Base[Receive],Data_Base[Billing_Group],Biscuit!$C41,Data_Base[Distributor Name],Biscuit!$E$1,Data_Base[month],Biscuit!$Q$3)</f>
        <v>150</v>
      </c>
      <c r="K41" s="91">
        <f t="shared" ca="1" si="0"/>
        <v>136</v>
      </c>
      <c r="L41" s="91">
        <v>80</v>
      </c>
      <c r="M41" s="91">
        <f t="shared" ca="1" si="1"/>
        <v>56</v>
      </c>
      <c r="N41" s="91">
        <f t="shared" ca="1" si="2"/>
        <v>136</v>
      </c>
      <c r="O41" s="91"/>
      <c r="P41" s="91">
        <f t="shared" si="3"/>
        <v>-80</v>
      </c>
      <c r="Q41" s="92"/>
    </row>
    <row r="42" spans="1:17" ht="17.25" customHeight="1" thickBot="1">
      <c r="A42" s="11" t="s">
        <v>0</v>
      </c>
      <c r="B42" s="284" t="str">
        <f t="shared" ref="B42:B56" si="13">D42&amp;" "&amp;E42&amp;" "&amp;F42&amp;" "&amp;G42</f>
        <v>Classic Cream Chocolate F.P. ₹ 10 x 60</v>
      </c>
      <c r="C42" s="13">
        <v>27</v>
      </c>
      <c r="D42" s="271" t="s">
        <v>11</v>
      </c>
      <c r="E42" s="278" t="s">
        <v>12</v>
      </c>
      <c r="F42" s="99" t="s">
        <v>899</v>
      </c>
      <c r="G42" s="96" t="s">
        <v>908</v>
      </c>
      <c r="H42" s="210"/>
      <c r="I42" s="91">
        <f ca="1">SUMIFS(Data_Base[Opening],Data_Base[Billing_Group],Biscuit!$C42,Data_Base[Distributor Name],Biscuit!$E$1,Data_Base[month],Biscuit!$Q$3)</f>
        <v>2</v>
      </c>
      <c r="J42" s="91">
        <f ca="1">SUMIFS(Data_Base[Receive],Data_Base[Billing_Group],Biscuit!$C42,Data_Base[Distributor Name],Biscuit!$E$1,Data_Base[month],Biscuit!$Q$3)</f>
        <v>125</v>
      </c>
      <c r="K42" s="91">
        <f t="shared" ca="1" si="0"/>
        <v>127</v>
      </c>
      <c r="L42" s="91">
        <v>80</v>
      </c>
      <c r="M42" s="91">
        <f t="shared" ca="1" si="1"/>
        <v>47</v>
      </c>
      <c r="N42" s="91">
        <f t="shared" ca="1" si="2"/>
        <v>127</v>
      </c>
      <c r="O42" s="91"/>
      <c r="P42" s="91">
        <f t="shared" si="3"/>
        <v>-80</v>
      </c>
      <c r="Q42" s="92"/>
    </row>
    <row r="43" spans="1:17" ht="17.25" customHeight="1" thickBot="1">
      <c r="A43" s="11" t="s">
        <v>0</v>
      </c>
      <c r="B43" s="284" t="str">
        <f t="shared" si="13"/>
        <v>Classic Cream Chocolate F.P. ₹ 20 x 30</v>
      </c>
      <c r="C43" s="13">
        <v>28</v>
      </c>
      <c r="D43" s="271" t="s">
        <v>11</v>
      </c>
      <c r="E43" s="278" t="s">
        <v>12</v>
      </c>
      <c r="F43" s="109" t="s">
        <v>899</v>
      </c>
      <c r="G43" s="110" t="s">
        <v>909</v>
      </c>
      <c r="H43" s="210"/>
      <c r="I43" s="91">
        <f ca="1">SUMIFS(Data_Base[Opening],Data_Base[Billing_Group],Biscuit!$C43,Data_Base[Distributor Name],Biscuit!$E$1,Data_Base[month],Biscuit!$Q$3)</f>
        <v>14</v>
      </c>
      <c r="J43" s="91">
        <f ca="1">SUMIFS(Data_Base[Receive],Data_Base[Billing_Group],Biscuit!$C43,Data_Base[Distributor Name],Biscuit!$E$1,Data_Base[month],Biscuit!$Q$3)</f>
        <v>60</v>
      </c>
      <c r="K43" s="91">
        <f t="shared" ca="1" si="0"/>
        <v>74</v>
      </c>
      <c r="L43" s="91">
        <v>80</v>
      </c>
      <c r="M43" s="91">
        <f t="shared" ca="1" si="1"/>
        <v>-6</v>
      </c>
      <c r="N43" s="91">
        <f t="shared" ca="1" si="2"/>
        <v>74</v>
      </c>
      <c r="O43" s="91"/>
      <c r="P43" s="91">
        <f t="shared" si="3"/>
        <v>-80</v>
      </c>
      <c r="Q43" s="92"/>
    </row>
    <row r="44" spans="1:17" ht="17.25" customHeight="1" thickBot="1">
      <c r="A44" s="11" t="s">
        <v>0</v>
      </c>
      <c r="B44" s="284" t="str">
        <f t="shared" si="13"/>
        <v>Classic Cream Orange Pouch ₹ 5 x 120</v>
      </c>
      <c r="C44" s="13">
        <v>29</v>
      </c>
      <c r="D44" s="271" t="s">
        <v>11</v>
      </c>
      <c r="E44" s="279" t="s">
        <v>1009</v>
      </c>
      <c r="F44" s="98" t="s">
        <v>65</v>
      </c>
      <c r="G44" s="95" t="s">
        <v>913</v>
      </c>
      <c r="H44" s="210"/>
      <c r="I44" s="91">
        <f ca="1">SUMIFS(Data_Base[Opening],Data_Base[Billing_Group],Biscuit!$C44,Data_Base[Distributor Name],Biscuit!$E$1,Data_Base[month],Biscuit!$Q$3)</f>
        <v>79</v>
      </c>
      <c r="J44" s="91">
        <f ca="1">SUMIFS(Data_Base[Receive],Data_Base[Billing_Group],Biscuit!$C44,Data_Base[Distributor Name],Biscuit!$E$1,Data_Base[month],Biscuit!$Q$3)</f>
        <v>30</v>
      </c>
      <c r="K44" s="91">
        <f t="shared" ca="1" si="0"/>
        <v>109</v>
      </c>
      <c r="L44" s="91">
        <v>80</v>
      </c>
      <c r="M44" s="91">
        <f t="shared" ca="1" si="1"/>
        <v>29</v>
      </c>
      <c r="N44" s="91">
        <f t="shared" ca="1" si="2"/>
        <v>109</v>
      </c>
      <c r="O44" s="91"/>
      <c r="P44" s="91">
        <f t="shared" si="3"/>
        <v>-80</v>
      </c>
      <c r="Q44" s="92"/>
    </row>
    <row r="45" spans="1:17" ht="17.25" customHeight="1" thickBot="1">
      <c r="A45" s="11" t="s">
        <v>0</v>
      </c>
      <c r="B45" s="284" t="str">
        <f t="shared" si="13"/>
        <v>Classic Cream Orange F.P. ₹ 10 x 60</v>
      </c>
      <c r="C45" s="13">
        <v>30</v>
      </c>
      <c r="D45" s="271" t="s">
        <v>11</v>
      </c>
      <c r="E45" s="279" t="s">
        <v>1009</v>
      </c>
      <c r="F45" s="99" t="s">
        <v>899</v>
      </c>
      <c r="G45" s="96" t="s">
        <v>908</v>
      </c>
      <c r="H45" s="210"/>
      <c r="I45" s="91">
        <f ca="1">SUMIFS(Data_Base[Opening],Data_Base[Billing_Group],Biscuit!$C45,Data_Base[Distributor Name],Biscuit!$E$1,Data_Base[month],Biscuit!$Q$3)</f>
        <v>59</v>
      </c>
      <c r="J45" s="91">
        <f ca="1">SUMIFS(Data_Base[Receive],Data_Base[Billing_Group],Biscuit!$C45,Data_Base[Distributor Name],Biscuit!$E$1,Data_Base[month],Biscuit!$Q$3)</f>
        <v>30</v>
      </c>
      <c r="K45" s="91">
        <f t="shared" ca="1" si="0"/>
        <v>89</v>
      </c>
      <c r="L45" s="91">
        <v>80</v>
      </c>
      <c r="M45" s="91">
        <f t="shared" ca="1" si="1"/>
        <v>9</v>
      </c>
      <c r="N45" s="91">
        <f t="shared" ca="1" si="2"/>
        <v>89</v>
      </c>
      <c r="O45" s="91"/>
      <c r="P45" s="91">
        <f t="shared" si="3"/>
        <v>-80</v>
      </c>
      <c r="Q45" s="92"/>
    </row>
    <row r="46" spans="1:17" ht="17.25" customHeight="1" thickBot="1">
      <c r="A46" s="11" t="s">
        <v>0</v>
      </c>
      <c r="B46" s="284" t="str">
        <f t="shared" si="13"/>
        <v>Classic Cream Orange F.P. ₹ 20 x 30</v>
      </c>
      <c r="C46" s="13">
        <v>31</v>
      </c>
      <c r="D46" s="271" t="s">
        <v>11</v>
      </c>
      <c r="E46" s="279" t="s">
        <v>1009</v>
      </c>
      <c r="F46" s="109" t="s">
        <v>899</v>
      </c>
      <c r="G46" s="110" t="s">
        <v>909</v>
      </c>
      <c r="H46" s="210"/>
      <c r="I46" s="91">
        <f ca="1">SUMIFS(Data_Base[Opening],Data_Base[Billing_Group],Biscuit!$C46,Data_Base[Distributor Name],Biscuit!$E$1,Data_Base[month],Biscuit!$Q$3)</f>
        <v>28</v>
      </c>
      <c r="J46" s="91">
        <f ca="1">SUMIFS(Data_Base[Receive],Data_Base[Billing_Group],Biscuit!$C46,Data_Base[Distributor Name],Biscuit!$E$1,Data_Base[month],Biscuit!$Q$3)</f>
        <v>50</v>
      </c>
      <c r="K46" s="91">
        <f t="shared" ca="1" si="0"/>
        <v>78</v>
      </c>
      <c r="L46" s="91">
        <v>80</v>
      </c>
      <c r="M46" s="91">
        <f t="shared" ca="1" si="1"/>
        <v>-2</v>
      </c>
      <c r="N46" s="91">
        <f t="shared" ca="1" si="2"/>
        <v>78</v>
      </c>
      <c r="O46" s="91"/>
      <c r="P46" s="91">
        <f t="shared" si="3"/>
        <v>-80</v>
      </c>
      <c r="Q46" s="92"/>
    </row>
    <row r="47" spans="1:17" ht="17.25" customHeight="1" thickBot="1">
      <c r="A47" s="11" t="s">
        <v>0</v>
      </c>
      <c r="B47" s="284" t="str">
        <f t="shared" si="13"/>
        <v>Classic Cream Elaichi Pouch ₹ 5 x 120</v>
      </c>
      <c r="C47" s="13">
        <v>32</v>
      </c>
      <c r="D47" s="271" t="s">
        <v>11</v>
      </c>
      <c r="E47" s="279" t="s">
        <v>1010</v>
      </c>
      <c r="F47" s="98" t="s">
        <v>65</v>
      </c>
      <c r="G47" s="95" t="s">
        <v>913</v>
      </c>
      <c r="H47" s="210"/>
      <c r="I47" s="91">
        <f ca="1">SUMIFS(Data_Base[Opening],Data_Base[Billing_Group],Biscuit!$C47,Data_Base[Distributor Name],Biscuit!$E$1,Data_Base[month],Biscuit!$Q$3)</f>
        <v>8</v>
      </c>
      <c r="J47" s="91">
        <f ca="1">SUMIFS(Data_Base[Receive],Data_Base[Billing_Group],Biscuit!$C47,Data_Base[Distributor Name],Biscuit!$E$1,Data_Base[month],Biscuit!$Q$3)</f>
        <v>125</v>
      </c>
      <c r="K47" s="91">
        <f t="shared" ca="1" si="0"/>
        <v>133</v>
      </c>
      <c r="L47" s="91">
        <v>80</v>
      </c>
      <c r="M47" s="91">
        <f t="shared" ca="1" si="1"/>
        <v>53</v>
      </c>
      <c r="N47" s="91">
        <f t="shared" ca="1" si="2"/>
        <v>133</v>
      </c>
      <c r="O47" s="91"/>
      <c r="P47" s="91">
        <f t="shared" si="3"/>
        <v>-80</v>
      </c>
      <c r="Q47" s="92"/>
    </row>
    <row r="48" spans="1:17" ht="17.25" customHeight="1" thickBot="1">
      <c r="A48" s="11" t="s">
        <v>0</v>
      </c>
      <c r="B48" s="284" t="str">
        <f t="shared" si="13"/>
        <v>Classic Cream Elaichi F.P. ₹ 10 x 60</v>
      </c>
      <c r="C48" s="13">
        <v>33</v>
      </c>
      <c r="D48" s="271" t="s">
        <v>11</v>
      </c>
      <c r="E48" s="279" t="s">
        <v>1010</v>
      </c>
      <c r="F48" s="99" t="s">
        <v>899</v>
      </c>
      <c r="G48" s="96" t="s">
        <v>908</v>
      </c>
      <c r="H48" s="210"/>
      <c r="I48" s="91">
        <f ca="1">SUMIFS(Data_Base[Opening],Data_Base[Billing_Group],Biscuit!$C48,Data_Base[Distributor Name],Biscuit!$E$1,Data_Base[month],Biscuit!$Q$3)</f>
        <v>18</v>
      </c>
      <c r="J48" s="91">
        <f ca="1">SUMIFS(Data_Base[Receive],Data_Base[Billing_Group],Biscuit!$C48,Data_Base[Distributor Name],Biscuit!$E$1,Data_Base[month],Biscuit!$Q$3)</f>
        <v>100</v>
      </c>
      <c r="K48" s="91">
        <f t="shared" ca="1" si="0"/>
        <v>118</v>
      </c>
      <c r="L48" s="91">
        <v>80</v>
      </c>
      <c r="M48" s="91">
        <f t="shared" ca="1" si="1"/>
        <v>38</v>
      </c>
      <c r="N48" s="91">
        <f t="shared" ca="1" si="2"/>
        <v>118</v>
      </c>
      <c r="O48" s="91"/>
      <c r="P48" s="91">
        <f t="shared" si="3"/>
        <v>-80</v>
      </c>
      <c r="Q48" s="92"/>
    </row>
    <row r="49" spans="1:17" ht="17.25" customHeight="1" thickBot="1">
      <c r="A49" s="11" t="s">
        <v>0</v>
      </c>
      <c r="B49" s="284" t="str">
        <f t="shared" si="13"/>
        <v>Classic Cream Elaichi F.P. ₹ 20 x 30</v>
      </c>
      <c r="C49" s="13">
        <v>34</v>
      </c>
      <c r="D49" s="271" t="s">
        <v>11</v>
      </c>
      <c r="E49" s="279" t="s">
        <v>1010</v>
      </c>
      <c r="F49" s="109" t="s">
        <v>899</v>
      </c>
      <c r="G49" s="110" t="s">
        <v>909</v>
      </c>
      <c r="H49" s="210"/>
      <c r="I49" s="91">
        <f ca="1">SUMIFS(Data_Base[Opening],Data_Base[Billing_Group],Biscuit!$C49,Data_Base[Distributor Name],Biscuit!$E$1,Data_Base[month],Biscuit!$Q$3)</f>
        <v>1</v>
      </c>
      <c r="J49" s="91">
        <f ca="1">SUMIFS(Data_Base[Receive],Data_Base[Billing_Group],Biscuit!$C49,Data_Base[Distributor Name],Biscuit!$E$1,Data_Base[month],Biscuit!$Q$3)</f>
        <v>60</v>
      </c>
      <c r="K49" s="91">
        <f t="shared" ca="1" si="0"/>
        <v>61</v>
      </c>
      <c r="L49" s="91">
        <v>80</v>
      </c>
      <c r="M49" s="91">
        <f t="shared" ca="1" si="1"/>
        <v>-19</v>
      </c>
      <c r="N49" s="91">
        <f t="shared" ca="1" si="2"/>
        <v>61</v>
      </c>
      <c r="O49" s="91"/>
      <c r="P49" s="91">
        <f t="shared" si="3"/>
        <v>-80</v>
      </c>
      <c r="Q49" s="92"/>
    </row>
    <row r="50" spans="1:17" ht="19.5" customHeight="1" thickBot="1">
      <c r="B50" s="11">
        <v>1</v>
      </c>
      <c r="C50" s="217" t="str">
        <f>D41</f>
        <v>Classic Cream</v>
      </c>
      <c r="D50" s="220" t="str">
        <f>D41&amp;" Total"</f>
        <v>Classic Cream Total</v>
      </c>
      <c r="E50" s="221"/>
      <c r="F50" s="221"/>
      <c r="G50" s="222"/>
      <c r="H50" s="209">
        <f>SUM(H40:H49)</f>
        <v>0</v>
      </c>
      <c r="I50" s="194">
        <f t="shared" ref="I50:J50" ca="1" si="14">SUM(I40:I49)</f>
        <v>195</v>
      </c>
      <c r="J50" s="194">
        <f t="shared" ca="1" si="14"/>
        <v>730</v>
      </c>
      <c r="K50" s="194">
        <f t="shared" ca="1" si="0"/>
        <v>925</v>
      </c>
      <c r="L50" s="194">
        <v>80</v>
      </c>
      <c r="M50" s="194">
        <f t="shared" ca="1" si="1"/>
        <v>845</v>
      </c>
      <c r="N50" s="194">
        <f t="shared" ca="1" si="2"/>
        <v>925</v>
      </c>
      <c r="O50" s="194"/>
      <c r="P50" s="194">
        <f t="shared" si="3"/>
        <v>-80</v>
      </c>
      <c r="Q50" s="195"/>
    </row>
    <row r="51" spans="1:17" ht="17.25" customHeight="1" thickBot="1">
      <c r="A51" s="11" t="s">
        <v>0</v>
      </c>
      <c r="B51" s="284" t="str">
        <f t="shared" si="13"/>
        <v>Puff Creme Ch.Vanilla Pouch ₹ 5 x 150</v>
      </c>
      <c r="C51" s="13">
        <v>35</v>
      </c>
      <c r="D51" s="282" t="s">
        <v>897</v>
      </c>
      <c r="E51" s="279" t="s">
        <v>1011</v>
      </c>
      <c r="F51" s="98" t="s">
        <v>65</v>
      </c>
      <c r="G51" s="95" t="s">
        <v>914</v>
      </c>
      <c r="H51" s="210"/>
      <c r="I51" s="91">
        <f ca="1">SUMIFS(Data_Base[Opening],Data_Base[Billing_Group],Biscuit!$C51,Data_Base[Distributor Name],Biscuit!$E$1,Data_Base[month],Biscuit!$Q$3)</f>
        <v>452</v>
      </c>
      <c r="J51" s="91">
        <f ca="1">SUMIFS(Data_Base[Receive],Data_Base[Billing_Group],Biscuit!$C51,Data_Base[Distributor Name],Biscuit!$E$1,Data_Base[month],Biscuit!$Q$3)</f>
        <v>0</v>
      </c>
      <c r="K51" s="91">
        <f t="shared" ca="1" si="0"/>
        <v>452</v>
      </c>
      <c r="L51" s="91">
        <v>80</v>
      </c>
      <c r="M51" s="91">
        <f t="shared" ca="1" si="1"/>
        <v>372</v>
      </c>
      <c r="N51" s="91">
        <f t="shared" ca="1" si="2"/>
        <v>452</v>
      </c>
      <c r="O51" s="91"/>
      <c r="P51" s="91">
        <f t="shared" si="3"/>
        <v>-80</v>
      </c>
      <c r="Q51" s="92"/>
    </row>
    <row r="52" spans="1:17" ht="17.25" customHeight="1" thickBot="1">
      <c r="A52" s="11" t="s">
        <v>0</v>
      </c>
      <c r="B52" s="284" t="str">
        <f t="shared" si="13"/>
        <v>Puff Creme Ch.Vanilla F.P. ₹ 10 x 60</v>
      </c>
      <c r="C52" s="13">
        <v>36</v>
      </c>
      <c r="D52" s="282" t="s">
        <v>897</v>
      </c>
      <c r="E52" s="279" t="s">
        <v>1011</v>
      </c>
      <c r="F52" s="109" t="s">
        <v>899</v>
      </c>
      <c r="G52" s="110" t="s">
        <v>908</v>
      </c>
      <c r="H52" s="210"/>
      <c r="I52" s="91">
        <f ca="1">SUMIFS(Data_Base[Opening],Data_Base[Billing_Group],Biscuit!$C52,Data_Base[Distributor Name],Biscuit!$E$1,Data_Base[month],Biscuit!$Q$3)</f>
        <v>169</v>
      </c>
      <c r="J52" s="91">
        <f ca="1">SUMIFS(Data_Base[Receive],Data_Base[Billing_Group],Biscuit!$C52,Data_Base[Distributor Name],Biscuit!$E$1,Data_Base[month],Biscuit!$Q$3)</f>
        <v>256</v>
      </c>
      <c r="K52" s="91">
        <f t="shared" ca="1" si="0"/>
        <v>425</v>
      </c>
      <c r="L52" s="91">
        <v>80</v>
      </c>
      <c r="M52" s="91">
        <f t="shared" ca="1" si="1"/>
        <v>345</v>
      </c>
      <c r="N52" s="91">
        <f t="shared" ca="1" si="2"/>
        <v>425</v>
      </c>
      <c r="O52" s="91"/>
      <c r="P52" s="91">
        <f t="shared" si="3"/>
        <v>-80</v>
      </c>
      <c r="Q52" s="92"/>
    </row>
    <row r="53" spans="1:17" ht="17.25" customHeight="1" thickBot="1">
      <c r="A53" s="11" t="s">
        <v>0</v>
      </c>
      <c r="B53" s="284" t="str">
        <f t="shared" si="13"/>
        <v>Puff Creme Stawberry Pouch ₹ 5 x 150</v>
      </c>
      <c r="C53" s="13">
        <v>37</v>
      </c>
      <c r="D53" s="282" t="s">
        <v>897</v>
      </c>
      <c r="E53" s="283" t="s">
        <v>898</v>
      </c>
      <c r="F53" s="105" t="s">
        <v>65</v>
      </c>
      <c r="G53" s="106" t="s">
        <v>914</v>
      </c>
      <c r="H53" s="210"/>
      <c r="I53" s="91">
        <f ca="1">SUMIFS(Data_Base[Opening],Data_Base[Billing_Group],Biscuit!$C53,Data_Base[Distributor Name],Biscuit!$E$1,Data_Base[month],Biscuit!$Q$3)</f>
        <v>432</v>
      </c>
      <c r="J53" s="91">
        <f ca="1">SUMIFS(Data_Base[Receive],Data_Base[Billing_Group],Biscuit!$C53,Data_Base[Distributor Name],Biscuit!$E$1,Data_Base[month],Biscuit!$Q$3)</f>
        <v>140</v>
      </c>
      <c r="K53" s="91">
        <f t="shared" ca="1" si="0"/>
        <v>572</v>
      </c>
      <c r="L53" s="91">
        <v>80</v>
      </c>
      <c r="M53" s="91">
        <f t="shared" ca="1" si="1"/>
        <v>492</v>
      </c>
      <c r="N53" s="91">
        <f t="shared" ca="1" si="2"/>
        <v>572</v>
      </c>
      <c r="O53" s="91"/>
      <c r="P53" s="91">
        <f t="shared" si="3"/>
        <v>-80</v>
      </c>
      <c r="Q53" s="92"/>
    </row>
    <row r="54" spans="1:17" ht="17.25" customHeight="1" thickBot="1">
      <c r="A54" s="11" t="s">
        <v>0</v>
      </c>
      <c r="B54" s="284" t="str">
        <f t="shared" si="13"/>
        <v>Puff Creme Stawberry F.P. ₹ 10 x 60</v>
      </c>
      <c r="C54" s="13">
        <v>38</v>
      </c>
      <c r="D54" s="282" t="s">
        <v>897</v>
      </c>
      <c r="E54" s="283" t="s">
        <v>898</v>
      </c>
      <c r="F54" s="103" t="s">
        <v>899</v>
      </c>
      <c r="G54" s="104" t="s">
        <v>908</v>
      </c>
      <c r="H54" s="210"/>
      <c r="I54" s="91">
        <f ca="1">SUMIFS(Data_Base[Opening],Data_Base[Billing_Group],Biscuit!$C54,Data_Base[Distributor Name],Biscuit!$E$1,Data_Base[month],Biscuit!$Q$3)</f>
        <v>0</v>
      </c>
      <c r="J54" s="91">
        <f ca="1">SUMIFS(Data_Base[Receive],Data_Base[Billing_Group],Biscuit!$C54,Data_Base[Distributor Name],Biscuit!$E$1,Data_Base[month],Biscuit!$Q$3)</f>
        <v>0</v>
      </c>
      <c r="K54" s="91">
        <f t="shared" ca="1" si="0"/>
        <v>0</v>
      </c>
      <c r="L54" s="91">
        <v>80</v>
      </c>
      <c r="M54" s="91">
        <f t="shared" ca="1" si="1"/>
        <v>-80</v>
      </c>
      <c r="N54" s="91">
        <f t="shared" ca="1" si="2"/>
        <v>0</v>
      </c>
      <c r="O54" s="91"/>
      <c r="P54" s="91">
        <f t="shared" si="3"/>
        <v>-80</v>
      </c>
      <c r="Q54" s="92"/>
    </row>
    <row r="55" spans="1:17" ht="17.25" customHeight="1" thickBot="1">
      <c r="A55" s="11" t="s">
        <v>0</v>
      </c>
      <c r="B55" s="284" t="str">
        <f t="shared" si="13"/>
        <v>Puff Creme Lemon Tangy Pouch ₹ 5 x 150</v>
      </c>
      <c r="C55" s="13">
        <v>39</v>
      </c>
      <c r="D55" s="282" t="s">
        <v>897</v>
      </c>
      <c r="E55" s="279" t="s">
        <v>1012</v>
      </c>
      <c r="F55" s="98" t="s">
        <v>65</v>
      </c>
      <c r="G55" s="95" t="s">
        <v>914</v>
      </c>
      <c r="H55" s="210"/>
      <c r="I55" s="91">
        <f ca="1">SUMIFS(Data_Base[Opening],Data_Base[Billing_Group],Biscuit!$C55,Data_Base[Distributor Name],Biscuit!$E$1,Data_Base[month],Biscuit!$Q$3)</f>
        <v>112</v>
      </c>
      <c r="J55" s="91">
        <f ca="1">SUMIFS(Data_Base[Receive],Data_Base[Billing_Group],Biscuit!$C55,Data_Base[Distributor Name],Biscuit!$E$1,Data_Base[month],Biscuit!$Q$3)</f>
        <v>0</v>
      </c>
      <c r="K55" s="91">
        <f t="shared" ca="1" si="0"/>
        <v>112</v>
      </c>
      <c r="L55" s="91">
        <v>80</v>
      </c>
      <c r="M55" s="91">
        <f t="shared" ca="1" si="1"/>
        <v>32</v>
      </c>
      <c r="N55" s="91">
        <f t="shared" ca="1" si="2"/>
        <v>112</v>
      </c>
      <c r="O55" s="91"/>
      <c r="P55" s="91">
        <f t="shared" si="3"/>
        <v>-80</v>
      </c>
      <c r="Q55" s="92"/>
    </row>
    <row r="56" spans="1:17" ht="17.25" customHeight="1" thickBot="1">
      <c r="A56" s="11" t="s">
        <v>0</v>
      </c>
      <c r="B56" s="284" t="str">
        <f t="shared" si="13"/>
        <v>Puff Creme Lemon Tangy F.P. ₹ 10 x 60</v>
      </c>
      <c r="C56" s="13">
        <v>40</v>
      </c>
      <c r="D56" s="282" t="s">
        <v>897</v>
      </c>
      <c r="E56" s="279" t="s">
        <v>1012</v>
      </c>
      <c r="F56" s="109" t="s">
        <v>899</v>
      </c>
      <c r="G56" s="110" t="s">
        <v>908</v>
      </c>
      <c r="H56" s="210"/>
      <c r="I56" s="91">
        <f ca="1">SUMIFS(Data_Base[Opening],Data_Base[Billing_Group],Biscuit!$C56,Data_Base[Distributor Name],Biscuit!$E$1,Data_Base[month],Biscuit!$Q$3)</f>
        <v>117</v>
      </c>
      <c r="J56" s="91">
        <f ca="1">SUMIFS(Data_Base[Receive],Data_Base[Billing_Group],Biscuit!$C56,Data_Base[Distributor Name],Biscuit!$E$1,Data_Base[month],Biscuit!$Q$3)</f>
        <v>0</v>
      </c>
      <c r="K56" s="91">
        <f t="shared" ca="1" si="0"/>
        <v>117</v>
      </c>
      <c r="L56" s="91">
        <v>80</v>
      </c>
      <c r="M56" s="91">
        <f t="shared" ca="1" si="1"/>
        <v>37</v>
      </c>
      <c r="N56" s="91">
        <f t="shared" ca="1" si="2"/>
        <v>117</v>
      </c>
      <c r="O56" s="91"/>
      <c r="P56" s="91">
        <f t="shared" si="3"/>
        <v>-80</v>
      </c>
      <c r="Q56" s="92"/>
    </row>
    <row r="57" spans="1:17" ht="19.5" customHeight="1" thickBot="1">
      <c r="B57" s="11">
        <v>1</v>
      </c>
      <c r="C57" s="217" t="str">
        <f>D51</f>
        <v>Puff Creme</v>
      </c>
      <c r="D57" s="220" t="str">
        <f>D51&amp;" Total"</f>
        <v>Puff Creme Total</v>
      </c>
      <c r="E57" s="221"/>
      <c r="F57" s="221"/>
      <c r="G57" s="222"/>
      <c r="H57" s="209">
        <f>SUMIFS(Target[Target],Target[SS 2],$E$1,Target[DB 2],$J$1,Target[Cat.2],$C57,Target[Month],LEFT($Q$3,3))</f>
        <v>41.160000000000004</v>
      </c>
      <c r="I57" s="194">
        <f ca="1">SUM(I51:I56)</f>
        <v>1282</v>
      </c>
      <c r="J57" s="194">
        <f t="shared" ref="J57" ca="1" si="15">SUM(J51:J56)</f>
        <v>396</v>
      </c>
      <c r="K57" s="194">
        <f t="shared" ca="1" si="0"/>
        <v>1678</v>
      </c>
      <c r="L57" s="194">
        <v>80</v>
      </c>
      <c r="M57" s="194">
        <f t="shared" ca="1" si="1"/>
        <v>1598</v>
      </c>
      <c r="N57" s="194">
        <f t="shared" ca="1" si="2"/>
        <v>1616.26</v>
      </c>
      <c r="O57" s="194"/>
      <c r="P57" s="194">
        <f t="shared" si="3"/>
        <v>-38.839999999999996</v>
      </c>
      <c r="Q57" s="195"/>
    </row>
    <row r="58" spans="1:17" ht="17.25" customHeight="1" thickBot="1">
      <c r="A58" s="11" t="s">
        <v>0</v>
      </c>
      <c r="B58" s="11" t="str">
        <f t="shared" ref="B58:B59" si="16">D58&amp;" "&amp;F58&amp;" "&amp;G58</f>
        <v>Crème Cracker Pouch ₹ 10 x 40</v>
      </c>
      <c r="C58" s="13"/>
      <c r="D58" s="272" t="s">
        <v>13</v>
      </c>
      <c r="E58" s="271"/>
      <c r="F58" s="98" t="s">
        <v>65</v>
      </c>
      <c r="G58" s="95" t="s">
        <v>915</v>
      </c>
      <c r="H58" s="210"/>
      <c r="I58" s="91">
        <f ca="1">SUMIFS(Data_Base[Opening],Data_Base[Billing_Group],Biscuit!$C58,Data_Base[Distributor Name],Biscuit!$E$1,Data_Base[month],Biscuit!$Q$3)</f>
        <v>0</v>
      </c>
      <c r="J58" s="91">
        <f ca="1">SUMIFS(Data_Base[Receive],Data_Base[Billing_Group],Biscuit!$C58,Data_Base[Distributor Name],Biscuit!$E$1,Data_Base[month],Biscuit!$Q$3)</f>
        <v>0</v>
      </c>
      <c r="K58" s="91">
        <f t="shared" ca="1" si="0"/>
        <v>0</v>
      </c>
      <c r="L58" s="91">
        <v>80</v>
      </c>
      <c r="M58" s="91">
        <f t="shared" ca="1" si="1"/>
        <v>-80</v>
      </c>
      <c r="N58" s="91">
        <f t="shared" ca="1" si="2"/>
        <v>0</v>
      </c>
      <c r="O58" s="91"/>
      <c r="P58" s="91">
        <f t="shared" si="3"/>
        <v>-80</v>
      </c>
      <c r="Q58" s="92"/>
    </row>
    <row r="59" spans="1:17" ht="17.25" customHeight="1" thickBot="1">
      <c r="A59" s="11" t="s">
        <v>0</v>
      </c>
      <c r="B59" s="11" t="str">
        <f t="shared" si="16"/>
        <v>Crème Cracker F.P. ₹ 45 x 16</v>
      </c>
      <c r="C59" s="13">
        <v>42</v>
      </c>
      <c r="D59" s="272" t="s">
        <v>13</v>
      </c>
      <c r="E59" s="271"/>
      <c r="F59" s="109" t="s">
        <v>899</v>
      </c>
      <c r="G59" s="110" t="s">
        <v>916</v>
      </c>
      <c r="H59" s="210"/>
      <c r="I59" s="91">
        <f ca="1">SUMIFS(Data_Base[Opening],Data_Base[Billing_Group],Biscuit!$C59,Data_Base[Distributor Name],Biscuit!$E$1,Data_Base[month],Biscuit!$Q$3)</f>
        <v>0</v>
      </c>
      <c r="J59" s="91">
        <f ca="1">SUMIFS(Data_Base[Receive],Data_Base[Billing_Group],Biscuit!$C59,Data_Base[Distributor Name],Biscuit!$E$1,Data_Base[month],Biscuit!$Q$3)</f>
        <v>0</v>
      </c>
      <c r="K59" s="91">
        <f t="shared" ca="1" si="0"/>
        <v>0</v>
      </c>
      <c r="L59" s="91">
        <v>80</v>
      </c>
      <c r="M59" s="91">
        <f t="shared" ca="1" si="1"/>
        <v>-80</v>
      </c>
      <c r="N59" s="91">
        <f t="shared" ca="1" si="2"/>
        <v>0</v>
      </c>
      <c r="O59" s="91"/>
      <c r="P59" s="91">
        <f t="shared" si="3"/>
        <v>-80</v>
      </c>
      <c r="Q59" s="92"/>
    </row>
    <row r="60" spans="1:17" ht="19.5" customHeight="1" thickBot="1">
      <c r="B60" s="11">
        <v>1</v>
      </c>
      <c r="C60" s="217" t="str">
        <f>D58</f>
        <v>Crème Cracker</v>
      </c>
      <c r="D60" s="220" t="str">
        <f>D58&amp;" Total"</f>
        <v>Crème Cracker Total</v>
      </c>
      <c r="E60" s="221"/>
      <c r="F60" s="221"/>
      <c r="G60" s="222"/>
      <c r="H60" s="209">
        <f>SUM(H58:H59)</f>
        <v>0</v>
      </c>
      <c r="I60" s="194">
        <f t="shared" ref="I60" ca="1" si="17">SUM(I58:I59)</f>
        <v>0</v>
      </c>
      <c r="J60" s="194"/>
      <c r="K60" s="194">
        <f t="shared" ca="1" si="0"/>
        <v>0</v>
      </c>
      <c r="L60" s="194">
        <v>80</v>
      </c>
      <c r="M60" s="194">
        <f t="shared" ca="1" si="1"/>
        <v>-80</v>
      </c>
      <c r="N60" s="194">
        <f t="shared" ca="1" si="2"/>
        <v>0</v>
      </c>
      <c r="O60" s="194"/>
      <c r="P60" s="194">
        <f t="shared" si="3"/>
        <v>-80</v>
      </c>
      <c r="Q60" s="195"/>
    </row>
    <row r="61" spans="1:17" ht="17.25" customHeight="1" thickBot="1">
      <c r="A61" s="11" t="s">
        <v>0</v>
      </c>
      <c r="B61" s="11" t="str">
        <f t="shared" ref="B61:B64" si="18">D61&amp;" "&amp;F61&amp;" "&amp;G61</f>
        <v>Marie Lite Pouch ₹ 5 x 120</v>
      </c>
      <c r="C61" s="13">
        <v>43</v>
      </c>
      <c r="D61" s="271" t="s">
        <v>1013</v>
      </c>
      <c r="E61" s="271"/>
      <c r="F61" s="98" t="s">
        <v>65</v>
      </c>
      <c r="G61" s="95" t="s">
        <v>913</v>
      </c>
      <c r="H61" s="210"/>
      <c r="I61" s="91">
        <f ca="1">SUMIFS(Data_Base[Opening],Data_Base[Billing_Group],Biscuit!$C61,Data_Base[Distributor Name],Biscuit!$E$1,Data_Base[month],Biscuit!$Q$3)</f>
        <v>1178</v>
      </c>
      <c r="J61" s="91">
        <f ca="1">SUMIFS(Data_Base[Receive],Data_Base[Billing_Group],Biscuit!$C61,Data_Base[Distributor Name],Biscuit!$E$1,Data_Base[month],Biscuit!$Q$3)</f>
        <v>0</v>
      </c>
      <c r="K61" s="91">
        <f t="shared" ca="1" si="0"/>
        <v>1178</v>
      </c>
      <c r="L61" s="91">
        <v>80</v>
      </c>
      <c r="M61" s="91">
        <f t="shared" ca="1" si="1"/>
        <v>1098</v>
      </c>
      <c r="N61" s="91">
        <f t="shared" ca="1" si="2"/>
        <v>1178</v>
      </c>
      <c r="O61" s="91"/>
      <c r="P61" s="91">
        <f t="shared" si="3"/>
        <v>-80</v>
      </c>
      <c r="Q61" s="92"/>
    </row>
    <row r="62" spans="1:17" ht="18" customHeight="1" thickBot="1">
      <c r="A62" s="11" t="s">
        <v>0</v>
      </c>
      <c r="B62" s="11" t="str">
        <f t="shared" si="18"/>
        <v>Marie Lite F.P. ₹ 10 x 60</v>
      </c>
      <c r="C62" s="13">
        <v>44</v>
      </c>
      <c r="D62" s="271" t="s">
        <v>1013</v>
      </c>
      <c r="E62" s="271"/>
      <c r="F62" s="99" t="s">
        <v>899</v>
      </c>
      <c r="G62" s="96" t="s">
        <v>908</v>
      </c>
      <c r="H62" s="210"/>
      <c r="I62" s="91">
        <f ca="1">SUMIFS(Data_Base[Opening],Data_Base[Billing_Group],Biscuit!$C62,Data_Base[Distributor Name],Biscuit!$E$1,Data_Base[month],Biscuit!$Q$3)</f>
        <v>1510</v>
      </c>
      <c r="J62" s="91">
        <f ca="1">SUMIFS(Data_Base[Receive],Data_Base[Billing_Group],Biscuit!$C62,Data_Base[Distributor Name],Biscuit!$E$1,Data_Base[month],Biscuit!$Q$3)</f>
        <v>0</v>
      </c>
      <c r="K62" s="91">
        <f t="shared" ca="1" si="0"/>
        <v>1510</v>
      </c>
      <c r="L62" s="91">
        <v>80</v>
      </c>
      <c r="M62" s="91">
        <f t="shared" ca="1" si="1"/>
        <v>1430</v>
      </c>
      <c r="N62" s="91">
        <f t="shared" ca="1" si="2"/>
        <v>1510</v>
      </c>
      <c r="O62" s="91"/>
      <c r="P62" s="91">
        <f t="shared" si="3"/>
        <v>-80</v>
      </c>
      <c r="Q62" s="92"/>
    </row>
    <row r="63" spans="1:17" ht="18" customHeight="1" thickBot="1">
      <c r="A63" s="11" t="s">
        <v>0</v>
      </c>
      <c r="B63" s="11" t="str">
        <f t="shared" si="18"/>
        <v>Marie Lite F.P. ₹ 20 x 30</v>
      </c>
      <c r="C63" s="13">
        <v>45</v>
      </c>
      <c r="D63" s="271" t="s">
        <v>1013</v>
      </c>
      <c r="E63" s="271"/>
      <c r="F63" s="99" t="s">
        <v>899</v>
      </c>
      <c r="G63" s="96" t="s">
        <v>909</v>
      </c>
      <c r="H63" s="210"/>
      <c r="I63" s="91">
        <f ca="1">SUMIFS(Data_Base[Opening],Data_Base[Billing_Group],Biscuit!$C63,Data_Base[Distributor Name],Biscuit!$E$1,Data_Base[month],Biscuit!$Q$3)</f>
        <v>1498</v>
      </c>
      <c r="J63" s="91">
        <f ca="1">SUMIFS(Data_Base[Receive],Data_Base[Billing_Group],Biscuit!$C63,Data_Base[Distributor Name],Biscuit!$E$1,Data_Base[month],Biscuit!$Q$3)</f>
        <v>0</v>
      </c>
      <c r="K63" s="91">
        <f t="shared" ca="1" si="0"/>
        <v>1498</v>
      </c>
      <c r="L63" s="91">
        <v>80</v>
      </c>
      <c r="M63" s="91">
        <f t="shared" ca="1" si="1"/>
        <v>1418</v>
      </c>
      <c r="N63" s="91">
        <f t="shared" ca="1" si="2"/>
        <v>1498</v>
      </c>
      <c r="O63" s="91"/>
      <c r="P63" s="91">
        <f t="shared" si="3"/>
        <v>-80</v>
      </c>
      <c r="Q63" s="92"/>
    </row>
    <row r="64" spans="1:17" ht="18" customHeight="1" thickBot="1">
      <c r="A64" s="11" t="s">
        <v>0</v>
      </c>
      <c r="B64" s="11" t="str">
        <f t="shared" si="18"/>
        <v xml:space="preserve">Marie Lite F.P. ₹   x 20 </v>
      </c>
      <c r="C64" s="13">
        <v>46</v>
      </c>
      <c r="D64" s="271" t="s">
        <v>1013</v>
      </c>
      <c r="E64" s="271"/>
      <c r="F64" s="111" t="s">
        <v>899</v>
      </c>
      <c r="G64" s="97" t="s">
        <v>920</v>
      </c>
      <c r="H64" s="210"/>
      <c r="I64" s="91">
        <f ca="1">SUMIFS(Data_Base[Opening],Data_Base[Billing_Group],Biscuit!$C64,Data_Base[Distributor Name],Biscuit!$E$1,Data_Base[month],Biscuit!$Q$3)</f>
        <v>1</v>
      </c>
      <c r="J64" s="91">
        <f ca="1">SUMIFS(Data_Base[Receive],Data_Base[Billing_Group],Biscuit!$C64,Data_Base[Distributor Name],Biscuit!$E$1,Data_Base[month],Biscuit!$Q$3)</f>
        <v>0</v>
      </c>
      <c r="K64" s="91">
        <f t="shared" ca="1" si="0"/>
        <v>1</v>
      </c>
      <c r="L64" s="91">
        <v>80</v>
      </c>
      <c r="M64" s="91">
        <f t="shared" ca="1" si="1"/>
        <v>-79</v>
      </c>
      <c r="N64" s="91">
        <f t="shared" ca="1" si="2"/>
        <v>1</v>
      </c>
      <c r="O64" s="91"/>
      <c r="P64" s="91">
        <f t="shared" si="3"/>
        <v>-80</v>
      </c>
      <c r="Q64" s="92"/>
    </row>
    <row r="65" spans="1:17" ht="19.5" customHeight="1" thickBot="1">
      <c r="B65" s="11">
        <v>1</v>
      </c>
      <c r="C65" s="217" t="str">
        <f>D61</f>
        <v>Marie Lite</v>
      </c>
      <c r="D65" s="220" t="str">
        <f>D61&amp;" Total"</f>
        <v>Marie Lite Total</v>
      </c>
      <c r="E65" s="221"/>
      <c r="F65" s="221"/>
      <c r="G65" s="222"/>
      <c r="H65" s="209">
        <f>SUM(H61:H64)</f>
        <v>0</v>
      </c>
      <c r="I65" s="194">
        <f t="shared" ref="I65:J65" ca="1" si="19">SUM(I61:I64)</f>
        <v>4187</v>
      </c>
      <c r="J65" s="194">
        <f t="shared" ca="1" si="19"/>
        <v>0</v>
      </c>
      <c r="K65" s="194">
        <f t="shared" ca="1" si="0"/>
        <v>4187</v>
      </c>
      <c r="L65" s="194">
        <v>80</v>
      </c>
      <c r="M65" s="194">
        <f t="shared" ca="1" si="1"/>
        <v>4107</v>
      </c>
      <c r="N65" s="194">
        <f t="shared" ca="1" si="2"/>
        <v>4187</v>
      </c>
      <c r="O65" s="194"/>
      <c r="P65" s="194">
        <f t="shared" si="3"/>
        <v>-80</v>
      </c>
      <c r="Q65" s="195"/>
    </row>
    <row r="66" spans="1:17" ht="18" customHeight="1" thickBot="1">
      <c r="A66" s="11" t="s">
        <v>0</v>
      </c>
      <c r="B66" s="11" t="str">
        <f t="shared" ref="B66:B68" si="20">D66&amp;" "&amp;F66&amp;" "&amp;G66</f>
        <v>Snacks Pouch ₹ 5 x 140</v>
      </c>
      <c r="C66" s="13">
        <v>47</v>
      </c>
      <c r="D66" s="272" t="s">
        <v>797</v>
      </c>
      <c r="E66" s="275"/>
      <c r="F66" s="98" t="s">
        <v>65</v>
      </c>
      <c r="G66" s="95" t="s">
        <v>907</v>
      </c>
      <c r="H66" s="210"/>
      <c r="I66" s="91">
        <f ca="1">SUMIFS(Data_Base[Opening],Data_Base[Billing_Group],Biscuit!$C66,Data_Base[Distributor Name],Biscuit!$E$1,Data_Base[month],Biscuit!$Q$3)</f>
        <v>1986</v>
      </c>
      <c r="J66" s="91">
        <f ca="1">SUMIFS(Data_Base[Receive],Data_Base[Billing_Group],Biscuit!$C66,Data_Base[Distributor Name],Biscuit!$E$1,Data_Base[month],Biscuit!$Q$3)</f>
        <v>1598</v>
      </c>
      <c r="K66" s="91">
        <f t="shared" ca="1" si="0"/>
        <v>3584</v>
      </c>
      <c r="L66" s="91">
        <v>80</v>
      </c>
      <c r="M66" s="91">
        <f t="shared" ca="1" si="1"/>
        <v>3504</v>
      </c>
      <c r="N66" s="91">
        <f t="shared" ca="1" si="2"/>
        <v>3584</v>
      </c>
      <c r="O66" s="91"/>
      <c r="P66" s="91">
        <f t="shared" si="3"/>
        <v>-80</v>
      </c>
      <c r="Q66" s="92"/>
    </row>
    <row r="67" spans="1:17" ht="18" customHeight="1" thickBot="1">
      <c r="A67" s="11" t="s">
        <v>0</v>
      </c>
      <c r="B67" s="11" t="str">
        <f t="shared" si="20"/>
        <v>Snacks F.P. ₹ 10 x 70</v>
      </c>
      <c r="C67" s="13">
        <v>48</v>
      </c>
      <c r="D67" s="272" t="s">
        <v>797</v>
      </c>
      <c r="E67" s="275"/>
      <c r="F67" s="99" t="s">
        <v>899</v>
      </c>
      <c r="G67" s="96" t="s">
        <v>917</v>
      </c>
      <c r="H67" s="210"/>
      <c r="I67" s="91">
        <f ca="1">SUMIFS(Data_Base[Opening],Data_Base[Billing_Group],Biscuit!$C67,Data_Base[Distributor Name],Biscuit!$E$1,Data_Base[month],Biscuit!$Q$3)</f>
        <v>-165</v>
      </c>
      <c r="J67" s="91">
        <f ca="1">SUMIFS(Data_Base[Receive],Data_Base[Billing_Group],Biscuit!$C67,Data_Base[Distributor Name],Biscuit!$E$1,Data_Base[month],Biscuit!$Q$3)</f>
        <v>1908</v>
      </c>
      <c r="K67" s="91">
        <f t="shared" ca="1" si="0"/>
        <v>1743</v>
      </c>
      <c r="L67" s="91">
        <v>80</v>
      </c>
      <c r="M67" s="91">
        <f t="shared" ca="1" si="1"/>
        <v>1663</v>
      </c>
      <c r="N67" s="91">
        <f t="shared" ca="1" si="2"/>
        <v>1743</v>
      </c>
      <c r="O67" s="91"/>
      <c r="P67" s="91">
        <f t="shared" si="3"/>
        <v>-80</v>
      </c>
      <c r="Q67" s="92"/>
    </row>
    <row r="68" spans="1:17" ht="18" customHeight="1" thickBot="1">
      <c r="A68" s="11" t="s">
        <v>0</v>
      </c>
      <c r="B68" s="11" t="str">
        <f t="shared" si="20"/>
        <v>Snacks F.P. ₹  20 x 35</v>
      </c>
      <c r="C68" s="13">
        <v>49</v>
      </c>
      <c r="D68" s="272" t="s">
        <v>797</v>
      </c>
      <c r="E68" s="275"/>
      <c r="F68" s="109" t="s">
        <v>899</v>
      </c>
      <c r="G68" s="110" t="s">
        <v>931</v>
      </c>
      <c r="H68" s="210"/>
      <c r="I68" s="91">
        <f ca="1">SUMIFS(Data_Base[Opening],Data_Base[Billing_Group],Biscuit!$C68,Data_Base[Distributor Name],Biscuit!$E$1,Data_Base[month],Biscuit!$Q$3)</f>
        <v>1</v>
      </c>
      <c r="J68" s="91">
        <f ca="1">SUMIFS(Data_Base[Receive],Data_Base[Billing_Group],Biscuit!$C68,Data_Base[Distributor Name],Biscuit!$E$1,Data_Base[month],Biscuit!$Q$3)</f>
        <v>100</v>
      </c>
      <c r="K68" s="91">
        <f t="shared" ca="1" si="0"/>
        <v>101</v>
      </c>
      <c r="L68" s="91">
        <v>80</v>
      </c>
      <c r="M68" s="91">
        <f t="shared" ca="1" si="1"/>
        <v>21</v>
      </c>
      <c r="N68" s="91">
        <f t="shared" ca="1" si="2"/>
        <v>101</v>
      </c>
      <c r="O68" s="91"/>
      <c r="P68" s="91">
        <f t="shared" si="3"/>
        <v>-80</v>
      </c>
      <c r="Q68" s="92"/>
    </row>
    <row r="69" spans="1:17" ht="19.5" customHeight="1" thickBot="1">
      <c r="B69" s="11">
        <v>1</v>
      </c>
      <c r="C69" s="217" t="str">
        <f>D66</f>
        <v>Snacks</v>
      </c>
      <c r="D69" s="220" t="str">
        <f>D66&amp;" Total"</f>
        <v>Snacks Total</v>
      </c>
      <c r="E69" s="221"/>
      <c r="F69" s="221"/>
      <c r="G69" s="222"/>
      <c r="H69" s="209">
        <f>SUMIFS(Target[Target],Target[SS 2],$E$1,Target[DB 2],$J$1,Target[Cat.2],$C69,Target[Month],LEFT($Q$3,3))</f>
        <v>0</v>
      </c>
      <c r="I69" s="194">
        <f ca="1">SUM(I66:I68)</f>
        <v>1822</v>
      </c>
      <c r="J69" s="194">
        <f t="shared" ref="J69" ca="1" si="21">SUM(J66:J68)</f>
        <v>3606</v>
      </c>
      <c r="K69" s="194">
        <f t="shared" ca="1" si="0"/>
        <v>5428</v>
      </c>
      <c r="L69" s="194">
        <v>80</v>
      </c>
      <c r="M69" s="194">
        <f t="shared" ca="1" si="1"/>
        <v>5348</v>
      </c>
      <c r="N69" s="194">
        <f t="shared" ca="1" si="2"/>
        <v>5428</v>
      </c>
      <c r="O69" s="194"/>
      <c r="P69" s="194">
        <f t="shared" si="3"/>
        <v>-80</v>
      </c>
      <c r="Q69" s="195"/>
    </row>
    <row r="70" spans="1:17" ht="18" customHeight="1" thickBot="1">
      <c r="A70" s="11" t="s">
        <v>0</v>
      </c>
      <c r="B70" s="11" t="str">
        <f t="shared" ref="B70:B72" si="22">D70&amp;" "&amp;F70&amp;" "&amp;G70</f>
        <v>C.N.C. Pouch ₹ 5 x 140</v>
      </c>
      <c r="C70" s="13">
        <v>50</v>
      </c>
      <c r="D70" s="270" t="s">
        <v>1014</v>
      </c>
      <c r="E70" s="270"/>
      <c r="F70" s="105" t="s">
        <v>65</v>
      </c>
      <c r="G70" s="106" t="s">
        <v>907</v>
      </c>
      <c r="H70" s="210"/>
      <c r="I70" s="91">
        <f ca="1">SUMIFS(Data_Base[Opening],Data_Base[Billing_Group],Biscuit!$C70,Data_Base[Distributor Name],Biscuit!$E$1,Data_Base[month],Biscuit!$Q$3)</f>
        <v>1433</v>
      </c>
      <c r="J70" s="91">
        <f ca="1">SUMIFS(Data_Base[Receive],Data_Base[Billing_Group],Biscuit!$C70,Data_Base[Distributor Name],Biscuit!$E$1,Data_Base[month],Biscuit!$Q$3)</f>
        <v>2350</v>
      </c>
      <c r="K70" s="91">
        <f t="shared" ref="K70:K89" ca="1" si="23">I70+J70</f>
        <v>3783</v>
      </c>
      <c r="L70" s="91">
        <v>80</v>
      </c>
      <c r="M70" s="91">
        <f t="shared" ref="M70:M89" ca="1" si="24">K70-L70</f>
        <v>3703</v>
      </c>
      <c r="N70" s="91">
        <f t="shared" ref="N70:N91" ca="1" si="25">(M70)-((H70-L70)+(H70*50%))</f>
        <v>3783</v>
      </c>
      <c r="O70" s="91"/>
      <c r="P70" s="91">
        <f t="shared" ref="P70:P89" si="26">H70-L70</f>
        <v>-80</v>
      </c>
      <c r="Q70" s="92"/>
    </row>
    <row r="71" spans="1:17" ht="18" customHeight="1" thickBot="1">
      <c r="A71" s="11" t="s">
        <v>0</v>
      </c>
      <c r="B71" s="11" t="str">
        <f t="shared" si="22"/>
        <v>C.N.C. F.P. ₹ 10 x 70</v>
      </c>
      <c r="C71" s="13">
        <v>51</v>
      </c>
      <c r="D71" s="270" t="s">
        <v>1014</v>
      </c>
      <c r="E71" s="271"/>
      <c r="F71" s="99" t="s">
        <v>899</v>
      </c>
      <c r="G71" s="96" t="s">
        <v>917</v>
      </c>
      <c r="H71" s="210"/>
      <c r="I71" s="91">
        <f ca="1">SUMIFS(Data_Base[Opening],Data_Base[Billing_Group],Biscuit!$C71,Data_Base[Distributor Name],Biscuit!$E$1,Data_Base[month],Biscuit!$Q$3)</f>
        <v>328</v>
      </c>
      <c r="J71" s="91">
        <f ca="1">SUMIFS(Data_Base[Receive],Data_Base[Billing_Group],Biscuit!$C71,Data_Base[Distributor Name],Biscuit!$E$1,Data_Base[month],Biscuit!$Q$3)</f>
        <v>1112</v>
      </c>
      <c r="K71" s="91">
        <f t="shared" ca="1" si="23"/>
        <v>1440</v>
      </c>
      <c r="L71" s="91">
        <v>80</v>
      </c>
      <c r="M71" s="91">
        <f t="shared" ca="1" si="24"/>
        <v>1360</v>
      </c>
      <c r="N71" s="91">
        <f t="shared" ca="1" si="25"/>
        <v>1440</v>
      </c>
      <c r="O71" s="91"/>
      <c r="P71" s="91">
        <f t="shared" si="26"/>
        <v>-80</v>
      </c>
      <c r="Q71" s="92"/>
    </row>
    <row r="72" spans="1:17" ht="18" customHeight="1" thickBot="1">
      <c r="A72" s="11" t="s">
        <v>0</v>
      </c>
      <c r="B72" s="11" t="str">
        <f t="shared" si="22"/>
        <v>C.N.C. F.P. ₹ 20 x 35</v>
      </c>
      <c r="C72" s="13">
        <v>52</v>
      </c>
      <c r="D72" s="270" t="s">
        <v>1014</v>
      </c>
      <c r="E72" s="277"/>
      <c r="F72" s="103" t="s">
        <v>899</v>
      </c>
      <c r="G72" s="104" t="s">
        <v>932</v>
      </c>
      <c r="H72" s="210"/>
      <c r="I72" s="91">
        <f ca="1">SUMIFS(Data_Base[Opening],Data_Base[Billing_Group],Biscuit!$C72,Data_Base[Distributor Name],Biscuit!$E$1,Data_Base[month],Biscuit!$Q$3)</f>
        <v>0</v>
      </c>
      <c r="J72" s="91">
        <f ca="1">SUMIFS(Data_Base[Receive],Data_Base[Billing_Group],Biscuit!$C72,Data_Base[Distributor Name],Biscuit!$E$1,Data_Base[month],Biscuit!$Q$3)</f>
        <v>0</v>
      </c>
      <c r="K72" s="91">
        <f t="shared" ca="1" si="23"/>
        <v>0</v>
      </c>
      <c r="L72" s="91">
        <v>80</v>
      </c>
      <c r="M72" s="91">
        <f t="shared" ca="1" si="24"/>
        <v>-80</v>
      </c>
      <c r="N72" s="91">
        <f t="shared" ca="1" si="25"/>
        <v>0</v>
      </c>
      <c r="O72" s="91"/>
      <c r="P72" s="91">
        <f t="shared" si="26"/>
        <v>-80</v>
      </c>
      <c r="Q72" s="92"/>
    </row>
    <row r="73" spans="1:17" ht="19.5" customHeight="1" thickBot="1">
      <c r="B73" s="11">
        <v>1</v>
      </c>
      <c r="C73" s="217" t="str">
        <f>D70</f>
        <v>C.N.C.</v>
      </c>
      <c r="D73" s="220" t="str">
        <f>D70&amp;" Total"</f>
        <v>C.N.C. Total</v>
      </c>
      <c r="E73" s="221"/>
      <c r="F73" s="221"/>
      <c r="G73" s="222"/>
      <c r="H73" s="209">
        <f>SUMIFS(Target[Target],Target[SS 2],$E$1,Target[DB 2],$J$1,Target[Cat.2],$C73,Target[Month],LEFT($Q$3,3))</f>
        <v>0</v>
      </c>
      <c r="I73" s="194">
        <f ca="1">SUM(I70:I72)</f>
        <v>1761</v>
      </c>
      <c r="J73" s="194">
        <f t="shared" ref="J73" ca="1" si="27">SUM(J70:J72)</f>
        <v>3462</v>
      </c>
      <c r="K73" s="194">
        <f t="shared" ca="1" si="23"/>
        <v>5223</v>
      </c>
      <c r="L73" s="194">
        <v>80</v>
      </c>
      <c r="M73" s="194">
        <f t="shared" ca="1" si="24"/>
        <v>5143</v>
      </c>
      <c r="N73" s="194">
        <f t="shared" ca="1" si="25"/>
        <v>5223</v>
      </c>
      <c r="O73" s="194"/>
      <c r="P73" s="194">
        <f t="shared" si="26"/>
        <v>-80</v>
      </c>
      <c r="Q73" s="195"/>
    </row>
    <row r="74" spans="1:17" ht="18" customHeight="1" thickBot="1">
      <c r="A74" s="11" t="s">
        <v>0</v>
      </c>
      <c r="B74" s="11" t="str">
        <f t="shared" ref="B74:B77" si="28">D74&amp;" "&amp;F74&amp;" "&amp;G74</f>
        <v>Butter Delite Pouch ₹ 5 x 150</v>
      </c>
      <c r="C74" s="13">
        <v>57</v>
      </c>
      <c r="D74" s="271" t="s">
        <v>1015</v>
      </c>
      <c r="E74" s="271"/>
      <c r="F74" s="98" t="s">
        <v>65</v>
      </c>
      <c r="G74" s="95" t="s">
        <v>914</v>
      </c>
      <c r="H74" s="210"/>
      <c r="I74" s="91">
        <f ca="1">SUMIFS(Data_Base[Opening],Data_Base[Billing_Group],Biscuit!$C74,Data_Base[Distributor Name],Biscuit!$E$1,Data_Base[month],Biscuit!$Q$3)</f>
        <v>37</v>
      </c>
      <c r="J74" s="91">
        <f ca="1">SUMIFS(Data_Base[Receive],Data_Base[Billing_Group],Biscuit!$C74,Data_Base[Distributor Name],Biscuit!$E$1,Data_Base[month],Biscuit!$Q$3)</f>
        <v>540</v>
      </c>
      <c r="K74" s="91">
        <f t="shared" ca="1" si="23"/>
        <v>577</v>
      </c>
      <c r="L74" s="91">
        <v>80</v>
      </c>
      <c r="M74" s="91">
        <f t="shared" ca="1" si="24"/>
        <v>497</v>
      </c>
      <c r="N74" s="91">
        <f t="shared" ca="1" si="25"/>
        <v>577</v>
      </c>
      <c r="O74" s="91"/>
      <c r="P74" s="91">
        <f t="shared" si="26"/>
        <v>-80</v>
      </c>
      <c r="Q74" s="92"/>
    </row>
    <row r="75" spans="1:17" ht="18" customHeight="1" thickBot="1">
      <c r="A75" s="11" t="s">
        <v>0</v>
      </c>
      <c r="B75" s="11" t="str">
        <f t="shared" si="28"/>
        <v>Butter Delite Pouch ₹ 10 x 60</v>
      </c>
      <c r="C75" s="13">
        <v>58</v>
      </c>
      <c r="D75" s="271" t="s">
        <v>1015</v>
      </c>
      <c r="E75" s="271"/>
      <c r="F75" s="99" t="s">
        <v>65</v>
      </c>
      <c r="G75" s="96" t="s">
        <v>908</v>
      </c>
      <c r="H75" s="210"/>
      <c r="I75" s="91">
        <f ca="1">SUMIFS(Data_Base[Opening],Data_Base[Billing_Group],Biscuit!$C75,Data_Base[Distributor Name],Biscuit!$E$1,Data_Base[month],Biscuit!$Q$3)</f>
        <v>13</v>
      </c>
      <c r="J75" s="91">
        <f ca="1">SUMIFS(Data_Base[Receive],Data_Base[Billing_Group],Biscuit!$C75,Data_Base[Distributor Name],Biscuit!$E$1,Data_Base[month],Biscuit!$Q$3)</f>
        <v>315</v>
      </c>
      <c r="K75" s="91">
        <f t="shared" ca="1" si="23"/>
        <v>328</v>
      </c>
      <c r="L75" s="91">
        <v>80</v>
      </c>
      <c r="M75" s="91">
        <f t="shared" ca="1" si="24"/>
        <v>248</v>
      </c>
      <c r="N75" s="91">
        <f t="shared" ca="1" si="25"/>
        <v>328</v>
      </c>
      <c r="O75" s="91"/>
      <c r="P75" s="91">
        <f t="shared" si="26"/>
        <v>-80</v>
      </c>
      <c r="Q75" s="92"/>
    </row>
    <row r="76" spans="1:17" ht="18" customHeight="1" thickBot="1">
      <c r="A76" s="11" t="s">
        <v>0</v>
      </c>
      <c r="B76" s="11" t="str">
        <f t="shared" si="28"/>
        <v>Butter Delite F.P. ₹ 20 x 30</v>
      </c>
      <c r="C76" s="13">
        <v>59</v>
      </c>
      <c r="D76" s="271" t="s">
        <v>1015</v>
      </c>
      <c r="E76" s="271"/>
      <c r="F76" s="99" t="s">
        <v>899</v>
      </c>
      <c r="G76" s="96" t="s">
        <v>909</v>
      </c>
      <c r="H76" s="210"/>
      <c r="I76" s="91">
        <f ca="1">SUMIFS(Data_Base[Opening],Data_Base[Billing_Group],Biscuit!$C76,Data_Base[Distributor Name],Biscuit!$E$1,Data_Base[month],Biscuit!$Q$3)</f>
        <v>105</v>
      </c>
      <c r="J76" s="91">
        <f ca="1">SUMIFS(Data_Base[Receive],Data_Base[Billing_Group],Biscuit!$C76,Data_Base[Distributor Name],Biscuit!$E$1,Data_Base[month],Biscuit!$Q$3)</f>
        <v>0</v>
      </c>
      <c r="K76" s="91">
        <f t="shared" ca="1" si="23"/>
        <v>105</v>
      </c>
      <c r="L76" s="91">
        <v>80</v>
      </c>
      <c r="M76" s="91">
        <f t="shared" ca="1" si="24"/>
        <v>25</v>
      </c>
      <c r="N76" s="91">
        <f t="shared" ca="1" si="25"/>
        <v>105</v>
      </c>
      <c r="O76" s="91"/>
      <c r="P76" s="91">
        <f t="shared" si="26"/>
        <v>-80</v>
      </c>
      <c r="Q76" s="92"/>
    </row>
    <row r="77" spans="1:17" ht="18" customHeight="1" thickBot="1">
      <c r="A77" s="11" t="s">
        <v>0</v>
      </c>
      <c r="B77" s="11" t="str">
        <f t="shared" si="28"/>
        <v>Butter Delite F.P. ₹      x 20</v>
      </c>
      <c r="C77" s="13">
        <v>60</v>
      </c>
      <c r="D77" s="271" t="s">
        <v>1015</v>
      </c>
      <c r="E77" s="271"/>
      <c r="F77" s="100" t="s">
        <v>894</v>
      </c>
      <c r="G77" s="97" t="s">
        <v>936</v>
      </c>
      <c r="H77" s="210"/>
      <c r="I77" s="91">
        <f ca="1">SUMIFS(Data_Base[Opening],Data_Base[Billing_Group],Biscuit!$C77,Data_Base[Distributor Name],Biscuit!$E$1,Data_Base[month],Biscuit!$Q$3)</f>
        <v>0</v>
      </c>
      <c r="J77" s="91">
        <f ca="1">SUMIFS(Data_Base[Receive],Data_Base[Billing_Group],Biscuit!$C77,Data_Base[Distributor Name],Biscuit!$E$1,Data_Base[month],Biscuit!$Q$3)</f>
        <v>0</v>
      </c>
      <c r="K77" s="91">
        <f t="shared" ca="1" si="23"/>
        <v>0</v>
      </c>
      <c r="L77" s="91">
        <v>80</v>
      </c>
      <c r="M77" s="91">
        <f t="shared" ca="1" si="24"/>
        <v>-80</v>
      </c>
      <c r="N77" s="91">
        <f t="shared" ca="1" si="25"/>
        <v>0</v>
      </c>
      <c r="O77" s="91"/>
      <c r="P77" s="91">
        <f t="shared" si="26"/>
        <v>-80</v>
      </c>
      <c r="Q77" s="92"/>
    </row>
    <row r="78" spans="1:17" ht="19.5" customHeight="1" thickBot="1">
      <c r="B78" s="11">
        <v>1</v>
      </c>
      <c r="C78" s="217" t="str">
        <f>D74</f>
        <v>Butter Delite</v>
      </c>
      <c r="D78" s="220" t="str">
        <f>D74&amp;" Total"</f>
        <v>Butter Delite Total</v>
      </c>
      <c r="E78" s="221"/>
      <c r="F78" s="221"/>
      <c r="G78" s="222"/>
      <c r="H78" s="209">
        <f>SUMIFS(Target[Target],Target[SS 2],$E$1,Target[DB 2],$J$1,Target[Cat.2],$C78,Target[Month],LEFT($Q$3,3))</f>
        <v>52.919999999999995</v>
      </c>
      <c r="I78" s="194">
        <f ca="1">SUM(I74:I77)</f>
        <v>155</v>
      </c>
      <c r="J78" s="194">
        <f t="shared" ref="J78" ca="1" si="29">SUM(J74:J77)</f>
        <v>855</v>
      </c>
      <c r="K78" s="194">
        <f t="shared" ca="1" si="23"/>
        <v>1010</v>
      </c>
      <c r="L78" s="194">
        <v>80</v>
      </c>
      <c r="M78" s="194">
        <f t="shared" ca="1" si="24"/>
        <v>930</v>
      </c>
      <c r="N78" s="194">
        <f t="shared" ca="1" si="25"/>
        <v>930.62</v>
      </c>
      <c r="O78" s="194"/>
      <c r="P78" s="194">
        <f t="shared" si="26"/>
        <v>-27.080000000000005</v>
      </c>
      <c r="Q78" s="195"/>
    </row>
    <row r="79" spans="1:17" ht="18" customHeight="1" thickBot="1">
      <c r="A79" s="11" t="s">
        <v>0</v>
      </c>
      <c r="B79" s="11" t="str">
        <f t="shared" ref="B79:B82" si="30">D79&amp;" "&amp;F79&amp;" "&amp;G79</f>
        <v>Cheese/ Top Cracker Pouch ₹ 5 x 150</v>
      </c>
      <c r="C79" s="13">
        <v>61</v>
      </c>
      <c r="D79" s="270" t="s">
        <v>1016</v>
      </c>
      <c r="E79" s="270"/>
      <c r="F79" s="105" t="s">
        <v>65</v>
      </c>
      <c r="G79" s="106" t="s">
        <v>914</v>
      </c>
      <c r="H79" s="210"/>
      <c r="I79" s="91">
        <f ca="1">SUMIFS(Data_Base[Opening],Data_Base[Billing_Group],Biscuit!$C79,Data_Base[Distributor Name],Biscuit!$E$1,Data_Base[month],Biscuit!$Q$3)</f>
        <v>89</v>
      </c>
      <c r="J79" s="91">
        <f ca="1">SUMIFS(Data_Base[Receive],Data_Base[Billing_Group],Biscuit!$C79,Data_Base[Distributor Name],Biscuit!$E$1,Data_Base[month],Biscuit!$Q$3)</f>
        <v>99</v>
      </c>
      <c r="K79" s="91">
        <f t="shared" ca="1" si="23"/>
        <v>188</v>
      </c>
      <c r="L79" s="91">
        <v>80</v>
      </c>
      <c r="M79" s="91">
        <f t="shared" ca="1" si="24"/>
        <v>108</v>
      </c>
      <c r="N79" s="91">
        <f t="shared" ca="1" si="25"/>
        <v>188</v>
      </c>
      <c r="O79" s="91"/>
      <c r="P79" s="91">
        <f t="shared" si="26"/>
        <v>-80</v>
      </c>
      <c r="Q79" s="92"/>
    </row>
    <row r="80" spans="1:17" ht="18" customHeight="1" thickBot="1">
      <c r="A80" s="11" t="s">
        <v>0</v>
      </c>
      <c r="B80" s="11" t="str">
        <f t="shared" si="30"/>
        <v>Cheese/ Top Cracker Pouch ₹ 10 x 60</v>
      </c>
      <c r="C80" s="13">
        <v>62</v>
      </c>
      <c r="D80" s="270" t="s">
        <v>1016</v>
      </c>
      <c r="E80" s="271"/>
      <c r="F80" s="99" t="s">
        <v>65</v>
      </c>
      <c r="G80" s="96" t="s">
        <v>908</v>
      </c>
      <c r="H80" s="210"/>
      <c r="I80" s="91">
        <f ca="1">SUMIFS(Data_Base[Opening],Data_Base[Billing_Group],Biscuit!$C80,Data_Base[Distributor Name],Biscuit!$E$1,Data_Base[month],Biscuit!$Q$3)</f>
        <v>75</v>
      </c>
      <c r="J80" s="91">
        <f ca="1">SUMIFS(Data_Base[Receive],Data_Base[Billing_Group],Biscuit!$C80,Data_Base[Distributor Name],Biscuit!$E$1,Data_Base[month],Biscuit!$Q$3)</f>
        <v>63</v>
      </c>
      <c r="K80" s="91">
        <f t="shared" ca="1" si="23"/>
        <v>138</v>
      </c>
      <c r="L80" s="91">
        <v>80</v>
      </c>
      <c r="M80" s="91">
        <f t="shared" ca="1" si="24"/>
        <v>58</v>
      </c>
      <c r="N80" s="91">
        <f t="shared" ca="1" si="25"/>
        <v>138</v>
      </c>
      <c r="O80" s="91"/>
      <c r="P80" s="91">
        <f t="shared" si="26"/>
        <v>-80</v>
      </c>
      <c r="Q80" s="92"/>
    </row>
    <row r="81" spans="1:17" ht="18" customHeight="1" thickBot="1">
      <c r="A81" s="11" t="s">
        <v>0</v>
      </c>
      <c r="B81" s="11" t="str">
        <f t="shared" si="30"/>
        <v>Cheese/ Top Cracker F.P. ₹ 20 x 30</v>
      </c>
      <c r="C81" s="13">
        <v>63</v>
      </c>
      <c r="D81" s="270" t="s">
        <v>1016</v>
      </c>
      <c r="E81" s="271"/>
      <c r="F81" s="99" t="s">
        <v>899</v>
      </c>
      <c r="G81" s="96" t="s">
        <v>909</v>
      </c>
      <c r="H81" s="210"/>
      <c r="I81" s="91">
        <f ca="1">SUMIFS(Data_Base[Opening],Data_Base[Billing_Group],Biscuit!$C81,Data_Base[Distributor Name],Biscuit!$E$1,Data_Base[month],Biscuit!$Q$3)</f>
        <v>83</v>
      </c>
      <c r="J81" s="91">
        <f ca="1">SUMIFS(Data_Base[Receive],Data_Base[Billing_Group],Biscuit!$C81,Data_Base[Distributor Name],Biscuit!$E$1,Data_Base[month],Biscuit!$Q$3)</f>
        <v>0</v>
      </c>
      <c r="K81" s="91">
        <f t="shared" ca="1" si="23"/>
        <v>83</v>
      </c>
      <c r="L81" s="91">
        <v>80</v>
      </c>
      <c r="M81" s="91">
        <f t="shared" ca="1" si="24"/>
        <v>3</v>
      </c>
      <c r="N81" s="91">
        <f t="shared" ca="1" si="25"/>
        <v>83</v>
      </c>
      <c r="O81" s="91"/>
      <c r="P81" s="91">
        <f t="shared" si="26"/>
        <v>-80</v>
      </c>
      <c r="Q81" s="92"/>
    </row>
    <row r="82" spans="1:17" ht="18" customHeight="1" thickBot="1">
      <c r="A82" s="11" t="s">
        <v>0</v>
      </c>
      <c r="B82" s="11" t="str">
        <f t="shared" si="30"/>
        <v>Cheese/ Top Cracker F.P. ₹    x 20</v>
      </c>
      <c r="C82" s="13">
        <v>64</v>
      </c>
      <c r="D82" s="270" t="s">
        <v>1016</v>
      </c>
      <c r="E82" s="277"/>
      <c r="F82" s="101" t="s">
        <v>894</v>
      </c>
      <c r="G82" s="102" t="s">
        <v>921</v>
      </c>
      <c r="H82" s="210"/>
      <c r="I82" s="91">
        <f ca="1">SUMIFS(Data_Base[Opening],Data_Base[Billing_Group],Biscuit!$C82,Data_Base[Distributor Name],Biscuit!$E$1,Data_Base[month],Biscuit!$Q$3)</f>
        <v>0</v>
      </c>
      <c r="J82" s="91">
        <f ca="1">SUMIFS(Data_Base[Receive],Data_Base[Billing_Group],Biscuit!$C82,Data_Base[Distributor Name],Biscuit!$E$1,Data_Base[month],Biscuit!$Q$3)</f>
        <v>0</v>
      </c>
      <c r="K82" s="91">
        <f t="shared" ca="1" si="23"/>
        <v>0</v>
      </c>
      <c r="L82" s="91">
        <v>80</v>
      </c>
      <c r="M82" s="91">
        <f t="shared" ca="1" si="24"/>
        <v>-80</v>
      </c>
      <c r="N82" s="91">
        <f t="shared" ca="1" si="25"/>
        <v>0</v>
      </c>
      <c r="O82" s="91"/>
      <c r="P82" s="91">
        <f t="shared" si="26"/>
        <v>-80</v>
      </c>
      <c r="Q82" s="92"/>
    </row>
    <row r="83" spans="1:17" ht="19.5" customHeight="1" thickBot="1">
      <c r="B83" s="11">
        <v>1</v>
      </c>
      <c r="C83" s="217" t="str">
        <f>D79</f>
        <v>Cheese/ Top Cracker</v>
      </c>
      <c r="D83" s="220" t="str">
        <f>D79&amp;" Total"</f>
        <v>Cheese/ Top Cracker Total</v>
      </c>
      <c r="E83" s="221"/>
      <c r="F83" s="221"/>
      <c r="G83" s="222"/>
      <c r="H83" s="209">
        <f>SUM(H79:H82)</f>
        <v>0</v>
      </c>
      <c r="I83" s="194">
        <f t="shared" ref="I83:J83" ca="1" si="31">SUM(I79:I82)</f>
        <v>247</v>
      </c>
      <c r="J83" s="194">
        <f t="shared" ca="1" si="31"/>
        <v>162</v>
      </c>
      <c r="K83" s="194">
        <f t="shared" ca="1" si="23"/>
        <v>409</v>
      </c>
      <c r="L83" s="194">
        <v>80</v>
      </c>
      <c r="M83" s="194">
        <f t="shared" ca="1" si="24"/>
        <v>329</v>
      </c>
      <c r="N83" s="194">
        <f t="shared" ca="1" si="25"/>
        <v>409</v>
      </c>
      <c r="O83" s="194"/>
      <c r="P83" s="194">
        <f t="shared" si="26"/>
        <v>-80</v>
      </c>
      <c r="Q83" s="195"/>
    </row>
    <row r="84" spans="1:17" ht="18" customHeight="1" thickBot="1">
      <c r="A84" s="11" t="s">
        <v>0</v>
      </c>
      <c r="B84" s="11" t="str">
        <f t="shared" ref="B84:B85" si="32">D84&amp;" "&amp;F84&amp;" "&amp;G84</f>
        <v>Cheez Bit Jar ₹ 50 x 30</v>
      </c>
      <c r="C84" s="13">
        <v>66</v>
      </c>
      <c r="D84" s="271" t="s">
        <v>901</v>
      </c>
      <c r="E84" s="271"/>
      <c r="F84" s="112" t="s">
        <v>66</v>
      </c>
      <c r="G84" s="95" t="s">
        <v>918</v>
      </c>
      <c r="H84" s="210"/>
      <c r="I84" s="91">
        <f ca="1">SUMIFS(Data_Base[Opening],Data_Base[Billing_Group],Biscuit!$C84,Data_Base[Distributor Name],Biscuit!$E$1,Data_Base[month],Biscuit!$Q$3)</f>
        <v>94</v>
      </c>
      <c r="J84" s="91">
        <f ca="1">SUMIFS(Data_Base[Receive],Data_Base[Billing_Group],Biscuit!$C84,Data_Base[Distributor Name],Biscuit!$E$1,Data_Base[month],Biscuit!$Q$3)</f>
        <v>375</v>
      </c>
      <c r="K84" s="91">
        <f t="shared" ca="1" si="23"/>
        <v>469</v>
      </c>
      <c r="L84" s="91">
        <v>80</v>
      </c>
      <c r="M84" s="91">
        <f t="shared" ca="1" si="24"/>
        <v>389</v>
      </c>
      <c r="N84" s="91">
        <f t="shared" ca="1" si="25"/>
        <v>469</v>
      </c>
      <c r="O84" s="91"/>
      <c r="P84" s="91">
        <f t="shared" si="26"/>
        <v>-80</v>
      </c>
      <c r="Q84" s="92"/>
    </row>
    <row r="85" spans="1:17" ht="18" customHeight="1" thickBot="1">
      <c r="A85" s="11" t="s">
        <v>0</v>
      </c>
      <c r="B85" s="11" t="str">
        <f t="shared" si="32"/>
        <v>Cheez Bit Loose ₹ 70 x 10</v>
      </c>
      <c r="C85" s="13">
        <v>68</v>
      </c>
      <c r="D85" s="271" t="s">
        <v>901</v>
      </c>
      <c r="E85" s="271"/>
      <c r="F85" s="111" t="s">
        <v>900</v>
      </c>
      <c r="G85" s="110" t="s">
        <v>919</v>
      </c>
      <c r="H85" s="210"/>
      <c r="I85" s="91">
        <f ca="1">SUMIFS(Data_Base[Opening],Data_Base[Billing_Group],Biscuit!$C85,Data_Base[Distributor Name],Biscuit!$E$1,Data_Base[month],Biscuit!$Q$3)</f>
        <v>0</v>
      </c>
      <c r="J85" s="91">
        <f ca="1">SUMIFS(Data_Base[Receive],Data_Base[Billing_Group],Biscuit!$C85,Data_Base[Distributor Name],Biscuit!$E$1,Data_Base[month],Biscuit!$Q$3)</f>
        <v>0</v>
      </c>
      <c r="K85" s="91">
        <f t="shared" ca="1" si="23"/>
        <v>0</v>
      </c>
      <c r="L85" s="91">
        <v>80</v>
      </c>
      <c r="M85" s="91">
        <f t="shared" ca="1" si="24"/>
        <v>-80</v>
      </c>
      <c r="N85" s="91">
        <f t="shared" ca="1" si="25"/>
        <v>0</v>
      </c>
      <c r="O85" s="91"/>
      <c r="P85" s="91">
        <f t="shared" si="26"/>
        <v>-80</v>
      </c>
      <c r="Q85" s="92"/>
    </row>
    <row r="86" spans="1:17" ht="19.5" customHeight="1" thickBot="1">
      <c r="B86" s="11">
        <v>1</v>
      </c>
      <c r="C86" s="217" t="str">
        <f>D84</f>
        <v>Cheez Bit</v>
      </c>
      <c r="D86" s="220" t="str">
        <f>D84&amp;" Total"</f>
        <v>Cheez Bit Total</v>
      </c>
      <c r="E86" s="221"/>
      <c r="F86" s="221"/>
      <c r="G86" s="222"/>
      <c r="H86" s="209">
        <f>SUM(H84:H85)</f>
        <v>0</v>
      </c>
      <c r="I86" s="194">
        <f t="shared" ref="I86:J86" ca="1" si="33">SUM(I84:I85)</f>
        <v>94</v>
      </c>
      <c r="J86" s="194">
        <f t="shared" ca="1" si="33"/>
        <v>375</v>
      </c>
      <c r="K86" s="194">
        <f t="shared" ca="1" si="23"/>
        <v>469</v>
      </c>
      <c r="L86" s="194">
        <v>80</v>
      </c>
      <c r="M86" s="194">
        <f t="shared" ca="1" si="24"/>
        <v>389</v>
      </c>
      <c r="N86" s="194">
        <f t="shared" ca="1" si="25"/>
        <v>469</v>
      </c>
      <c r="O86" s="194"/>
      <c r="P86" s="194">
        <f t="shared" si="26"/>
        <v>-80</v>
      </c>
      <c r="Q86" s="195"/>
    </row>
    <row r="87" spans="1:17" ht="18" customHeight="1" thickBot="1">
      <c r="A87" s="11" t="s">
        <v>0</v>
      </c>
      <c r="B87" s="11" t="str">
        <f t="shared" ref="B87:B88" si="34">D87&amp;" "&amp;F87&amp;" "&amp;G87</f>
        <v>Chatpatta Cashew Jar ₹ 50 x 30</v>
      </c>
      <c r="C87" s="13">
        <v>69</v>
      </c>
      <c r="D87" s="232" t="s">
        <v>902</v>
      </c>
      <c r="E87" s="231"/>
      <c r="F87" s="51" t="s">
        <v>66</v>
      </c>
      <c r="G87" s="52" t="s">
        <v>918</v>
      </c>
      <c r="H87" s="210"/>
      <c r="I87" s="91">
        <f ca="1">SUMIFS(Data_Base[Opening],Data_Base[Billing_Group],Biscuit!$C87,Data_Base[Distributor Name],Biscuit!$E$1,Data_Base[month],Biscuit!$Q$3)</f>
        <v>0</v>
      </c>
      <c r="J87" s="91">
        <f ca="1">SUMIFS(Data_Base[Receive],Data_Base[Billing_Group],Biscuit!$C87,Data_Base[Distributor Name],Biscuit!$E$1,Data_Base[month],Biscuit!$Q$3)</f>
        <v>0</v>
      </c>
      <c r="K87" s="91">
        <f t="shared" ca="1" si="23"/>
        <v>0</v>
      </c>
      <c r="L87" s="91">
        <v>80</v>
      </c>
      <c r="M87" s="91">
        <f t="shared" ca="1" si="24"/>
        <v>-80</v>
      </c>
      <c r="N87" s="91">
        <f t="shared" ca="1" si="25"/>
        <v>0</v>
      </c>
      <c r="O87" s="91"/>
      <c r="P87" s="91">
        <f t="shared" si="26"/>
        <v>-80</v>
      </c>
      <c r="Q87" s="92"/>
    </row>
    <row r="88" spans="1:17" ht="18" customHeight="1" thickBot="1">
      <c r="A88" s="11" t="s">
        <v>0</v>
      </c>
      <c r="B88" s="11" t="str">
        <f t="shared" si="34"/>
        <v>Chatpatta Zeera Top Jar ₹ 50 x 30</v>
      </c>
      <c r="C88" s="13">
        <v>67</v>
      </c>
      <c r="D88" s="232" t="s">
        <v>903</v>
      </c>
      <c r="E88" s="231"/>
      <c r="F88" s="51" t="s">
        <v>66</v>
      </c>
      <c r="G88" s="52" t="s">
        <v>918</v>
      </c>
      <c r="H88" s="211"/>
      <c r="I88" s="93">
        <f ca="1">SUMIFS(Data_Base[Opening],Data_Base[Billing_Group],Biscuit!$C88,Data_Base[Distributor Name],Biscuit!$E$1,Data_Base[month],Biscuit!$Q$3)</f>
        <v>0</v>
      </c>
      <c r="J88" s="93">
        <f ca="1">SUMIFS(Data_Base[Receive],Data_Base[Billing_Group],Biscuit!$C88,Data_Base[Distributor Name],Biscuit!$E$1,Data_Base[month],Biscuit!$Q$3)</f>
        <v>0</v>
      </c>
      <c r="K88" s="93">
        <f t="shared" ca="1" si="23"/>
        <v>0</v>
      </c>
      <c r="L88" s="93">
        <v>80</v>
      </c>
      <c r="M88" s="93">
        <f t="shared" ca="1" si="24"/>
        <v>-80</v>
      </c>
      <c r="N88" s="93">
        <f t="shared" ca="1" si="25"/>
        <v>0</v>
      </c>
      <c r="O88" s="93"/>
      <c r="P88" s="93">
        <f t="shared" si="26"/>
        <v>-80</v>
      </c>
      <c r="Q88" s="94"/>
    </row>
    <row r="89" spans="1:17" ht="20.25" customHeight="1" thickBot="1">
      <c r="C89" s="218"/>
      <c r="D89" s="239" t="s">
        <v>1017</v>
      </c>
      <c r="E89" s="240"/>
      <c r="F89" s="240"/>
      <c r="G89" s="241"/>
      <c r="H89" s="197">
        <f>SUMIFS(H$5:H$88,$B$5:$B$88,"1")</f>
        <v>123.47999999999999</v>
      </c>
      <c r="I89" s="197">
        <f t="shared" ref="I89:J89" ca="1" si="35">SUMIFS(I$5:I$88,$B$5:$B$88,"1")</f>
        <v>10663.0141</v>
      </c>
      <c r="J89" s="197">
        <f t="shared" ca="1" si="35"/>
        <v>10184</v>
      </c>
      <c r="K89" s="197">
        <f t="shared" ca="1" si="23"/>
        <v>20847.0141</v>
      </c>
      <c r="L89" s="197">
        <v>80</v>
      </c>
      <c r="M89" s="197">
        <f t="shared" ca="1" si="24"/>
        <v>20767.0141</v>
      </c>
      <c r="N89" s="197">
        <f t="shared" ca="1" si="25"/>
        <v>20661.794099999999</v>
      </c>
      <c r="O89" s="197"/>
      <c r="P89" s="197">
        <f t="shared" si="26"/>
        <v>43.47999999999999</v>
      </c>
      <c r="Q89" s="197"/>
    </row>
    <row r="90" spans="1:17" ht="20.25" customHeight="1" thickBot="1">
      <c r="A90" s="11" t="s">
        <v>0</v>
      </c>
      <c r="B90" s="11" t="str">
        <f t="shared" ref="B90" si="36">D90&amp;" "&amp;F90&amp;" "&amp;G90</f>
        <v xml:space="preserve">OTHER  </v>
      </c>
      <c r="C90" s="13">
        <v>99</v>
      </c>
      <c r="D90" s="242" t="s">
        <v>14</v>
      </c>
      <c r="E90" s="243"/>
      <c r="F90" s="243"/>
      <c r="G90" s="244"/>
      <c r="H90" s="210"/>
      <c r="I90" s="91">
        <f ca="1">SUMIFS(Data_Base[Opening],Data_Base[Billing_Group],Biscuit!$C90,Data_Base[Distributor Name],Biscuit!$E$1,Data_Base[month],Biscuit!$Q$3,Data_Base[Fin. Year],#REF!)</f>
        <v>0</v>
      </c>
      <c r="J90" s="91">
        <f ca="1">SUMIFS(Data_Base[Receive],Data_Base[Billing_Group],Biscuit!$C90,Data_Base[Distributor Name],Biscuit!$E$1,Data_Base[month],Biscuit!$Q$3,Data_Base[Fin. Year],#REF!)</f>
        <v>0</v>
      </c>
      <c r="K90" s="91">
        <f t="shared" ref="K90:K91" ca="1" si="37">I90+J90</f>
        <v>0</v>
      </c>
      <c r="L90" s="91">
        <f ca="1">SUMIFS(Data_Base[Sale],Data_Base[Billing_Group],Biscuit!$C90,Data_Base[Distributor Name],Biscuit!$E$1,Data_Base[month],Biscuit!$Q$3,Data_Base[Fin. Year],#REF!)</f>
        <v>0</v>
      </c>
      <c r="M90" s="91">
        <f t="shared" ref="M90:M91" ca="1" si="38">K90-L90</f>
        <v>0</v>
      </c>
      <c r="N90" s="91">
        <f t="shared" ca="1" si="25"/>
        <v>0</v>
      </c>
      <c r="O90" s="91"/>
      <c r="P90" s="91"/>
      <c r="Q90" s="92"/>
    </row>
    <row r="91" spans="1:17" ht="20.25" customHeight="1" thickBot="1">
      <c r="C91" s="219"/>
      <c r="D91" s="239" t="s">
        <v>15</v>
      </c>
      <c r="E91" s="240"/>
      <c r="F91" s="240"/>
      <c r="G91" s="241"/>
      <c r="H91" s="197">
        <f>SUM(H89:H90)</f>
        <v>123.47999999999999</v>
      </c>
      <c r="I91" s="197">
        <f ca="1">SUM(I89:I90)</f>
        <v>10663.0141</v>
      </c>
      <c r="J91" s="197">
        <f ca="1">SUM(J89:J90)</f>
        <v>10184</v>
      </c>
      <c r="K91" s="197">
        <f t="shared" ca="1" si="37"/>
        <v>20847.0141</v>
      </c>
      <c r="L91" s="197">
        <f ca="1">SUM(L89:L90)</f>
        <v>80</v>
      </c>
      <c r="M91" s="197">
        <f t="shared" ca="1" si="38"/>
        <v>20767.0141</v>
      </c>
      <c r="N91" s="197">
        <f t="shared" ca="1" si="25"/>
        <v>20661.794099999999</v>
      </c>
      <c r="O91" s="197"/>
      <c r="P91" s="197"/>
      <c r="Q91" s="197"/>
    </row>
  </sheetData>
  <autoFilter ref="A4:E91" xr:uid="{8B0F7CB0-3849-4541-83B1-DD3BF5EEA3C0}">
    <filterColumn colId="3" showButton="0"/>
  </autoFilter>
  <mergeCells count="28">
    <mergeCell ref="D89:G89"/>
    <mergeCell ref="D91:G91"/>
    <mergeCell ref="D90:G90"/>
    <mergeCell ref="D88:E88"/>
    <mergeCell ref="D33:G33"/>
    <mergeCell ref="E3:P3"/>
    <mergeCell ref="J1:M1"/>
    <mergeCell ref="D87:E87"/>
    <mergeCell ref="P1:Q1"/>
    <mergeCell ref="E1:G1"/>
    <mergeCell ref="D4:E4"/>
    <mergeCell ref="D5:E5"/>
    <mergeCell ref="D36:G36"/>
    <mergeCell ref="D50:G50"/>
    <mergeCell ref="D57:G57"/>
    <mergeCell ref="D10:G10"/>
    <mergeCell ref="D15:G15"/>
    <mergeCell ref="D19:G19"/>
    <mergeCell ref="D29:G29"/>
    <mergeCell ref="D25:G25"/>
    <mergeCell ref="D83:G83"/>
    <mergeCell ref="D86:G86"/>
    <mergeCell ref="D39:G39"/>
    <mergeCell ref="D60:G60"/>
    <mergeCell ref="D65:G65"/>
    <mergeCell ref="D69:G69"/>
    <mergeCell ref="D73:G73"/>
    <mergeCell ref="D78:G78"/>
  </mergeCells>
  <conditionalFormatting sqref="G4:M4 H11:P14 H16:Q18 H20:Q24 H26:Q28 H30:Q32 H34:Q35 H37:Q38 H51:Q56 H58:Q59 H61:Q64 H66:Q68 H70:Q72 H74:Q77 H79:Q82 H84:Q85 H40:Q49 H87:Q88 H90:Q90 H5:P9">
    <cfRule type="cellIs" dxfId="14" priority="5" operator="equal">
      <formula>0</formula>
    </cfRule>
  </conditionalFormatting>
  <conditionalFormatting sqref="Q11:Q14 N4:Q4 Q5:Q9">
    <cfRule type="cellIs" dxfId="13" priority="1" operator="equal">
      <formula>0</formula>
    </cfRule>
  </conditionalFormatting>
  <pageMargins left="0.31" right="0.23" top="0.2" bottom="0.25" header="0.2" footer="0.3"/>
  <pageSetup paperSize="9" scale="4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B83912A-E2D1-46C7-B37D-2972A208C655}">
          <x14:formula1>
            <xm:f>Item_Master!$N$2:$N$500</xm:f>
          </x14:formula1>
          <xm:sqref>K2:M2 E1:G1</xm:sqref>
        </x14:dataValidation>
        <x14:dataValidation type="list" showInputMessage="1" showErrorMessage="1" xr:uid="{B1B20B0C-A600-4DD6-82BF-50841D7F54EC}">
          <x14:formula1>
            <xm:f>Item_Master!$Q$2:$Q$13</xm:f>
          </x14:formula1>
          <xm:sqref>Q3</xm:sqref>
        </x14:dataValidation>
        <x14:dataValidation type="custom" showInputMessage="1" showErrorMessage="1" xr:uid="{32410430-1D4F-483E-9E78-29C0B6183FBF}">
          <x14:formula1>
            <xm:f>_xlfn.UNIQUE(IF($E$1=Target!$H$2:$H$1048576,Target!$I$2:$I$1048576,""))</xm:f>
          </x14:formula1>
          <xm:sqref>U1</xm:sqref>
        </x14:dataValidation>
        <x14:dataValidation type="list" showDropDown="1" showInputMessage="1" showErrorMessage="1" xr:uid="{BC6FEC0D-E2D5-40C7-AB81-C31C7FBDA72C}">
          <x14:formula1>
            <xm:f>_xlfn.CHOOSECOLS(_xlfn._xlws.FILTER(Target!$M$2:$N$1048576,Target!$M$2:$M$1048576=$E$1),2)</xm:f>
          </x14:formula1>
          <xm:sqref>V1</xm:sqref>
        </x14:dataValidation>
        <x14:dataValidation type="list" allowBlank="1" showInputMessage="1" showErrorMessage="1" xr:uid="{2C1D9ECA-AC3F-4700-BDA9-0246ACBF3585}">
          <x14:formula1>
            <xm:f>Unique!$D$1:$D$50</xm:f>
          </x14:formula1>
          <xm:sqref>J1:M1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D6E7-8ED5-4369-8532-98C54FB4EC42}">
  <sheetPr codeName="Sheet2">
    <pageSetUpPr fitToPage="1"/>
  </sheetPr>
  <dimension ref="A1:R50"/>
  <sheetViews>
    <sheetView showGridLines="0" tabSelected="1" zoomScale="70" zoomScaleNormal="70" workbookViewId="0">
      <selection activeCell="C5" sqref="C5"/>
    </sheetView>
  </sheetViews>
  <sheetFormatPr defaultColWidth="23" defaultRowHeight="10.5"/>
  <cols>
    <col min="1" max="1" width="23" style="11"/>
    <col min="2" max="2" width="38.54296875" style="11" bestFit="1" customWidth="1"/>
    <col min="3" max="3" width="12.1796875" style="54" customWidth="1"/>
    <col min="4" max="4" width="5" style="54" customWidth="1"/>
    <col min="5" max="5" width="7.81640625" style="11" customWidth="1"/>
    <col min="6" max="6" width="14.6328125" style="61" customWidth="1"/>
    <col min="7" max="7" width="13.453125" style="14" customWidth="1"/>
    <col min="8" max="8" width="8.81640625" style="11" customWidth="1"/>
    <col min="9" max="9" width="12.81640625" style="11" customWidth="1"/>
    <col min="10" max="10" width="10.453125" style="11" customWidth="1"/>
    <col min="11" max="11" width="9.453125" style="12" customWidth="1"/>
    <col min="12" max="13" width="10.453125" style="12" customWidth="1"/>
    <col min="14" max="14" width="10.36328125" style="12" customWidth="1"/>
    <col min="15" max="15" width="10.6328125" style="12" customWidth="1"/>
    <col min="16" max="16" width="14.453125" style="12" customWidth="1"/>
    <col min="17" max="17" width="9.453125" style="12" customWidth="1"/>
    <col min="18" max="18" width="13.453125" style="12" customWidth="1"/>
    <col min="19" max="19" width="1.36328125" style="11" bestFit="1" customWidth="1"/>
    <col min="20" max="16384" width="23" style="11"/>
  </cols>
  <sheetData>
    <row r="1" spans="1:18" ht="27.75" customHeight="1" thickBot="1">
      <c r="C1" s="53" t="s">
        <v>16</v>
      </c>
      <c r="D1" s="245" t="s">
        <v>997</v>
      </c>
      <c r="E1" s="246"/>
      <c r="F1" s="256" t="s">
        <v>1830</v>
      </c>
      <c r="G1" s="257"/>
      <c r="I1" s="78" t="s">
        <v>1002</v>
      </c>
      <c r="J1" s="229" t="s">
        <v>2392</v>
      </c>
      <c r="K1" s="229"/>
      <c r="L1" s="229"/>
      <c r="M1" s="230"/>
      <c r="N1" t="s">
        <v>2385</v>
      </c>
      <c r="O1"/>
      <c r="P1" s="85" t="s">
        <v>1003</v>
      </c>
      <c r="Q1" s="254" t="str">
        <f>IFERROR(VLOOKUP($F$1,Data_Base[[Distributor Name]:[City Name]],2,0),"")</f>
        <v>CHANDI VALI</v>
      </c>
      <c r="R1" s="255"/>
    </row>
    <row r="2" spans="1:18" ht="8.25" customHeight="1" thickBot="1">
      <c r="C2" s="87"/>
      <c r="D2" s="88"/>
      <c r="E2" s="88"/>
      <c r="F2" s="89"/>
      <c r="G2" s="84"/>
      <c r="J2" s="36"/>
      <c r="K2" s="83"/>
      <c r="L2" s="83"/>
      <c r="M2" s="48"/>
      <c r="N2" s="15"/>
      <c r="O2" s="83"/>
      <c r="P2" s="83"/>
      <c r="Q2" s="48"/>
      <c r="R2" s="15"/>
    </row>
    <row r="3" spans="1:18" ht="37.5" customHeight="1" thickBot="1">
      <c r="C3" s="86"/>
      <c r="D3" s="247"/>
      <c r="E3" s="248"/>
      <c r="F3" s="226" t="s">
        <v>2</v>
      </c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8"/>
      <c r="R3" s="77" t="s">
        <v>727</v>
      </c>
    </row>
    <row r="4" spans="1:18" s="57" customFormat="1" ht="33" customHeight="1" thickBot="1">
      <c r="A4" s="57" t="s">
        <v>717</v>
      </c>
      <c r="B4" s="286" t="s">
        <v>2516</v>
      </c>
      <c r="C4" s="56" t="s">
        <v>3</v>
      </c>
      <c r="D4" s="49" t="s">
        <v>17</v>
      </c>
      <c r="E4" s="258" t="s">
        <v>4</v>
      </c>
      <c r="F4" s="259"/>
      <c r="G4" s="138" t="s">
        <v>5</v>
      </c>
      <c r="H4" s="139" t="s">
        <v>939</v>
      </c>
      <c r="I4" s="114" t="str">
        <f>Biscuit!$H$4</f>
        <v>Target</v>
      </c>
      <c r="J4" s="115" t="s">
        <v>7</v>
      </c>
      <c r="K4" s="116" t="s">
        <v>933</v>
      </c>
      <c r="L4" s="116" t="s">
        <v>934</v>
      </c>
      <c r="M4" s="116" t="s">
        <v>935</v>
      </c>
      <c r="N4" s="115" t="s">
        <v>8</v>
      </c>
      <c r="O4" s="90" t="s">
        <v>993</v>
      </c>
      <c r="P4" s="90" t="s">
        <v>994</v>
      </c>
      <c r="Q4" s="90" t="s">
        <v>995</v>
      </c>
      <c r="R4" s="90" t="s">
        <v>996</v>
      </c>
    </row>
    <row r="5" spans="1:18" ht="25.5" customHeight="1" thickBot="1">
      <c r="A5" s="11" t="str">
        <f>D5</f>
        <v>Juices</v>
      </c>
      <c r="B5" s="11" t="str">
        <f>TRIM(E5&amp;" "&amp;F5&amp;" "&amp;G5&amp;" "&amp;H5)</f>
        <v>FRESHGOLD Tetra
Fresh Gold 1 Ltr. Pomegranate 1 x 12</v>
      </c>
      <c r="C5" s="58">
        <v>101</v>
      </c>
      <c r="D5" s="289" t="s">
        <v>18</v>
      </c>
      <c r="E5" s="288" t="s">
        <v>940</v>
      </c>
      <c r="F5" s="287" t="s">
        <v>19</v>
      </c>
      <c r="G5" s="146" t="s">
        <v>20</v>
      </c>
      <c r="H5" s="142" t="s">
        <v>21</v>
      </c>
      <c r="I5" s="135">
        <f>SUMIFS(Target[Target],Target[SS 2],$F$1,Target[DB 2],$J$1,Target[Cat.2],$C5,Target[Month],$N$1)</f>
        <v>0</v>
      </c>
      <c r="J5" s="118">
        <f ca="1">SUMIFS(Data_Base[Opening],Data_Base[Billing_Group],Juice!$C5,Data_Base[Distributor Name],Juice!$F$1,Data_Base[month],Juice!$N$1)</f>
        <v>0</v>
      </c>
      <c r="K5" s="118">
        <f ca="1">SUMIFS(Data_Base[Receive],Data_Base[Billing_Group],Juice!$C5,Data_Base[Distributor Name],Juice!$F$1,Data_Base[month],Juice!$N$1)</f>
        <v>0</v>
      </c>
      <c r="L5" s="118">
        <f ca="1">SUMIFS(Data_Base[Total],Data_Base[Billing_Group],Juice!$C5,Data_Base[Distributor Name],Juice!$F$1,Data_Base[month],Juice!$N$1)</f>
        <v>0</v>
      </c>
      <c r="M5" s="118">
        <f ca="1">SUMIFS(Data_Base[Sale],Data_Base[Billing_Group],Juice!$C5,Data_Base[Distributor Name],Juice!$F$1,Data_Base[month],Juice!$N$1)</f>
        <v>0</v>
      </c>
      <c r="N5" s="127">
        <f ca="1">SUMIFS(Data_Base[Closing],Data_Base[Billing_Group],Juice!$C5,Data_Base[Distributor Name],Juice!$F$1,Data_Base[month],Juice!$N$1)</f>
        <v>0</v>
      </c>
      <c r="O5" s="131">
        <f ca="1">SUMIFS(Data_Base[Receive],Data_Base[Billing_Group],Juice!$C5,Data_Base[Distributor Name],Juice!$F$1,Data_Base[month],Juice!$N$1)</f>
        <v>0</v>
      </c>
      <c r="P5" s="119">
        <f ca="1">SUMIFS(Data_Base[Total],Data_Base[Billing_Group],Juice!$C5,Data_Base[Distributor Name],Juice!$F$1,Data_Base[month],Juice!$N$1)</f>
        <v>0</v>
      </c>
      <c r="Q5" s="131">
        <f ca="1">SUMIFS(Data_Base[Sale],Data_Base[Billing_Group],Juice!$C5,Data_Base[Distributor Name],Juice!$F$1,Data_Base[month],Juice!$N$1)</f>
        <v>0</v>
      </c>
      <c r="R5" s="119">
        <f ca="1">SUMIFS(Data_Base[Closing],Data_Base[Billing_Group],Juice!$C5,Data_Base[Distributor Name],Juice!$F$1,Data_Base[month],Juice!$N$1)</f>
        <v>0</v>
      </c>
    </row>
    <row r="6" spans="1:18" ht="25.5" customHeight="1" thickBot="1">
      <c r="A6" s="11" t="str">
        <f t="shared" ref="A6:A48" si="0">D6</f>
        <v>Juices</v>
      </c>
      <c r="B6" s="11" t="str">
        <f t="shared" ref="B6:B46" si="1">TRIM(E6&amp;" "&amp;F6&amp;" "&amp;G6&amp;" "&amp;H6)</f>
        <v>FRESHGOLD Tetra
Fresh Gold 1 Ltr. Apple 1 x 12</v>
      </c>
      <c r="C6" s="58">
        <v>102</v>
      </c>
      <c r="D6" s="289" t="s">
        <v>18</v>
      </c>
      <c r="E6" s="288" t="s">
        <v>940</v>
      </c>
      <c r="F6" s="287" t="s">
        <v>19</v>
      </c>
      <c r="G6" s="147" t="s">
        <v>22</v>
      </c>
      <c r="H6" s="145" t="s">
        <v>21</v>
      </c>
      <c r="I6" s="136">
        <f>SUMIFS(Target[Target],Target[SS 2],$F$1,Target[DB 2],$J$1,Target[Cat.2],$C6,Target[Month],$N$1)</f>
        <v>0</v>
      </c>
      <c r="J6" s="117">
        <f ca="1">SUMIFS(Data_Base[Opening],Data_Base[Billing_Group],Juice!$C6,Data_Base[Distributor Name],Juice!$F$1,Data_Base[month],Juice!$N$1)</f>
        <v>0</v>
      </c>
      <c r="K6" s="117">
        <f ca="1">SUMIFS(Data_Base[Receive],Data_Base[Billing_Group],Juice!$C6,Data_Base[Distributor Name],Juice!$F$1,Data_Base[month],Juice!$N$1)</f>
        <v>0</v>
      </c>
      <c r="L6" s="117">
        <f ca="1">SUMIFS(Data_Base[Total],Data_Base[Billing_Group],Juice!$C6,Data_Base[Distributor Name],Juice!$F$1,Data_Base[month],Juice!$N$1)</f>
        <v>0</v>
      </c>
      <c r="M6" s="117">
        <f ca="1">SUMIFS(Data_Base[Sale],Data_Base[Billing_Group],Juice!$C6,Data_Base[Distributor Name],Juice!$F$1,Data_Base[month],Juice!$N$1)</f>
        <v>0</v>
      </c>
      <c r="N6" s="128">
        <f ca="1">SUMIFS(Data_Base[Closing],Data_Base[Billing_Group],Juice!$C6,Data_Base[Distributor Name],Juice!$F$1,Data_Base[month],Juice!$N$1)</f>
        <v>0</v>
      </c>
      <c r="O6" s="132">
        <f ca="1">SUMIFS(Data_Base[Receive],Data_Base[Billing_Group],Juice!$C6,Data_Base[Distributor Name],Juice!$F$1,Data_Base[month],Juice!$N$1)</f>
        <v>0</v>
      </c>
      <c r="P6" s="120">
        <f ca="1">SUMIFS(Data_Base[Total],Data_Base[Billing_Group],Juice!$C6,Data_Base[Distributor Name],Juice!$F$1,Data_Base[month],Juice!$N$1)</f>
        <v>0</v>
      </c>
      <c r="Q6" s="132">
        <f ca="1">SUMIFS(Data_Base[Sale],Data_Base[Billing_Group],Juice!$C6,Data_Base[Distributor Name],Juice!$F$1,Data_Base[month],Juice!$N$1)</f>
        <v>0</v>
      </c>
      <c r="R6" s="120">
        <f ca="1">SUMIFS(Data_Base[Closing],Data_Base[Billing_Group],Juice!$C6,Data_Base[Distributor Name],Juice!$F$1,Data_Base[month],Juice!$N$1)</f>
        <v>0</v>
      </c>
    </row>
    <row r="7" spans="1:18" ht="25.5" customHeight="1" thickBot="1">
      <c r="A7" s="11" t="str">
        <f t="shared" si="0"/>
        <v>Juices</v>
      </c>
      <c r="B7" s="11" t="str">
        <f t="shared" si="1"/>
        <v>FRESHGOLD Tetra
Fresh Gold 1 Ltr. Orange 1 x 12</v>
      </c>
      <c r="C7" s="58">
        <v>103</v>
      </c>
      <c r="D7" s="289" t="s">
        <v>18</v>
      </c>
      <c r="E7" s="288" t="s">
        <v>940</v>
      </c>
      <c r="F7" s="287" t="s">
        <v>19</v>
      </c>
      <c r="G7" s="147" t="s">
        <v>23</v>
      </c>
      <c r="H7" s="145" t="s">
        <v>21</v>
      </c>
      <c r="I7" s="136">
        <f>SUMIFS(Target[Target],Target[SS 2],$F$1,Target[DB 2],$J$1,Target[Cat.2],$C7,Target[Month],$N$1)</f>
        <v>0</v>
      </c>
      <c r="J7" s="117">
        <f ca="1">SUMIFS(Data_Base[Opening],Data_Base[Billing_Group],Juice!$C7,Data_Base[Distributor Name],Juice!$F$1,Data_Base[month],Juice!$N$1)</f>
        <v>0</v>
      </c>
      <c r="K7" s="117">
        <f ca="1">SUMIFS(Data_Base[Receive],Data_Base[Billing_Group],Juice!$C7,Data_Base[Distributor Name],Juice!$F$1,Data_Base[month],Juice!$N$1)</f>
        <v>0</v>
      </c>
      <c r="L7" s="117">
        <f ca="1">SUMIFS(Data_Base[Total],Data_Base[Billing_Group],Juice!$C7,Data_Base[Distributor Name],Juice!$F$1,Data_Base[month],Juice!$N$1)</f>
        <v>0</v>
      </c>
      <c r="M7" s="117">
        <f ca="1">SUMIFS(Data_Base[Sale],Data_Base[Billing_Group],Juice!$C7,Data_Base[Distributor Name],Juice!$F$1,Data_Base[month],Juice!$N$1)</f>
        <v>0</v>
      </c>
      <c r="N7" s="128">
        <f ca="1">SUMIFS(Data_Base[Closing],Data_Base[Billing_Group],Juice!$C7,Data_Base[Distributor Name],Juice!$F$1,Data_Base[month],Juice!$N$1)</f>
        <v>0</v>
      </c>
      <c r="O7" s="132">
        <f ca="1">SUMIFS(Data_Base[Receive],Data_Base[Billing_Group],Juice!$C7,Data_Base[Distributor Name],Juice!$F$1,Data_Base[month],Juice!$N$1)</f>
        <v>0</v>
      </c>
      <c r="P7" s="120">
        <f ca="1">SUMIFS(Data_Base[Total],Data_Base[Billing_Group],Juice!$C7,Data_Base[Distributor Name],Juice!$F$1,Data_Base[month],Juice!$N$1)</f>
        <v>0</v>
      </c>
      <c r="Q7" s="132">
        <f ca="1">SUMIFS(Data_Base[Sale],Data_Base[Billing_Group],Juice!$C7,Data_Base[Distributor Name],Juice!$F$1,Data_Base[month],Juice!$N$1)</f>
        <v>0</v>
      </c>
      <c r="R7" s="120">
        <f ca="1">SUMIFS(Data_Base[Closing],Data_Base[Billing_Group],Juice!$C7,Data_Base[Distributor Name],Juice!$F$1,Data_Base[month],Juice!$N$1)</f>
        <v>0</v>
      </c>
    </row>
    <row r="8" spans="1:18" ht="25.5" customHeight="1" thickBot="1">
      <c r="A8" s="11" t="str">
        <f t="shared" si="0"/>
        <v>Juices</v>
      </c>
      <c r="B8" s="11" t="str">
        <f t="shared" si="1"/>
        <v>FRESHGOLD Tetra
Fresh Gold 1 Ltr. Mix Fruit 1 x 12</v>
      </c>
      <c r="C8" s="58">
        <v>104</v>
      </c>
      <c r="D8" s="289" t="s">
        <v>18</v>
      </c>
      <c r="E8" s="288" t="s">
        <v>940</v>
      </c>
      <c r="F8" s="287" t="s">
        <v>19</v>
      </c>
      <c r="G8" s="147" t="s">
        <v>24</v>
      </c>
      <c r="H8" s="145" t="s">
        <v>21</v>
      </c>
      <c r="I8" s="136">
        <f>SUMIFS(Target[Target],Target[SS 2],$F$1,Target[DB 2],$J$1,Target[Cat.2],$C8,Target[Month],$N$1)</f>
        <v>0</v>
      </c>
      <c r="J8" s="117">
        <f ca="1">SUMIFS(Data_Base[Opening],Data_Base[Billing_Group],Juice!$C8,Data_Base[Distributor Name],Juice!$F$1,Data_Base[month],Juice!$N$1)</f>
        <v>0</v>
      </c>
      <c r="K8" s="117">
        <f ca="1">SUMIFS(Data_Base[Receive],Data_Base[Billing_Group],Juice!$C8,Data_Base[Distributor Name],Juice!$F$1,Data_Base[month],Juice!$N$1)</f>
        <v>0</v>
      </c>
      <c r="L8" s="117">
        <f ca="1">SUMIFS(Data_Base[Total],Data_Base[Billing_Group],Juice!$C8,Data_Base[Distributor Name],Juice!$F$1,Data_Base[month],Juice!$N$1)</f>
        <v>0</v>
      </c>
      <c r="M8" s="117">
        <f ca="1">SUMIFS(Data_Base[Sale],Data_Base[Billing_Group],Juice!$C8,Data_Base[Distributor Name],Juice!$F$1,Data_Base[month],Juice!$N$1)</f>
        <v>0</v>
      </c>
      <c r="N8" s="128">
        <f ca="1">SUMIFS(Data_Base[Closing],Data_Base[Billing_Group],Juice!$C8,Data_Base[Distributor Name],Juice!$F$1,Data_Base[month],Juice!$N$1)</f>
        <v>0</v>
      </c>
      <c r="O8" s="132">
        <f ca="1">SUMIFS(Data_Base[Receive],Data_Base[Billing_Group],Juice!$C8,Data_Base[Distributor Name],Juice!$F$1,Data_Base[month],Juice!$N$1)</f>
        <v>0</v>
      </c>
      <c r="P8" s="120">
        <f ca="1">SUMIFS(Data_Base[Total],Data_Base[Billing_Group],Juice!$C8,Data_Base[Distributor Name],Juice!$F$1,Data_Base[month],Juice!$N$1)</f>
        <v>0</v>
      </c>
      <c r="Q8" s="132">
        <f ca="1">SUMIFS(Data_Base[Sale],Data_Base[Billing_Group],Juice!$C8,Data_Base[Distributor Name],Juice!$F$1,Data_Base[month],Juice!$N$1)</f>
        <v>0</v>
      </c>
      <c r="R8" s="120">
        <f ca="1">SUMIFS(Data_Base[Closing],Data_Base[Billing_Group],Juice!$C8,Data_Base[Distributor Name],Juice!$F$1,Data_Base[month],Juice!$N$1)</f>
        <v>0</v>
      </c>
    </row>
    <row r="9" spans="1:18" ht="25.5" customHeight="1" thickBot="1">
      <c r="A9" s="11" t="str">
        <f t="shared" si="0"/>
        <v>Juices</v>
      </c>
      <c r="B9" s="11" t="str">
        <f t="shared" si="1"/>
        <v>FRESHGOLD Tetra
Fresh Gold 1 Ltr. Litchi 1 x 12</v>
      </c>
      <c r="C9" s="58">
        <v>105</v>
      </c>
      <c r="D9" s="289" t="s">
        <v>18</v>
      </c>
      <c r="E9" s="288" t="s">
        <v>940</v>
      </c>
      <c r="F9" s="287" t="s">
        <v>19</v>
      </c>
      <c r="G9" s="148" t="s">
        <v>25</v>
      </c>
      <c r="H9" s="145" t="s">
        <v>21</v>
      </c>
      <c r="I9" s="136">
        <f>SUMIFS(Target[Target],Target[SS 2],$F$1,Target[DB 2],$J$1,Target[Cat.2],$C9,Target[Month],$N$1)</f>
        <v>0</v>
      </c>
      <c r="J9" s="117">
        <f ca="1">SUMIFS(Data_Base[Opening],Data_Base[Billing_Group],Juice!$C9,Data_Base[Distributor Name],Juice!$F$1,Data_Base[month],Juice!$N$1)</f>
        <v>0</v>
      </c>
      <c r="K9" s="117">
        <f ca="1">SUMIFS(Data_Base[Receive],Data_Base[Billing_Group],Juice!$C9,Data_Base[Distributor Name],Juice!$F$1,Data_Base[month],Juice!$N$1)</f>
        <v>0</v>
      </c>
      <c r="L9" s="117">
        <f ca="1">SUMIFS(Data_Base[Total],Data_Base[Billing_Group],Juice!$C9,Data_Base[Distributor Name],Juice!$F$1,Data_Base[month],Juice!$N$1)</f>
        <v>0</v>
      </c>
      <c r="M9" s="117">
        <f ca="1">SUMIFS(Data_Base[Sale],Data_Base[Billing_Group],Juice!$C9,Data_Base[Distributor Name],Juice!$F$1,Data_Base[month],Juice!$N$1)</f>
        <v>0</v>
      </c>
      <c r="N9" s="128">
        <f ca="1">SUMIFS(Data_Base[Closing],Data_Base[Billing_Group],Juice!$C9,Data_Base[Distributor Name],Juice!$F$1,Data_Base[month],Juice!$N$1)</f>
        <v>0</v>
      </c>
      <c r="O9" s="132">
        <f ca="1">SUMIFS(Data_Base[Receive],Data_Base[Billing_Group],Juice!$C9,Data_Base[Distributor Name],Juice!$F$1,Data_Base[month],Juice!$N$1)</f>
        <v>0</v>
      </c>
      <c r="P9" s="120">
        <f ca="1">SUMIFS(Data_Base[Total],Data_Base[Billing_Group],Juice!$C9,Data_Base[Distributor Name],Juice!$F$1,Data_Base[month],Juice!$N$1)</f>
        <v>0</v>
      </c>
      <c r="Q9" s="132">
        <f ca="1">SUMIFS(Data_Base[Sale],Data_Base[Billing_Group],Juice!$C9,Data_Base[Distributor Name],Juice!$F$1,Data_Base[month],Juice!$N$1)</f>
        <v>0</v>
      </c>
      <c r="R9" s="120">
        <f ca="1">SUMIFS(Data_Base[Closing],Data_Base[Billing_Group],Juice!$C9,Data_Base[Distributor Name],Juice!$F$1,Data_Base[month],Juice!$N$1)</f>
        <v>0</v>
      </c>
    </row>
    <row r="10" spans="1:18" ht="25.5" customHeight="1" thickBot="1">
      <c r="A10" s="11" t="str">
        <f t="shared" si="0"/>
        <v>Juices</v>
      </c>
      <c r="B10" s="11" t="str">
        <f t="shared" si="1"/>
        <v>FRESHGOLD Tetra
Fresh Gold 1 Ltr. Pine Apple 1 x 12</v>
      </c>
      <c r="C10" s="58">
        <v>106</v>
      </c>
      <c r="D10" s="289" t="s">
        <v>18</v>
      </c>
      <c r="E10" s="288" t="s">
        <v>940</v>
      </c>
      <c r="F10" s="287" t="s">
        <v>19</v>
      </c>
      <c r="G10" s="147" t="s">
        <v>26</v>
      </c>
      <c r="H10" s="145" t="s">
        <v>21</v>
      </c>
      <c r="I10" s="136">
        <f>SUMIFS(Target[Target],Target[SS 2],$F$1,Target[DB 2],$J$1,Target[Cat.2],$C10,Target[Month],$N$1)</f>
        <v>0</v>
      </c>
      <c r="J10" s="117">
        <f ca="1">SUMIFS(Data_Base[Opening],Data_Base[Billing_Group],Juice!$C10,Data_Base[Distributor Name],Juice!$F$1,Data_Base[month],Juice!$N$1)</f>
        <v>0</v>
      </c>
      <c r="K10" s="117">
        <f ca="1">SUMIFS(Data_Base[Receive],Data_Base[Billing_Group],Juice!$C10,Data_Base[Distributor Name],Juice!$F$1,Data_Base[month],Juice!$N$1)</f>
        <v>0</v>
      </c>
      <c r="L10" s="117">
        <f ca="1">SUMIFS(Data_Base[Total],Data_Base[Billing_Group],Juice!$C10,Data_Base[Distributor Name],Juice!$F$1,Data_Base[month],Juice!$N$1)</f>
        <v>0</v>
      </c>
      <c r="M10" s="117">
        <f ca="1">SUMIFS(Data_Base[Sale],Data_Base[Billing_Group],Juice!$C10,Data_Base[Distributor Name],Juice!$F$1,Data_Base[month],Juice!$N$1)</f>
        <v>0</v>
      </c>
      <c r="N10" s="128">
        <f ca="1">SUMIFS(Data_Base[Closing],Data_Base[Billing_Group],Juice!$C10,Data_Base[Distributor Name],Juice!$F$1,Data_Base[month],Juice!$N$1)</f>
        <v>0</v>
      </c>
      <c r="O10" s="132">
        <f ca="1">SUMIFS(Data_Base[Receive],Data_Base[Billing_Group],Juice!$C10,Data_Base[Distributor Name],Juice!$F$1,Data_Base[month],Juice!$N$1)</f>
        <v>0</v>
      </c>
      <c r="P10" s="120">
        <f ca="1">SUMIFS(Data_Base[Total],Data_Base[Billing_Group],Juice!$C10,Data_Base[Distributor Name],Juice!$F$1,Data_Base[month],Juice!$N$1)</f>
        <v>0</v>
      </c>
      <c r="Q10" s="132">
        <f ca="1">SUMIFS(Data_Base[Sale],Data_Base[Billing_Group],Juice!$C10,Data_Base[Distributor Name],Juice!$F$1,Data_Base[month],Juice!$N$1)</f>
        <v>0</v>
      </c>
      <c r="R10" s="120">
        <f ca="1">SUMIFS(Data_Base[Closing],Data_Base[Billing_Group],Juice!$C10,Data_Base[Distributor Name],Juice!$F$1,Data_Base[month],Juice!$N$1)</f>
        <v>0</v>
      </c>
    </row>
    <row r="11" spans="1:18" ht="25.5" customHeight="1" thickBot="1">
      <c r="A11" s="11" t="str">
        <f t="shared" si="0"/>
        <v>Juices</v>
      </c>
      <c r="B11" s="11" t="str">
        <f t="shared" si="1"/>
        <v>FRESHGOLD Tetra
Fresh Gold 1 Ltr. Guava 1 x 12</v>
      </c>
      <c r="C11" s="58">
        <v>107</v>
      </c>
      <c r="D11" s="289" t="s">
        <v>18</v>
      </c>
      <c r="E11" s="288" t="s">
        <v>940</v>
      </c>
      <c r="F11" s="287" t="s">
        <v>19</v>
      </c>
      <c r="G11" s="143" t="s">
        <v>27</v>
      </c>
      <c r="H11" s="144" t="s">
        <v>21</v>
      </c>
      <c r="I11" s="136">
        <f>SUMIFS(Target[Target],Target[SS 2],$F$1,Target[DB 2],$J$1,Target[Cat.2],$C11,Target[Month],$N$1)</f>
        <v>0</v>
      </c>
      <c r="J11" s="117">
        <f ca="1">SUMIFS(Data_Base[Opening],Data_Base[Billing_Group],Juice!$C11,Data_Base[Distributor Name],Juice!$F$1,Data_Base[month],Juice!$N$1)</f>
        <v>0</v>
      </c>
      <c r="K11" s="117">
        <f ca="1">SUMIFS(Data_Base[Receive],Data_Base[Billing_Group],Juice!$C11,Data_Base[Distributor Name],Juice!$F$1,Data_Base[month],Juice!$N$1)</f>
        <v>0</v>
      </c>
      <c r="L11" s="117">
        <f ca="1">SUMIFS(Data_Base[Total],Data_Base[Billing_Group],Juice!$C11,Data_Base[Distributor Name],Juice!$F$1,Data_Base[month],Juice!$N$1)</f>
        <v>0</v>
      </c>
      <c r="M11" s="117">
        <f ca="1">SUMIFS(Data_Base[Sale],Data_Base[Billing_Group],Juice!$C11,Data_Base[Distributor Name],Juice!$F$1,Data_Base[month],Juice!$N$1)</f>
        <v>0</v>
      </c>
      <c r="N11" s="128">
        <f ca="1">SUMIFS(Data_Base[Closing],Data_Base[Billing_Group],Juice!$C11,Data_Base[Distributor Name],Juice!$F$1,Data_Base[month],Juice!$N$1)</f>
        <v>0</v>
      </c>
      <c r="O11" s="132">
        <f ca="1">SUMIFS(Data_Base[Receive],Data_Base[Billing_Group],Juice!$C11,Data_Base[Distributor Name],Juice!$F$1,Data_Base[month],Juice!$N$1)</f>
        <v>0</v>
      </c>
      <c r="P11" s="120">
        <f ca="1">SUMIFS(Data_Base[Total],Data_Base[Billing_Group],Juice!$C11,Data_Base[Distributor Name],Juice!$F$1,Data_Base[month],Juice!$N$1)</f>
        <v>0</v>
      </c>
      <c r="Q11" s="132">
        <f ca="1">SUMIFS(Data_Base[Sale],Data_Base[Billing_Group],Juice!$C11,Data_Base[Distributor Name],Juice!$F$1,Data_Base[month],Juice!$N$1)</f>
        <v>0</v>
      </c>
      <c r="R11" s="120">
        <f ca="1">SUMIFS(Data_Base[Closing],Data_Base[Billing_Group],Juice!$C11,Data_Base[Distributor Name],Juice!$F$1,Data_Base[month],Juice!$N$1)</f>
        <v>0</v>
      </c>
    </row>
    <row r="12" spans="1:18" ht="25.5" customHeight="1" thickBot="1">
      <c r="A12" s="11" t="str">
        <f t="shared" si="0"/>
        <v>Juices</v>
      </c>
      <c r="B12" s="11" t="str">
        <f t="shared" si="1"/>
        <v>TREAT Treat Tetra Pack - Mango 125 ML 125 x 40</v>
      </c>
      <c r="C12" s="58">
        <v>109</v>
      </c>
      <c r="D12" s="289" t="s">
        <v>18</v>
      </c>
      <c r="E12" s="304" t="s">
        <v>30</v>
      </c>
      <c r="F12" s="290" t="s">
        <v>938</v>
      </c>
      <c r="G12" s="149" t="s">
        <v>31</v>
      </c>
      <c r="H12" s="150" t="s">
        <v>924</v>
      </c>
      <c r="I12" s="136">
        <f>SUMIFS(Target[Target],Target[SS 2],$F$1,Target[DB 2],$J$1,Target[Cat.2],$C12,Target[Month],$N$1)</f>
        <v>0</v>
      </c>
      <c r="J12" s="117">
        <f ca="1">SUMIFS(Data_Base[Opening],Data_Base[Billing_Group],Juice!$C12,Data_Base[Distributor Name],Juice!$F$1,Data_Base[month],Juice!$N$1)</f>
        <v>0</v>
      </c>
      <c r="K12" s="117">
        <f ca="1">SUMIFS(Data_Base[Receive],Data_Base[Billing_Group],Juice!$C12,Data_Base[Distributor Name],Juice!$F$1,Data_Base[month],Juice!$N$1)</f>
        <v>0</v>
      </c>
      <c r="L12" s="117">
        <f ca="1">SUMIFS(Data_Base[Total],Data_Base[Billing_Group],Juice!$C12,Data_Base[Distributor Name],Juice!$F$1,Data_Base[month],Juice!$N$1)</f>
        <v>0</v>
      </c>
      <c r="M12" s="117">
        <f ca="1">SUMIFS(Data_Base[Sale],Data_Base[Billing_Group],Juice!$C12,Data_Base[Distributor Name],Juice!$F$1,Data_Base[month],Juice!$N$1)</f>
        <v>0</v>
      </c>
      <c r="N12" s="128">
        <f ca="1">SUMIFS(Data_Base[Closing],Data_Base[Billing_Group],Juice!$C12,Data_Base[Distributor Name],Juice!$F$1,Data_Base[month],Juice!$N$1)</f>
        <v>0</v>
      </c>
      <c r="O12" s="132">
        <f ca="1">SUMIFS(Data_Base[Receive],Data_Base[Billing_Group],Juice!$C12,Data_Base[Distributor Name],Juice!$F$1,Data_Base[month],Juice!$N$1)</f>
        <v>0</v>
      </c>
      <c r="P12" s="120">
        <f ca="1">SUMIFS(Data_Base[Total],Data_Base[Billing_Group],Juice!$C12,Data_Base[Distributor Name],Juice!$F$1,Data_Base[month],Juice!$N$1)</f>
        <v>0</v>
      </c>
      <c r="Q12" s="132">
        <f ca="1">SUMIFS(Data_Base[Sale],Data_Base[Billing_Group],Juice!$C12,Data_Base[Distributor Name],Juice!$F$1,Data_Base[month],Juice!$N$1)</f>
        <v>0</v>
      </c>
      <c r="R12" s="120">
        <f ca="1">SUMIFS(Data_Base[Closing],Data_Base[Billing_Group],Juice!$C12,Data_Base[Distributor Name],Juice!$F$1,Data_Base[month],Juice!$N$1)</f>
        <v>0</v>
      </c>
    </row>
    <row r="13" spans="1:18" ht="25.5" customHeight="1" thickBot="1">
      <c r="A13" s="11" t="str">
        <f t="shared" si="0"/>
        <v>Juices</v>
      </c>
      <c r="B13" s="11" t="str">
        <f t="shared" si="1"/>
        <v>TREAT Treat Tetra Pack - Mango 160 ML 160 x 30</v>
      </c>
      <c r="C13" s="58">
        <v>110</v>
      </c>
      <c r="D13" s="289" t="s">
        <v>18</v>
      </c>
      <c r="E13" s="304" t="s">
        <v>30</v>
      </c>
      <c r="F13" s="290" t="s">
        <v>938</v>
      </c>
      <c r="G13" s="151" t="s">
        <v>32</v>
      </c>
      <c r="H13" s="152" t="s">
        <v>33</v>
      </c>
      <c r="I13" s="136">
        <f>SUMIFS(Target[Target],Target[SS 2],$F$1,Target[DB 2],$J$1,Target[Cat.2],$C13,Target[Month],$N$1)</f>
        <v>0</v>
      </c>
      <c r="J13" s="117">
        <f ca="1">SUMIFS(Data_Base[Opening],Data_Base[Billing_Group],Juice!$C13,Data_Base[Distributor Name],Juice!$F$1,Data_Base[month],Juice!$N$1)</f>
        <v>0</v>
      </c>
      <c r="K13" s="117">
        <f ca="1">SUMIFS(Data_Base[Receive],Data_Base[Billing_Group],Juice!$C13,Data_Base[Distributor Name],Juice!$F$1,Data_Base[month],Juice!$N$1)</f>
        <v>0</v>
      </c>
      <c r="L13" s="117">
        <f ca="1">SUMIFS(Data_Base[Total],Data_Base[Billing_Group],Juice!$C13,Data_Base[Distributor Name],Juice!$F$1,Data_Base[month],Juice!$N$1)</f>
        <v>0</v>
      </c>
      <c r="M13" s="117">
        <f ca="1">SUMIFS(Data_Base[Sale],Data_Base[Billing_Group],Juice!$C13,Data_Base[Distributor Name],Juice!$F$1,Data_Base[month],Juice!$N$1)</f>
        <v>0</v>
      </c>
      <c r="N13" s="128">
        <f ca="1">SUMIFS(Data_Base[Closing],Data_Base[Billing_Group],Juice!$C13,Data_Base[Distributor Name],Juice!$F$1,Data_Base[month],Juice!$N$1)</f>
        <v>0</v>
      </c>
      <c r="O13" s="132">
        <f ca="1">SUMIFS(Data_Base[Receive],Data_Base[Billing_Group],Juice!$C13,Data_Base[Distributor Name],Juice!$F$1,Data_Base[month],Juice!$N$1)</f>
        <v>0</v>
      </c>
      <c r="P13" s="120">
        <f ca="1">SUMIFS(Data_Base[Total],Data_Base[Billing_Group],Juice!$C13,Data_Base[Distributor Name],Juice!$F$1,Data_Base[month],Juice!$N$1)</f>
        <v>0</v>
      </c>
      <c r="Q13" s="132">
        <f ca="1">SUMIFS(Data_Base[Sale],Data_Base[Billing_Group],Juice!$C13,Data_Base[Distributor Name],Juice!$F$1,Data_Base[month],Juice!$N$1)</f>
        <v>0</v>
      </c>
      <c r="R13" s="120">
        <f ca="1">SUMIFS(Data_Base[Closing],Data_Base[Billing_Group],Juice!$C13,Data_Base[Distributor Name],Juice!$F$1,Data_Base[month],Juice!$N$1)</f>
        <v>0</v>
      </c>
    </row>
    <row r="14" spans="1:18" ht="25.5" customHeight="1" thickBot="1">
      <c r="A14" s="11" t="str">
        <f t="shared" si="0"/>
        <v>Juices</v>
      </c>
      <c r="B14" s="11" t="str">
        <f t="shared" si="1"/>
        <v>PET BOTTLE Treat Pet Bottle - Mango 250 ML 250 x 24</v>
      </c>
      <c r="C14" s="58">
        <v>112</v>
      </c>
      <c r="D14" s="289" t="s">
        <v>18</v>
      </c>
      <c r="E14" s="304" t="s">
        <v>812</v>
      </c>
      <c r="F14" s="291" t="s">
        <v>937</v>
      </c>
      <c r="G14" s="141" t="s">
        <v>28</v>
      </c>
      <c r="H14" s="142" t="s">
        <v>29</v>
      </c>
      <c r="I14" s="136">
        <f>SUMIFS(Target[Target],Target[SS 2],$F$1,Target[DB 2],$J$1,Target[Cat.2],$C14,Target[Month],$N$1)</f>
        <v>0</v>
      </c>
      <c r="J14" s="117">
        <f ca="1">SUMIFS(Data_Base[Opening],Data_Base[Billing_Group],Juice!$C14,Data_Base[Distributor Name],Juice!$F$1,Data_Base[month],Juice!$N$1)</f>
        <v>0</v>
      </c>
      <c r="K14" s="117">
        <f ca="1">SUMIFS(Data_Base[Receive],Data_Base[Billing_Group],Juice!$C14,Data_Base[Distributor Name],Juice!$F$1,Data_Base[month],Juice!$N$1)</f>
        <v>0</v>
      </c>
      <c r="L14" s="117">
        <f ca="1">SUMIFS(Data_Base[Total],Data_Base[Billing_Group],Juice!$C14,Data_Base[Distributor Name],Juice!$F$1,Data_Base[month],Juice!$N$1)</f>
        <v>0</v>
      </c>
      <c r="M14" s="117">
        <f ca="1">SUMIFS(Data_Base[Sale],Data_Base[Billing_Group],Juice!$C14,Data_Base[Distributor Name],Juice!$F$1,Data_Base[month],Juice!$N$1)</f>
        <v>0</v>
      </c>
      <c r="N14" s="128">
        <f ca="1">SUMIFS(Data_Base[Closing],Data_Base[Billing_Group],Juice!$C14,Data_Base[Distributor Name],Juice!$F$1,Data_Base[month],Juice!$N$1)</f>
        <v>0</v>
      </c>
      <c r="O14" s="132">
        <f ca="1">SUMIFS(Data_Base[Receive],Data_Base[Billing_Group],Juice!$C14,Data_Base[Distributor Name],Juice!$F$1,Data_Base[month],Juice!$N$1)</f>
        <v>0</v>
      </c>
      <c r="P14" s="120">
        <f ca="1">SUMIFS(Data_Base[Total],Data_Base[Billing_Group],Juice!$C14,Data_Base[Distributor Name],Juice!$F$1,Data_Base[month],Juice!$N$1)</f>
        <v>0</v>
      </c>
      <c r="Q14" s="132">
        <f ca="1">SUMIFS(Data_Base[Sale],Data_Base[Billing_Group],Juice!$C14,Data_Base[Distributor Name],Juice!$F$1,Data_Base[month],Juice!$N$1)</f>
        <v>0</v>
      </c>
      <c r="R14" s="120">
        <f ca="1">SUMIFS(Data_Base[Closing],Data_Base[Billing_Group],Juice!$C14,Data_Base[Distributor Name],Juice!$F$1,Data_Base[month],Juice!$N$1)</f>
        <v>0</v>
      </c>
    </row>
    <row r="15" spans="1:18" ht="25.5" customHeight="1" thickBot="1">
      <c r="A15" s="11" t="str">
        <f t="shared" si="0"/>
        <v>Juices</v>
      </c>
      <c r="B15" s="11" t="str">
        <f t="shared" si="1"/>
        <v>PET BOTTLE Treat Pet Bottle - Mango 600 ML 600 x 24</v>
      </c>
      <c r="C15" s="58">
        <v>113</v>
      </c>
      <c r="D15" s="289" t="s">
        <v>18</v>
      </c>
      <c r="E15" s="304" t="s">
        <v>812</v>
      </c>
      <c r="F15" s="291" t="s">
        <v>937</v>
      </c>
      <c r="G15" s="147" t="s">
        <v>34</v>
      </c>
      <c r="H15" s="145" t="s">
        <v>35</v>
      </c>
      <c r="I15" s="136">
        <f>SUMIFS(Target[Target],Target[SS 2],$F$1,Target[DB 2],$J$1,Target[Cat.2],$C15,Target[Month],$N$1)</f>
        <v>0</v>
      </c>
      <c r="J15" s="117">
        <f ca="1">SUMIFS(Data_Base[Opening],Data_Base[Billing_Group],Juice!$C15,Data_Base[Distributor Name],Juice!$F$1,Data_Base[month],Juice!$N$1)</f>
        <v>0</v>
      </c>
      <c r="K15" s="117">
        <f ca="1">SUMIFS(Data_Base[Receive],Data_Base[Billing_Group],Juice!$C15,Data_Base[Distributor Name],Juice!$F$1,Data_Base[month],Juice!$N$1)</f>
        <v>0</v>
      </c>
      <c r="L15" s="117">
        <f ca="1">SUMIFS(Data_Base[Total],Data_Base[Billing_Group],Juice!$C15,Data_Base[Distributor Name],Juice!$F$1,Data_Base[month],Juice!$N$1)</f>
        <v>0</v>
      </c>
      <c r="M15" s="117">
        <f ca="1">SUMIFS(Data_Base[Sale],Data_Base[Billing_Group],Juice!$C15,Data_Base[Distributor Name],Juice!$F$1,Data_Base[month],Juice!$N$1)</f>
        <v>0</v>
      </c>
      <c r="N15" s="128">
        <f ca="1">SUMIFS(Data_Base[Closing],Data_Base[Billing_Group],Juice!$C15,Data_Base[Distributor Name],Juice!$F$1,Data_Base[month],Juice!$N$1)</f>
        <v>0</v>
      </c>
      <c r="O15" s="132">
        <f ca="1">SUMIFS(Data_Base[Receive],Data_Base[Billing_Group],Juice!$C15,Data_Base[Distributor Name],Juice!$F$1,Data_Base[month],Juice!$N$1)</f>
        <v>0</v>
      </c>
      <c r="P15" s="120">
        <f ca="1">SUMIFS(Data_Base[Total],Data_Base[Billing_Group],Juice!$C15,Data_Base[Distributor Name],Juice!$F$1,Data_Base[month],Juice!$N$1)</f>
        <v>0</v>
      </c>
      <c r="Q15" s="132">
        <f ca="1">SUMIFS(Data_Base[Sale],Data_Base[Billing_Group],Juice!$C15,Data_Base[Distributor Name],Juice!$F$1,Data_Base[month],Juice!$N$1)</f>
        <v>0</v>
      </c>
      <c r="R15" s="120">
        <f ca="1">SUMIFS(Data_Base[Closing],Data_Base[Billing_Group],Juice!$C15,Data_Base[Distributor Name],Juice!$F$1,Data_Base[month],Juice!$N$1)</f>
        <v>0</v>
      </c>
    </row>
    <row r="16" spans="1:18" ht="25.5" customHeight="1" thickBot="1">
      <c r="A16" s="11" t="str">
        <f t="shared" si="0"/>
        <v>Juices</v>
      </c>
      <c r="B16" s="11" t="str">
        <f t="shared" si="1"/>
        <v>PET BOTTLE Treat Pet Bottle - Mango 1.2 L 1.2 x 12</v>
      </c>
      <c r="C16" s="58">
        <v>114</v>
      </c>
      <c r="D16" s="289" t="s">
        <v>18</v>
      </c>
      <c r="E16" s="304" t="s">
        <v>812</v>
      </c>
      <c r="F16" s="291" t="s">
        <v>937</v>
      </c>
      <c r="G16" s="143" t="s">
        <v>36</v>
      </c>
      <c r="H16" s="144" t="s">
        <v>37</v>
      </c>
      <c r="I16" s="137">
        <f>SUMIFS(Target[Target],Target[SS 2],$F$1,Target[DB 2],$J$1,Target[Cat.2],$C16,Target[Month],$N$1)</f>
        <v>0</v>
      </c>
      <c r="J16" s="122">
        <f ca="1">SUMIFS(Data_Base[Opening],Data_Base[Billing_Group],Juice!$C16,Data_Base[Distributor Name],Juice!$F$1,Data_Base[month],Juice!$N$1)</f>
        <v>0</v>
      </c>
      <c r="K16" s="122">
        <f ca="1">SUMIFS(Data_Base[Receive],Data_Base[Billing_Group],Juice!$C16,Data_Base[Distributor Name],Juice!$F$1,Data_Base[month],Juice!$N$1)</f>
        <v>0</v>
      </c>
      <c r="L16" s="122">
        <f ca="1">SUMIFS(Data_Base[Total],Data_Base[Billing_Group],Juice!$C16,Data_Base[Distributor Name],Juice!$F$1,Data_Base[month],Juice!$N$1)</f>
        <v>0</v>
      </c>
      <c r="M16" s="122">
        <f ca="1">SUMIFS(Data_Base[Sale],Data_Base[Billing_Group],Juice!$C16,Data_Base[Distributor Name],Juice!$F$1,Data_Base[month],Juice!$N$1)</f>
        <v>0</v>
      </c>
      <c r="N16" s="129">
        <f ca="1">SUMIFS(Data_Base[Closing],Data_Base[Billing_Group],Juice!$C16,Data_Base[Distributor Name],Juice!$F$1,Data_Base[month],Juice!$N$1)</f>
        <v>0</v>
      </c>
      <c r="O16" s="133">
        <f ca="1">SUMIFS(Data_Base[Receive],Data_Base[Billing_Group],Juice!$C16,Data_Base[Distributor Name],Juice!$F$1,Data_Base[month],Juice!$N$1)</f>
        <v>0</v>
      </c>
      <c r="P16" s="123">
        <f ca="1">SUMIFS(Data_Base[Total],Data_Base[Billing_Group],Juice!$C16,Data_Base[Distributor Name],Juice!$F$1,Data_Base[month],Juice!$N$1)</f>
        <v>0</v>
      </c>
      <c r="Q16" s="133">
        <f ca="1">SUMIFS(Data_Base[Sale],Data_Base[Billing_Group],Juice!$C16,Data_Base[Distributor Name],Juice!$F$1,Data_Base[month],Juice!$N$1)</f>
        <v>0</v>
      </c>
      <c r="R16" s="123">
        <f ca="1">SUMIFS(Data_Base[Closing],Data_Base[Billing_Group],Juice!$C16,Data_Base[Distributor Name],Juice!$F$1,Data_Base[month],Juice!$N$1)</f>
        <v>0</v>
      </c>
    </row>
    <row r="17" spans="1:18" ht="34.5" customHeight="1" thickBot="1">
      <c r="C17" s="58"/>
      <c r="D17" s="289"/>
      <c r="E17" s="251" t="s">
        <v>38</v>
      </c>
      <c r="F17" s="252"/>
      <c r="G17" s="252"/>
      <c r="H17" s="140"/>
      <c r="I17" s="71">
        <f t="shared" ref="I17" si="2">SUM(I5:I16)</f>
        <v>0</v>
      </c>
      <c r="J17" s="71">
        <f t="shared" ref="J17:R17" ca="1" si="3">SUM(J5:J16)</f>
        <v>0</v>
      </c>
      <c r="K17" s="71">
        <f t="shared" ca="1" si="3"/>
        <v>0</v>
      </c>
      <c r="L17" s="71">
        <f t="shared" ca="1" si="3"/>
        <v>0</v>
      </c>
      <c r="M17" s="71">
        <f t="shared" ca="1" si="3"/>
        <v>0</v>
      </c>
      <c r="N17" s="71">
        <f t="shared" ca="1" si="3"/>
        <v>0</v>
      </c>
      <c r="O17" s="71">
        <f t="shared" ca="1" si="3"/>
        <v>0</v>
      </c>
      <c r="P17" s="71">
        <f t="shared" ca="1" si="3"/>
        <v>0</v>
      </c>
      <c r="Q17" s="71">
        <f t="shared" ca="1" si="3"/>
        <v>0</v>
      </c>
      <c r="R17" s="71">
        <f t="shared" ca="1" si="3"/>
        <v>0</v>
      </c>
    </row>
    <row r="18" spans="1:18" ht="26.25" customHeight="1" thickBot="1">
      <c r="A18" s="11" t="str">
        <f t="shared" si="0"/>
        <v>Cake</v>
      </c>
      <c r="B18" s="11" t="str">
        <f t="shared" si="1"/>
        <v>Magic Cake ₹ 20/- 75 x 168</v>
      </c>
      <c r="C18" s="58">
        <v>123</v>
      </c>
      <c r="D18" s="295" t="s">
        <v>816</v>
      </c>
      <c r="E18" s="293" t="s">
        <v>42</v>
      </c>
      <c r="F18" s="294"/>
      <c r="G18" s="141" t="s">
        <v>43</v>
      </c>
      <c r="H18" s="142" t="s">
        <v>925</v>
      </c>
      <c r="I18" s="135">
        <f>SUMIFS(Target[Target],Target[SS 2],$F$1,Target[DB 2],$J$1,Target[Cat.2],$C18,Target[Month],$N$1)</f>
        <v>0</v>
      </c>
      <c r="J18" s="118">
        <f ca="1">SUMIFS(Data_Base[Opening],Data_Base[Billing_Group],Juice!$C18,Data_Base[Distributor Name],Juice!$F$1,Data_Base[month],Juice!$N$1)</f>
        <v>0</v>
      </c>
      <c r="K18" s="118">
        <f ca="1">SUMIFS(Data_Base[Receive],Data_Base[Billing_Group],Juice!$C18,Data_Base[Distributor Name],Juice!$F$1,Data_Base[month],Juice!$N$1)</f>
        <v>0</v>
      </c>
      <c r="L18" s="118">
        <f ca="1">SUMIFS(Data_Base[Total],Data_Base[Billing_Group],Juice!$C18,Data_Base[Distributor Name],Juice!$F$1,Data_Base[month],Juice!$N$1)</f>
        <v>0</v>
      </c>
      <c r="M18" s="118">
        <f ca="1">SUMIFS(Data_Base[Sale],Data_Base[Billing_Group],Juice!$C18,Data_Base[Distributor Name],Juice!$F$1,Data_Base[month],Juice!$N$1)</f>
        <v>0</v>
      </c>
      <c r="N18" s="127">
        <f ca="1">SUMIFS(Data_Base[Closing],Data_Base[Billing_Group],Juice!$C18,Data_Base[Distributor Name],Juice!$F$1,Data_Base[month],Juice!$N$1)</f>
        <v>0</v>
      </c>
      <c r="O18" s="131">
        <f ca="1">SUMIFS(Data_Base[Receive],Data_Base[Billing_Group],Juice!$C18,Data_Base[Distributor Name],Juice!$F$1,Data_Base[month],Juice!$N$1)</f>
        <v>0</v>
      </c>
      <c r="P18" s="119">
        <f ca="1">SUMIFS(Data_Base[Total],Data_Base[Billing_Group],Juice!$C18,Data_Base[Distributor Name],Juice!$F$1,Data_Base[month],Juice!$N$1)</f>
        <v>0</v>
      </c>
      <c r="Q18" s="131">
        <f ca="1">SUMIFS(Data_Base[Sale],Data_Base[Billing_Group],Juice!$C18,Data_Base[Distributor Name],Juice!$F$1,Data_Base[month],Juice!$N$1)</f>
        <v>0</v>
      </c>
      <c r="R18" s="119">
        <f ca="1">SUMIFS(Data_Base[Closing],Data_Base[Billing_Group],Juice!$C18,Data_Base[Distributor Name],Juice!$F$1,Data_Base[month],Juice!$N$1)</f>
        <v>0</v>
      </c>
    </row>
    <row r="19" spans="1:18" ht="26.25" customHeight="1" thickBot="1">
      <c r="A19" s="11" t="str">
        <f t="shared" si="0"/>
        <v>Cake</v>
      </c>
      <c r="B19" s="11" t="str">
        <f t="shared" si="1"/>
        <v>Magic Cake ₹ 40/- 150 x 84</v>
      </c>
      <c r="C19" s="58">
        <v>124</v>
      </c>
      <c r="D19" s="295" t="s">
        <v>816</v>
      </c>
      <c r="E19" s="293" t="s">
        <v>42</v>
      </c>
      <c r="F19" s="294"/>
      <c r="G19" s="143" t="s">
        <v>44</v>
      </c>
      <c r="H19" s="144" t="s">
        <v>926</v>
      </c>
      <c r="I19" s="137">
        <f>SUMIFS(Target[Target],Target[SS 2],$F$1,Target[DB 2],$J$1,Target[Cat.2],$C19,Target[Month],$N$1)</f>
        <v>0</v>
      </c>
      <c r="J19" s="122">
        <f ca="1">SUMIFS(Data_Base[Opening],Data_Base[Billing_Group],Juice!$C19,Data_Base[Distributor Name],Juice!$F$1,Data_Base[month],Juice!$N$1)</f>
        <v>0</v>
      </c>
      <c r="K19" s="122">
        <f ca="1">SUMIFS(Data_Base[Receive],Data_Base[Billing_Group],Juice!$C19,Data_Base[Distributor Name],Juice!$F$1,Data_Base[month],Juice!$N$1)</f>
        <v>0</v>
      </c>
      <c r="L19" s="122">
        <f ca="1">SUMIFS(Data_Base[Total],Data_Base[Billing_Group],Juice!$C19,Data_Base[Distributor Name],Juice!$F$1,Data_Base[month],Juice!$N$1)</f>
        <v>0</v>
      </c>
      <c r="M19" s="122">
        <f ca="1">SUMIFS(Data_Base[Sale],Data_Base[Billing_Group],Juice!$C19,Data_Base[Distributor Name],Juice!$F$1,Data_Base[month],Juice!$N$1)</f>
        <v>0</v>
      </c>
      <c r="N19" s="129">
        <f ca="1">SUMIFS(Data_Base[Closing],Data_Base[Billing_Group],Juice!$C19,Data_Base[Distributor Name],Juice!$F$1,Data_Base[month],Juice!$N$1)</f>
        <v>0</v>
      </c>
      <c r="O19" s="133">
        <f ca="1">SUMIFS(Data_Base[Receive],Data_Base[Billing_Group],Juice!$C19,Data_Base[Distributor Name],Juice!$F$1,Data_Base[month],Juice!$N$1)</f>
        <v>0</v>
      </c>
      <c r="P19" s="123">
        <f ca="1">SUMIFS(Data_Base[Total],Data_Base[Billing_Group],Juice!$C19,Data_Base[Distributor Name],Juice!$F$1,Data_Base[month],Juice!$N$1)</f>
        <v>0</v>
      </c>
      <c r="Q19" s="133">
        <f ca="1">SUMIFS(Data_Base[Sale],Data_Base[Billing_Group],Juice!$C19,Data_Base[Distributor Name],Juice!$F$1,Data_Base[month],Juice!$N$1)</f>
        <v>0</v>
      </c>
      <c r="R19" s="123">
        <f ca="1">SUMIFS(Data_Base[Closing],Data_Base[Billing_Group],Juice!$C19,Data_Base[Distributor Name],Juice!$F$1,Data_Base[month],Juice!$N$1)</f>
        <v>0</v>
      </c>
    </row>
    <row r="20" spans="1:18" ht="34.5" customHeight="1" thickBot="1">
      <c r="C20" s="58"/>
      <c r="D20" s="295"/>
      <c r="E20" s="251" t="s">
        <v>38</v>
      </c>
      <c r="F20" s="251"/>
      <c r="G20" s="252"/>
      <c r="H20" s="140"/>
      <c r="I20" s="71">
        <f t="shared" ref="I20:R20" si="4">SUM(I18:I19)</f>
        <v>0</v>
      </c>
      <c r="J20" s="71">
        <f t="shared" ca="1" si="4"/>
        <v>0</v>
      </c>
      <c r="K20" s="71">
        <f t="shared" ca="1" si="4"/>
        <v>0</v>
      </c>
      <c r="L20" s="71">
        <f t="shared" ca="1" si="4"/>
        <v>0</v>
      </c>
      <c r="M20" s="71">
        <f t="shared" ca="1" si="4"/>
        <v>0</v>
      </c>
      <c r="N20" s="71">
        <f t="shared" ca="1" si="4"/>
        <v>0</v>
      </c>
      <c r="O20" s="71">
        <f t="shared" ca="1" si="4"/>
        <v>0</v>
      </c>
      <c r="P20" s="71">
        <f t="shared" ca="1" si="4"/>
        <v>0</v>
      </c>
      <c r="Q20" s="71">
        <f t="shared" ca="1" si="4"/>
        <v>0</v>
      </c>
      <c r="R20" s="71">
        <f t="shared" ca="1" si="4"/>
        <v>0</v>
      </c>
    </row>
    <row r="21" spans="1:18" ht="23.25" customHeight="1" thickBot="1">
      <c r="A21" s="11" t="str">
        <f t="shared" si="0"/>
        <v>Noodle</v>
      </c>
      <c r="B21" s="11" t="str">
        <f t="shared" si="1"/>
        <v>TOM TOM ₹ 10/-</v>
      </c>
      <c r="C21" s="58">
        <v>200</v>
      </c>
      <c r="D21" s="296" t="s">
        <v>977</v>
      </c>
      <c r="E21" s="250" t="s">
        <v>979</v>
      </c>
      <c r="F21" s="260"/>
      <c r="G21" s="17" t="s">
        <v>50</v>
      </c>
      <c r="H21" s="113"/>
      <c r="I21" s="124">
        <f>SUMIFS(Target[Target],Target[SS 2],$F$1,Target[DB 2],$J$1,Target[Cat.2],$C21,Target[Month],$N$1)</f>
        <v>0</v>
      </c>
      <c r="J21" s="125">
        <f ca="1">SUMIFS(Data_Base[Opening],Data_Base[Billing_Group],Juice!$C21,Data_Base[Distributor Name],Juice!$F$1,Data_Base[month],Juice!$N$1,Data_Base[Fin. Year],#REF!)</f>
        <v>0</v>
      </c>
      <c r="K21" s="125">
        <f ca="1">SUMIFS(Data_Base[Receive],Data_Base[Billing_Group],Juice!$C21,Data_Base[Distributor Name],Juice!$F$1,Data_Base[month],Juice!$N$1,Data_Base[Fin. Year],#REF!)</f>
        <v>0</v>
      </c>
      <c r="L21" s="125">
        <f ca="1">SUMIFS(Data_Base[Total],Data_Base[Billing_Group],Juice!$C21,Data_Base[Distributor Name],Juice!$F$1,Data_Base[month],Juice!$N$1,Data_Base[Fin. Year],#REF!)</f>
        <v>0</v>
      </c>
      <c r="M21" s="125">
        <f ca="1">SUMIFS(Data_Base[Sale],Data_Base[Billing_Group],Juice!$C21,Data_Base[Distributor Name],Juice!$F$1,Data_Base[month],Juice!$N$1,Data_Base[Fin. Year],#REF!)</f>
        <v>0</v>
      </c>
      <c r="N21" s="130">
        <f ca="1">SUMIFS(Data_Base[Closing],Data_Base[Billing_Group],Juice!$C21,Data_Base[Distributor Name],Juice!$F$1,Data_Base[month],Juice!$N$1,Data_Base[Fin. Year],#REF!)</f>
        <v>0</v>
      </c>
      <c r="O21" s="134">
        <f ca="1">SUMIFS(Data_Base[Receive],Data_Base[Billing_Group],Juice!$C21,Data_Base[Distributor Name],Juice!$F$1,Data_Base[month],Juice!$N$1,Data_Base[Fin. Year],#REF!)</f>
        <v>0</v>
      </c>
      <c r="P21" s="126">
        <f ca="1">SUMIFS(Data_Base[Total],Data_Base[Billing_Group],Juice!$C21,Data_Base[Distributor Name],Juice!$F$1,Data_Base[month],Juice!$N$1,Data_Base[Fin. Year],#REF!)</f>
        <v>0</v>
      </c>
      <c r="Q21" s="134">
        <f ca="1">SUMIFS(Data_Base[Sale],Data_Base[Billing_Group],Juice!$C21,Data_Base[Distributor Name],Juice!$F$1,Data_Base[month],Juice!$N$1,Data_Base[Fin. Year],#REF!)</f>
        <v>0</v>
      </c>
      <c r="R21" s="126">
        <f ca="1">SUMIFS(Data_Base[Closing],Data_Base[Billing_Group],Juice!$C21,Data_Base[Distributor Name],Juice!$F$1,Data_Base[month],Juice!$N$1,Data_Base[Fin. Year],#REF!)</f>
        <v>0</v>
      </c>
    </row>
    <row r="22" spans="1:18" ht="34.5" customHeight="1" thickBot="1">
      <c r="C22" s="58"/>
      <c r="D22" s="296"/>
      <c r="E22" s="253" t="s">
        <v>38</v>
      </c>
      <c r="F22" s="253"/>
      <c r="G22" s="253"/>
      <c r="H22" s="153"/>
      <c r="I22" s="71">
        <f t="shared" ref="I22:R22" si="5">SUM(I21)</f>
        <v>0</v>
      </c>
      <c r="J22" s="71">
        <f t="shared" ca="1" si="5"/>
        <v>0</v>
      </c>
      <c r="K22" s="71">
        <f t="shared" ca="1" si="5"/>
        <v>0</v>
      </c>
      <c r="L22" s="71">
        <f t="shared" ca="1" si="5"/>
        <v>0</v>
      </c>
      <c r="M22" s="71">
        <f t="shared" ca="1" si="5"/>
        <v>0</v>
      </c>
      <c r="N22" s="71">
        <f t="shared" ca="1" si="5"/>
        <v>0</v>
      </c>
      <c r="O22" s="71">
        <f t="shared" ca="1" si="5"/>
        <v>0</v>
      </c>
      <c r="P22" s="71">
        <f t="shared" ca="1" si="5"/>
        <v>0</v>
      </c>
      <c r="Q22" s="71">
        <f t="shared" ca="1" si="5"/>
        <v>0</v>
      </c>
      <c r="R22" s="71">
        <f t="shared" ca="1" si="5"/>
        <v>0</v>
      </c>
    </row>
    <row r="23" spans="1:18" ht="26.25" customHeight="1" thickBot="1">
      <c r="A23" s="11" t="str">
        <f t="shared" si="0"/>
        <v>Chocolates &amp; Confectionery</v>
      </c>
      <c r="B23" s="11" t="str">
        <f t="shared" si="1"/>
        <v>Chocogold Fruit &amp; Nuts ₹ 20/- 24 x 8</v>
      </c>
      <c r="C23" s="58">
        <v>126</v>
      </c>
      <c r="D23" s="297" t="s">
        <v>45</v>
      </c>
      <c r="E23" s="249" t="s">
        <v>46</v>
      </c>
      <c r="F23" s="250"/>
      <c r="G23" s="157" t="s">
        <v>43</v>
      </c>
      <c r="H23" s="154" t="s">
        <v>47</v>
      </c>
      <c r="I23" s="135">
        <f>SUMIFS(Target[Target],Target[SS 2],$F$1,Target[DB 2],$J$1,Target[Cat.2],$C23,Target[Month],$N$1)</f>
        <v>0</v>
      </c>
      <c r="J23" s="118">
        <f ca="1">SUMIFS(Data_Base[Opening],Data_Base[Billing_Group],Juice!$C23,Data_Base[Distributor Name],Juice!$F$1,Data_Base[month],Juice!$N$1,Data_Base[Fin. Year],#REF!)</f>
        <v>0</v>
      </c>
      <c r="K23" s="118">
        <f ca="1">SUMIFS(Data_Base[Receive],Data_Base[Billing_Group],Juice!$C23,Data_Base[Distributor Name],Juice!$F$1,Data_Base[month],Juice!$N$1,Data_Base[Fin. Year],#REF!)</f>
        <v>0</v>
      </c>
      <c r="L23" s="118">
        <f ca="1">SUMIFS(Data_Base[Total],Data_Base[Billing_Group],Juice!$C23,Data_Base[Distributor Name],Juice!$F$1,Data_Base[month],Juice!$N$1,Data_Base[Fin. Year],#REF!)</f>
        <v>0</v>
      </c>
      <c r="M23" s="118">
        <f ca="1">SUMIFS(Data_Base[Sale],Data_Base[Billing_Group],Juice!$C23,Data_Base[Distributor Name],Juice!$F$1,Data_Base[month],Juice!$N$1,Data_Base[Fin. Year],#REF!)</f>
        <v>0</v>
      </c>
      <c r="N23" s="127">
        <f ca="1">SUMIFS(Data_Base[Closing],Data_Base[Billing_Group],Juice!$C23,Data_Base[Distributor Name],Juice!$F$1,Data_Base[month],Juice!$N$1,Data_Base[Fin. Year],#REF!)</f>
        <v>0</v>
      </c>
      <c r="O23" s="131">
        <f ca="1">SUMIFS(Data_Base[Receive],Data_Base[Billing_Group],Juice!$C23,Data_Base[Distributor Name],Juice!$F$1,Data_Base[month],Juice!$N$1,Data_Base[Fin. Year],#REF!)</f>
        <v>0</v>
      </c>
      <c r="P23" s="119">
        <f ca="1">SUMIFS(Data_Base[Total],Data_Base[Billing_Group],Juice!$C23,Data_Base[Distributor Name],Juice!$F$1,Data_Base[month],Juice!$N$1,Data_Base[Fin. Year],#REF!)</f>
        <v>0</v>
      </c>
      <c r="Q23" s="131">
        <f ca="1">SUMIFS(Data_Base[Sale],Data_Base[Billing_Group],Juice!$C23,Data_Base[Distributor Name],Juice!$F$1,Data_Base[month],Juice!$N$1,Data_Base[Fin. Year],#REF!)</f>
        <v>0</v>
      </c>
      <c r="R23" s="119">
        <f ca="1">SUMIFS(Data_Base[Closing],Data_Base[Billing_Group],Juice!$C23,Data_Base[Distributor Name],Juice!$F$1,Data_Base[month],Juice!$N$1,Data_Base[Fin. Year],#REF!)</f>
        <v>0</v>
      </c>
    </row>
    <row r="24" spans="1:18" ht="26.25" customHeight="1" thickBot="1">
      <c r="A24" s="11" t="str">
        <f t="shared" si="0"/>
        <v>Chocolates &amp; Confectionery</v>
      </c>
      <c r="B24" s="11" t="str">
        <f t="shared" si="1"/>
        <v>Chocogold ₹ 5/- 30 x 24</v>
      </c>
      <c r="C24" s="58">
        <v>127</v>
      </c>
      <c r="D24" s="297" t="s">
        <v>45</v>
      </c>
      <c r="E24" s="298" t="s">
        <v>48</v>
      </c>
      <c r="F24" s="292"/>
      <c r="G24" s="149" t="s">
        <v>41</v>
      </c>
      <c r="H24" s="150" t="s">
        <v>49</v>
      </c>
      <c r="I24" s="136">
        <f>SUMIFS(Target[Target],Target[SS 2],$F$1,Target[DB 2],$J$1,Target[Cat.2],$C24,Target[Month],$N$1)</f>
        <v>0</v>
      </c>
      <c r="J24" s="117">
        <f ca="1">SUMIFS(Data_Base[Opening],Data_Base[Billing_Group],Juice!$C24,Data_Base[Distributor Name],Juice!$F$1,Data_Base[month],Juice!$N$1,Data_Base[Fin. Year],#REF!)</f>
        <v>0</v>
      </c>
      <c r="K24" s="117">
        <f ca="1">SUMIFS(Data_Base[Receive],Data_Base[Billing_Group],Juice!$C24,Data_Base[Distributor Name],Juice!$F$1,Data_Base[month],Juice!$N$1,Data_Base[Fin. Year],#REF!)</f>
        <v>0</v>
      </c>
      <c r="L24" s="117">
        <f ca="1">SUMIFS(Data_Base[Total],Data_Base[Billing_Group],Juice!$C24,Data_Base[Distributor Name],Juice!$F$1,Data_Base[month],Juice!$N$1,Data_Base[Fin. Year],#REF!)</f>
        <v>0</v>
      </c>
      <c r="M24" s="117">
        <f ca="1">SUMIFS(Data_Base[Sale],Data_Base[Billing_Group],Juice!$C24,Data_Base[Distributor Name],Juice!$F$1,Data_Base[month],Juice!$N$1,Data_Base[Fin. Year],#REF!)</f>
        <v>0</v>
      </c>
      <c r="N24" s="128">
        <f ca="1">SUMIFS(Data_Base[Closing],Data_Base[Billing_Group],Juice!$C24,Data_Base[Distributor Name],Juice!$F$1,Data_Base[month],Juice!$N$1,Data_Base[Fin. Year],#REF!)</f>
        <v>0</v>
      </c>
      <c r="O24" s="132">
        <f ca="1">SUMIFS(Data_Base[Receive],Data_Base[Billing_Group],Juice!$C24,Data_Base[Distributor Name],Juice!$F$1,Data_Base[month],Juice!$N$1,Data_Base[Fin. Year],#REF!)</f>
        <v>0</v>
      </c>
      <c r="P24" s="120">
        <f ca="1">SUMIFS(Data_Base[Total],Data_Base[Billing_Group],Juice!$C24,Data_Base[Distributor Name],Juice!$F$1,Data_Base[month],Juice!$N$1,Data_Base[Fin. Year],#REF!)</f>
        <v>0</v>
      </c>
      <c r="Q24" s="132">
        <f ca="1">SUMIFS(Data_Base[Sale],Data_Base[Billing_Group],Juice!$C24,Data_Base[Distributor Name],Juice!$F$1,Data_Base[month],Juice!$N$1,Data_Base[Fin. Year],#REF!)</f>
        <v>0</v>
      </c>
      <c r="R24" s="120">
        <f ca="1">SUMIFS(Data_Base[Closing],Data_Base[Billing_Group],Juice!$C24,Data_Base[Distributor Name],Juice!$F$1,Data_Base[month],Juice!$N$1,Data_Base[Fin. Year],#REF!)</f>
        <v>0</v>
      </c>
    </row>
    <row r="25" spans="1:18" ht="26.25" customHeight="1" thickBot="1">
      <c r="A25" s="11" t="str">
        <f t="shared" si="0"/>
        <v>Chocolates &amp; Confectionery</v>
      </c>
      <c r="B25" s="11" t="str">
        <f t="shared" si="1"/>
        <v>Chocogold ₹ 10/- 24 x 12</v>
      </c>
      <c r="C25" s="58">
        <v>128</v>
      </c>
      <c r="D25" s="297" t="s">
        <v>45</v>
      </c>
      <c r="E25" s="298" t="s">
        <v>48</v>
      </c>
      <c r="F25" s="292"/>
      <c r="G25" s="151" t="s">
        <v>50</v>
      </c>
      <c r="H25" s="152" t="s">
        <v>51</v>
      </c>
      <c r="I25" s="136">
        <f>SUMIFS(Target[Target],Target[SS 2],$F$1,Target[DB 2],$J$1,Target[Cat.2],$C25,Target[Month],$N$1)</f>
        <v>0</v>
      </c>
      <c r="J25" s="117">
        <f ca="1">SUMIFS(Data_Base[Opening],Data_Base[Billing_Group],Juice!$C25,Data_Base[Distributor Name],Juice!$F$1,Data_Base[month],Juice!$N$1,Data_Base[Fin. Year],#REF!)</f>
        <v>0</v>
      </c>
      <c r="K25" s="117">
        <f ca="1">SUMIFS(Data_Base[Receive],Data_Base[Billing_Group],Juice!$C25,Data_Base[Distributor Name],Juice!$F$1,Data_Base[month],Juice!$N$1,Data_Base[Fin. Year],#REF!)</f>
        <v>0</v>
      </c>
      <c r="L25" s="117">
        <f ca="1">SUMIFS(Data_Base[Total],Data_Base[Billing_Group],Juice!$C25,Data_Base[Distributor Name],Juice!$F$1,Data_Base[month],Juice!$N$1,Data_Base[Fin. Year],#REF!)</f>
        <v>0</v>
      </c>
      <c r="M25" s="117">
        <f ca="1">SUMIFS(Data_Base[Sale],Data_Base[Billing_Group],Juice!$C25,Data_Base[Distributor Name],Juice!$F$1,Data_Base[month],Juice!$N$1,Data_Base[Fin. Year],#REF!)</f>
        <v>0</v>
      </c>
      <c r="N25" s="128">
        <f ca="1">SUMIFS(Data_Base[Closing],Data_Base[Billing_Group],Juice!$C25,Data_Base[Distributor Name],Juice!$F$1,Data_Base[month],Juice!$N$1,Data_Base[Fin. Year],#REF!)</f>
        <v>0</v>
      </c>
      <c r="O25" s="132">
        <f ca="1">SUMIFS(Data_Base[Receive],Data_Base[Billing_Group],Juice!$C25,Data_Base[Distributor Name],Juice!$F$1,Data_Base[month],Juice!$N$1,Data_Base[Fin. Year],#REF!)</f>
        <v>0</v>
      </c>
      <c r="P25" s="120">
        <f ca="1">SUMIFS(Data_Base[Total],Data_Base[Billing_Group],Juice!$C25,Data_Base[Distributor Name],Juice!$F$1,Data_Base[month],Juice!$N$1,Data_Base[Fin. Year],#REF!)</f>
        <v>0</v>
      </c>
      <c r="Q25" s="132">
        <f ca="1">SUMIFS(Data_Base[Sale],Data_Base[Billing_Group],Juice!$C25,Data_Base[Distributor Name],Juice!$F$1,Data_Base[month],Juice!$N$1,Data_Base[Fin. Year],#REF!)</f>
        <v>0</v>
      </c>
      <c r="R25" s="120">
        <f ca="1">SUMIFS(Data_Base[Closing],Data_Base[Billing_Group],Juice!$C25,Data_Base[Distributor Name],Juice!$F$1,Data_Base[month],Juice!$N$1,Data_Base[Fin. Year],#REF!)</f>
        <v>0</v>
      </c>
    </row>
    <row r="26" spans="1:18" ht="26.25" customHeight="1" thickBot="1">
      <c r="A26" s="11" t="str">
        <f t="shared" si="0"/>
        <v>Chocolates &amp; Confectionery</v>
      </c>
      <c r="B26" s="11" t="str">
        <f t="shared" si="1"/>
        <v>Snakker ₹ 2/- 150 x 9</v>
      </c>
      <c r="C26" s="58">
        <v>129</v>
      </c>
      <c r="D26" s="297" t="s">
        <v>45</v>
      </c>
      <c r="E26" s="293" t="s">
        <v>52</v>
      </c>
      <c r="F26" s="294"/>
      <c r="G26" s="141" t="s">
        <v>53</v>
      </c>
      <c r="H26" s="142" t="s">
        <v>927</v>
      </c>
      <c r="I26" s="136">
        <f>SUMIFS(Target[Target],Target[SS 2],$F$1,Target[DB 2],$J$1,Target[Cat.2],$C26,Target[Month],$N$1)</f>
        <v>0</v>
      </c>
      <c r="J26" s="117">
        <f ca="1">SUMIFS(Data_Base[Opening],Data_Base[Billing_Group],Juice!$C26,Data_Base[Distributor Name],Juice!$F$1,Data_Base[month],Juice!$N$1,Data_Base[Fin. Year],#REF!)</f>
        <v>0</v>
      </c>
      <c r="K26" s="117">
        <f ca="1">SUMIFS(Data_Base[Receive],Data_Base[Billing_Group],Juice!$C26,Data_Base[Distributor Name],Juice!$F$1,Data_Base[month],Juice!$N$1,Data_Base[Fin. Year],#REF!)</f>
        <v>0</v>
      </c>
      <c r="L26" s="117">
        <f ca="1">SUMIFS(Data_Base[Total],Data_Base[Billing_Group],Juice!$C26,Data_Base[Distributor Name],Juice!$F$1,Data_Base[month],Juice!$N$1,Data_Base[Fin. Year],#REF!)</f>
        <v>0</v>
      </c>
      <c r="M26" s="117">
        <f ca="1">SUMIFS(Data_Base[Sale],Data_Base[Billing_Group],Juice!$C26,Data_Base[Distributor Name],Juice!$F$1,Data_Base[month],Juice!$N$1,Data_Base[Fin. Year],#REF!)</f>
        <v>0</v>
      </c>
      <c r="N26" s="128">
        <f ca="1">SUMIFS(Data_Base[Closing],Data_Base[Billing_Group],Juice!$C26,Data_Base[Distributor Name],Juice!$F$1,Data_Base[month],Juice!$N$1,Data_Base[Fin. Year],#REF!)</f>
        <v>0</v>
      </c>
      <c r="O26" s="132">
        <f ca="1">SUMIFS(Data_Base[Receive],Data_Base[Billing_Group],Juice!$C26,Data_Base[Distributor Name],Juice!$F$1,Data_Base[month],Juice!$N$1,Data_Base[Fin. Year],#REF!)</f>
        <v>0</v>
      </c>
      <c r="P26" s="120">
        <f ca="1">SUMIFS(Data_Base[Total],Data_Base[Billing_Group],Juice!$C26,Data_Base[Distributor Name],Juice!$F$1,Data_Base[month],Juice!$N$1,Data_Base[Fin. Year],#REF!)</f>
        <v>0</v>
      </c>
      <c r="Q26" s="132">
        <f ca="1">SUMIFS(Data_Base[Sale],Data_Base[Billing_Group],Juice!$C26,Data_Base[Distributor Name],Juice!$F$1,Data_Base[month],Juice!$N$1,Data_Base[Fin. Year],#REF!)</f>
        <v>0</v>
      </c>
      <c r="R26" s="120">
        <f ca="1">SUMIFS(Data_Base[Closing],Data_Base[Billing_Group],Juice!$C26,Data_Base[Distributor Name],Juice!$F$1,Data_Base[month],Juice!$N$1,Data_Base[Fin. Year],#REF!)</f>
        <v>0</v>
      </c>
    </row>
    <row r="27" spans="1:18" ht="26.25" customHeight="1" thickBot="1">
      <c r="A27" s="11" t="str">
        <f t="shared" si="0"/>
        <v>Chocolates &amp; Confectionery</v>
      </c>
      <c r="B27" s="11" t="str">
        <f t="shared" si="1"/>
        <v>Snakker ₹ 5/- 30 x 24</v>
      </c>
      <c r="C27" s="58">
        <v>130</v>
      </c>
      <c r="D27" s="297" t="s">
        <v>45</v>
      </c>
      <c r="E27" s="293" t="s">
        <v>52</v>
      </c>
      <c r="F27" s="294"/>
      <c r="G27" s="143" t="s">
        <v>41</v>
      </c>
      <c r="H27" s="144" t="s">
        <v>49</v>
      </c>
      <c r="I27" s="136">
        <f>SUMIFS(Target[Target],Target[SS 2],$F$1,Target[DB 2],$J$1,Target[Cat.2],$C27,Target[Month],$N$1)</f>
        <v>0</v>
      </c>
      <c r="J27" s="117">
        <f ca="1">SUMIFS(Data_Base[Opening],Data_Base[Billing_Group],Juice!$C27,Data_Base[Distributor Name],Juice!$F$1,Data_Base[month],Juice!$N$1,Data_Base[Fin. Year],#REF!)</f>
        <v>0</v>
      </c>
      <c r="K27" s="117">
        <f ca="1">SUMIFS(Data_Base[Receive],Data_Base[Billing_Group],Juice!$C27,Data_Base[Distributor Name],Juice!$F$1,Data_Base[month],Juice!$N$1,Data_Base[Fin. Year],#REF!)</f>
        <v>0</v>
      </c>
      <c r="L27" s="117">
        <f ca="1">SUMIFS(Data_Base[Total],Data_Base[Billing_Group],Juice!$C27,Data_Base[Distributor Name],Juice!$F$1,Data_Base[month],Juice!$N$1,Data_Base[Fin. Year],#REF!)</f>
        <v>0</v>
      </c>
      <c r="M27" s="117">
        <f ca="1">SUMIFS(Data_Base[Sale],Data_Base[Billing_Group],Juice!$C27,Data_Base[Distributor Name],Juice!$F$1,Data_Base[month],Juice!$N$1,Data_Base[Fin. Year],#REF!)</f>
        <v>0</v>
      </c>
      <c r="N27" s="128">
        <f ca="1">SUMIFS(Data_Base[Closing],Data_Base[Billing_Group],Juice!$C27,Data_Base[Distributor Name],Juice!$F$1,Data_Base[month],Juice!$N$1,Data_Base[Fin. Year],#REF!)</f>
        <v>0</v>
      </c>
      <c r="O27" s="132">
        <f ca="1">SUMIFS(Data_Base[Receive],Data_Base[Billing_Group],Juice!$C27,Data_Base[Distributor Name],Juice!$F$1,Data_Base[month],Juice!$N$1,Data_Base[Fin. Year],#REF!)</f>
        <v>0</v>
      </c>
      <c r="P27" s="120">
        <f ca="1">SUMIFS(Data_Base[Total],Data_Base[Billing_Group],Juice!$C27,Data_Base[Distributor Name],Juice!$F$1,Data_Base[month],Juice!$N$1,Data_Base[Fin. Year],#REF!)</f>
        <v>0</v>
      </c>
      <c r="Q27" s="132">
        <f ca="1">SUMIFS(Data_Base[Sale],Data_Base[Billing_Group],Juice!$C27,Data_Base[Distributor Name],Juice!$F$1,Data_Base[month],Juice!$N$1,Data_Base[Fin. Year],#REF!)</f>
        <v>0</v>
      </c>
      <c r="R27" s="120">
        <f ca="1">SUMIFS(Data_Base[Closing],Data_Base[Billing_Group],Juice!$C27,Data_Base[Distributor Name],Juice!$F$1,Data_Base[month],Juice!$N$1,Data_Base[Fin. Year],#REF!)</f>
        <v>0</v>
      </c>
    </row>
    <row r="28" spans="1:18" ht="26.25" customHeight="1" thickBot="1">
      <c r="A28" s="11" t="str">
        <f t="shared" si="0"/>
        <v>Chocolates &amp; Confectionery</v>
      </c>
      <c r="B28" s="11" t="str">
        <f t="shared" si="1"/>
        <v>HUNK ₹ 5/- 30 x 24</v>
      </c>
      <c r="C28" s="58">
        <v>131</v>
      </c>
      <c r="D28" s="297" t="s">
        <v>45</v>
      </c>
      <c r="E28" s="299" t="s">
        <v>54</v>
      </c>
      <c r="F28" s="290"/>
      <c r="G28" s="158" t="s">
        <v>41</v>
      </c>
      <c r="H28" s="159" t="s">
        <v>49</v>
      </c>
      <c r="I28" s="136">
        <f>SUMIFS(Target[Target],Target[SS 2],$F$1,Target[DB 2],$J$1,Target[Cat.2],$C28,Target[Month],$N$1)</f>
        <v>0</v>
      </c>
      <c r="J28" s="117">
        <f ca="1">SUMIFS(Data_Base[Opening],Data_Base[Billing_Group],Juice!$C28,Data_Base[Distributor Name],Juice!$F$1,Data_Base[month],Juice!$N$1,Data_Base[Fin. Year],#REF!)</f>
        <v>0</v>
      </c>
      <c r="K28" s="117">
        <f ca="1">SUMIFS(Data_Base[Receive],Data_Base[Billing_Group],Juice!$C28,Data_Base[Distributor Name],Juice!$F$1,Data_Base[month],Juice!$N$1,Data_Base[Fin. Year],#REF!)</f>
        <v>0</v>
      </c>
      <c r="L28" s="117">
        <f ca="1">SUMIFS(Data_Base[Total],Data_Base[Billing_Group],Juice!$C28,Data_Base[Distributor Name],Juice!$F$1,Data_Base[month],Juice!$N$1,Data_Base[Fin. Year],#REF!)</f>
        <v>0</v>
      </c>
      <c r="M28" s="117">
        <f ca="1">SUMIFS(Data_Base[Sale],Data_Base[Billing_Group],Juice!$C28,Data_Base[Distributor Name],Juice!$F$1,Data_Base[month],Juice!$N$1,Data_Base[Fin. Year],#REF!)</f>
        <v>0</v>
      </c>
      <c r="N28" s="128">
        <f ca="1">SUMIFS(Data_Base[Closing],Data_Base[Billing_Group],Juice!$C28,Data_Base[Distributor Name],Juice!$F$1,Data_Base[month],Juice!$N$1,Data_Base[Fin. Year],#REF!)</f>
        <v>0</v>
      </c>
      <c r="O28" s="132">
        <f ca="1">SUMIFS(Data_Base[Receive],Data_Base[Billing_Group],Juice!$C28,Data_Base[Distributor Name],Juice!$F$1,Data_Base[month],Juice!$N$1,Data_Base[Fin. Year],#REF!)</f>
        <v>0</v>
      </c>
      <c r="P28" s="120">
        <f ca="1">SUMIFS(Data_Base[Total],Data_Base[Billing_Group],Juice!$C28,Data_Base[Distributor Name],Juice!$F$1,Data_Base[month],Juice!$N$1,Data_Base[Fin. Year],#REF!)</f>
        <v>0</v>
      </c>
      <c r="Q28" s="132">
        <f ca="1">SUMIFS(Data_Base[Sale],Data_Base[Billing_Group],Juice!$C28,Data_Base[Distributor Name],Juice!$F$1,Data_Base[month],Juice!$N$1,Data_Base[Fin. Year],#REF!)</f>
        <v>0</v>
      </c>
      <c r="R28" s="120">
        <f ca="1">SUMIFS(Data_Base[Closing],Data_Base[Billing_Group],Juice!$C28,Data_Base[Distributor Name],Juice!$F$1,Data_Base[month],Juice!$N$1,Data_Base[Fin. Year],#REF!)</f>
        <v>0</v>
      </c>
    </row>
    <row r="29" spans="1:18" ht="26.25" customHeight="1" thickBot="1">
      <c r="A29" s="11" t="str">
        <f t="shared" si="0"/>
        <v>Chocolates &amp; Confectionery</v>
      </c>
      <c r="B29" s="11" t="str">
        <f t="shared" si="1"/>
        <v>Snip Snap ₹ 10/-</v>
      </c>
      <c r="C29" s="58"/>
      <c r="D29" s="297" t="s">
        <v>45</v>
      </c>
      <c r="E29" s="293" t="s">
        <v>55</v>
      </c>
      <c r="F29" s="294"/>
      <c r="G29" s="141" t="s">
        <v>50</v>
      </c>
      <c r="H29" s="155"/>
      <c r="I29" s="136">
        <f>SUMIFS(Target[Target],Target[SS 2],$F$1,Target[DB 2],$J$1,Target[Cat.2],$C29,Target[Month],$N$1)</f>
        <v>0</v>
      </c>
      <c r="J29" s="117">
        <f ca="1">SUMIFS(Data_Base[Opening],Data_Base[Billing_Group],Juice!$C29,Data_Base[Distributor Name],Juice!$F$1,Data_Base[month],Juice!$N$1,Data_Base[Fin. Year],#REF!)</f>
        <v>0</v>
      </c>
      <c r="K29" s="117">
        <f ca="1">SUMIFS(Data_Base[Receive],Data_Base[Billing_Group],Juice!$C29,Data_Base[Distributor Name],Juice!$F$1,Data_Base[month],Juice!$N$1,Data_Base[Fin. Year],#REF!)</f>
        <v>0</v>
      </c>
      <c r="L29" s="117">
        <f ca="1">SUMIFS(Data_Base[Total],Data_Base[Billing_Group],Juice!$C29,Data_Base[Distributor Name],Juice!$F$1,Data_Base[month],Juice!$N$1,Data_Base[Fin. Year],#REF!)</f>
        <v>0</v>
      </c>
      <c r="M29" s="117">
        <f ca="1">SUMIFS(Data_Base[Sale],Data_Base[Billing_Group],Juice!$C29,Data_Base[Distributor Name],Juice!$F$1,Data_Base[month],Juice!$N$1,Data_Base[Fin. Year],#REF!)</f>
        <v>0</v>
      </c>
      <c r="N29" s="128">
        <f ca="1">SUMIFS(Data_Base[Closing],Data_Base[Billing_Group],Juice!$C29,Data_Base[Distributor Name],Juice!$F$1,Data_Base[month],Juice!$N$1,Data_Base[Fin. Year],#REF!)</f>
        <v>0</v>
      </c>
      <c r="O29" s="132">
        <f ca="1">SUMIFS(Data_Base[Receive],Data_Base[Billing_Group],Juice!$C29,Data_Base[Distributor Name],Juice!$F$1,Data_Base[month],Juice!$N$1,Data_Base[Fin. Year],#REF!)</f>
        <v>0</v>
      </c>
      <c r="P29" s="120">
        <f ca="1">SUMIFS(Data_Base[Total],Data_Base[Billing_Group],Juice!$C29,Data_Base[Distributor Name],Juice!$F$1,Data_Base[month],Juice!$N$1,Data_Base[Fin. Year],#REF!)</f>
        <v>0</v>
      </c>
      <c r="Q29" s="132">
        <f ca="1">SUMIFS(Data_Base[Sale],Data_Base[Billing_Group],Juice!$C29,Data_Base[Distributor Name],Juice!$F$1,Data_Base[month],Juice!$N$1,Data_Base[Fin. Year],#REF!)</f>
        <v>0</v>
      </c>
      <c r="R29" s="120">
        <f ca="1">SUMIFS(Data_Base[Closing],Data_Base[Billing_Group],Juice!$C29,Data_Base[Distributor Name],Juice!$F$1,Data_Base[month],Juice!$N$1,Data_Base[Fin. Year],#REF!)</f>
        <v>0</v>
      </c>
    </row>
    <row r="30" spans="1:18" ht="26.25" customHeight="1" thickBot="1">
      <c r="A30" s="11" t="str">
        <f t="shared" si="0"/>
        <v>Chocolates &amp; Confectionery</v>
      </c>
      <c r="B30" s="11" t="str">
        <f t="shared" si="1"/>
        <v>Snip Snap ₹ 20/-</v>
      </c>
      <c r="C30" s="58"/>
      <c r="D30" s="297" t="s">
        <v>45</v>
      </c>
      <c r="E30" s="293" t="s">
        <v>55</v>
      </c>
      <c r="F30" s="294"/>
      <c r="G30" s="143" t="s">
        <v>43</v>
      </c>
      <c r="H30" s="156"/>
      <c r="I30" s="136">
        <f>SUMIFS(Target[Target],Target[SS 2],$F$1,Target[DB 2],$J$1,Target[Cat.2],$C30,Target[Month],$N$1)</f>
        <v>0</v>
      </c>
      <c r="J30" s="117">
        <f ca="1">SUMIFS(Data_Base[Opening],Data_Base[Billing_Group],Juice!$C30,Data_Base[Distributor Name],Juice!$F$1,Data_Base[month],Juice!$N$1,Data_Base[Fin. Year],#REF!)</f>
        <v>0</v>
      </c>
      <c r="K30" s="117">
        <f ca="1">SUMIFS(Data_Base[Receive],Data_Base[Billing_Group],Juice!$C30,Data_Base[Distributor Name],Juice!$F$1,Data_Base[month],Juice!$N$1,Data_Base[Fin. Year],#REF!)</f>
        <v>0</v>
      </c>
      <c r="L30" s="117">
        <f ca="1">SUMIFS(Data_Base[Total],Data_Base[Billing_Group],Juice!$C30,Data_Base[Distributor Name],Juice!$F$1,Data_Base[month],Juice!$N$1,Data_Base[Fin. Year],#REF!)</f>
        <v>0</v>
      </c>
      <c r="M30" s="117">
        <f ca="1">SUMIFS(Data_Base[Sale],Data_Base[Billing_Group],Juice!$C30,Data_Base[Distributor Name],Juice!$F$1,Data_Base[month],Juice!$N$1,Data_Base[Fin. Year],#REF!)</f>
        <v>0</v>
      </c>
      <c r="N30" s="128">
        <f ca="1">SUMIFS(Data_Base[Closing],Data_Base[Billing_Group],Juice!$C30,Data_Base[Distributor Name],Juice!$F$1,Data_Base[month],Juice!$N$1,Data_Base[Fin. Year],#REF!)</f>
        <v>0</v>
      </c>
      <c r="O30" s="132">
        <f ca="1">SUMIFS(Data_Base[Receive],Data_Base[Billing_Group],Juice!$C30,Data_Base[Distributor Name],Juice!$F$1,Data_Base[month],Juice!$N$1,Data_Base[Fin. Year],#REF!)</f>
        <v>0</v>
      </c>
      <c r="P30" s="120">
        <f ca="1">SUMIFS(Data_Base[Total],Data_Base[Billing_Group],Juice!$C30,Data_Base[Distributor Name],Juice!$F$1,Data_Base[month],Juice!$N$1,Data_Base[Fin. Year],#REF!)</f>
        <v>0</v>
      </c>
      <c r="Q30" s="132">
        <f ca="1">SUMIFS(Data_Base[Sale],Data_Base[Billing_Group],Juice!$C30,Data_Base[Distributor Name],Juice!$F$1,Data_Base[month],Juice!$N$1,Data_Base[Fin. Year],#REF!)</f>
        <v>0</v>
      </c>
      <c r="R30" s="120">
        <f ca="1">SUMIFS(Data_Base[Closing],Data_Base[Billing_Group],Juice!$C30,Data_Base[Distributor Name],Juice!$F$1,Data_Base[month],Juice!$N$1,Data_Base[Fin. Year],#REF!)</f>
        <v>0</v>
      </c>
    </row>
    <row r="31" spans="1:18" ht="26.25" customHeight="1" thickBot="1">
      <c r="A31" s="11" t="str">
        <f t="shared" si="0"/>
        <v>Chocolates &amp; Confectionery</v>
      </c>
      <c r="B31" s="11" t="str">
        <f t="shared" si="1"/>
        <v>Kickker Straw. 24 x 24</v>
      </c>
      <c r="C31" s="58"/>
      <c r="D31" s="297" t="s">
        <v>45</v>
      </c>
      <c r="E31" s="290" t="s">
        <v>904</v>
      </c>
      <c r="F31" s="300"/>
      <c r="G31" s="149" t="s">
        <v>905</v>
      </c>
      <c r="H31" s="160" t="s">
        <v>58</v>
      </c>
      <c r="I31" s="136">
        <f>SUMIFS(Target[Target],Target[SS 2],$F$1,Target[DB 2],$J$1,Target[Cat.2],$C31,Target[Month],$N$1)</f>
        <v>0</v>
      </c>
      <c r="J31" s="117">
        <f ca="1">SUMIFS(Data_Base[Opening],Data_Base[Billing_Group],Juice!$C31,Data_Base[Distributor Name],Juice!$F$1,Data_Base[month],Juice!$N$1,Data_Base[Fin. Year],#REF!)</f>
        <v>0</v>
      </c>
      <c r="K31" s="117">
        <f ca="1">SUMIFS(Data_Base[Receive],Data_Base[Billing_Group],Juice!$C31,Data_Base[Distributor Name],Juice!$F$1,Data_Base[month],Juice!$N$1,Data_Base[Fin. Year],#REF!)</f>
        <v>0</v>
      </c>
      <c r="L31" s="117">
        <f ca="1">SUMIFS(Data_Base[Total],Data_Base[Billing_Group],Juice!$C31,Data_Base[Distributor Name],Juice!$F$1,Data_Base[month],Juice!$N$1,Data_Base[Fin. Year],#REF!)</f>
        <v>0</v>
      </c>
      <c r="M31" s="117">
        <f ca="1">SUMIFS(Data_Base[Sale],Data_Base[Billing_Group],Juice!$C31,Data_Base[Distributor Name],Juice!$F$1,Data_Base[month],Juice!$N$1,Data_Base[Fin. Year],#REF!)</f>
        <v>0</v>
      </c>
      <c r="N31" s="128">
        <f ca="1">SUMIFS(Data_Base[Closing],Data_Base[Billing_Group],Juice!$C31,Data_Base[Distributor Name],Juice!$F$1,Data_Base[month],Juice!$N$1,Data_Base[Fin. Year],#REF!)</f>
        <v>0</v>
      </c>
      <c r="O31" s="132">
        <f ca="1">SUMIFS(Data_Base[Receive],Data_Base[Billing_Group],Juice!$C31,Data_Base[Distributor Name],Juice!$F$1,Data_Base[month],Juice!$N$1,Data_Base[Fin. Year],#REF!)</f>
        <v>0</v>
      </c>
      <c r="P31" s="120">
        <f ca="1">SUMIFS(Data_Base[Total],Data_Base[Billing_Group],Juice!$C31,Data_Base[Distributor Name],Juice!$F$1,Data_Base[month],Juice!$N$1,Data_Base[Fin. Year],#REF!)</f>
        <v>0</v>
      </c>
      <c r="Q31" s="132">
        <f ca="1">SUMIFS(Data_Base[Sale],Data_Base[Billing_Group],Juice!$C31,Data_Base[Distributor Name],Juice!$F$1,Data_Base[month],Juice!$N$1,Data_Base[Fin. Year],#REF!)</f>
        <v>0</v>
      </c>
      <c r="R31" s="120">
        <f ca="1">SUMIFS(Data_Base[Closing],Data_Base[Billing_Group],Juice!$C31,Data_Base[Distributor Name],Juice!$F$1,Data_Base[month],Juice!$N$1,Data_Base[Fin. Year],#REF!)</f>
        <v>0</v>
      </c>
    </row>
    <row r="32" spans="1:18" ht="26.25" customHeight="1" thickBot="1">
      <c r="A32" s="11" t="str">
        <f t="shared" si="0"/>
        <v>Chocolates &amp; Confectionery</v>
      </c>
      <c r="B32" s="11" t="str">
        <f t="shared" si="1"/>
        <v>Kickker Choco 24 x 24</v>
      </c>
      <c r="C32" s="58"/>
      <c r="D32" s="297" t="s">
        <v>45</v>
      </c>
      <c r="E32" s="290" t="s">
        <v>904</v>
      </c>
      <c r="F32" s="300"/>
      <c r="G32" s="147" t="s">
        <v>57</v>
      </c>
      <c r="H32" s="161" t="s">
        <v>58</v>
      </c>
      <c r="I32" s="136">
        <f>SUMIFS(Target[Target],Target[SS 2],$F$1,Target[DB 2],$J$1,Target[Cat.2],$C32,Target[Month],$N$1)</f>
        <v>0</v>
      </c>
      <c r="J32" s="117"/>
      <c r="K32" s="117"/>
      <c r="L32" s="117"/>
      <c r="M32" s="117"/>
      <c r="N32" s="128"/>
      <c r="O32" s="132"/>
      <c r="P32" s="120"/>
      <c r="Q32" s="132"/>
      <c r="R32" s="120"/>
    </row>
    <row r="33" spans="1:18" ht="26.25" customHeight="1" thickBot="1">
      <c r="A33" s="11" t="str">
        <f t="shared" si="0"/>
        <v>Chocolates &amp; Confectionery</v>
      </c>
      <c r="B33" s="11" t="str">
        <f t="shared" si="1"/>
        <v>Kickker Orange 24 x 24</v>
      </c>
      <c r="C33" s="58"/>
      <c r="D33" s="297" t="s">
        <v>45</v>
      </c>
      <c r="E33" s="290" t="s">
        <v>904</v>
      </c>
      <c r="F33" s="300"/>
      <c r="G33" s="151" t="s">
        <v>23</v>
      </c>
      <c r="H33" s="162" t="s">
        <v>58</v>
      </c>
      <c r="I33" s="136">
        <f>SUMIFS(Target[Target],Target[SS 2],$F$1,Target[DB 2],$J$1,Target[Cat.2],$C33,Target[Month],$N$1)</f>
        <v>0</v>
      </c>
      <c r="J33" s="117">
        <f ca="1">SUMIFS(Data_Base[Opening],Data_Base[Billing_Group],Juice!$C33,Data_Base[Distributor Name],Juice!$F$1,Data_Base[month],Juice!$N$1,Data_Base[Fin. Year],#REF!)</f>
        <v>0</v>
      </c>
      <c r="K33" s="117">
        <f ca="1">SUMIFS(Data_Base[Receive],Data_Base[Billing_Group],Juice!$C33,Data_Base[Distributor Name],Juice!$F$1,Data_Base[month],Juice!$N$1,Data_Base[Fin. Year],#REF!)</f>
        <v>0</v>
      </c>
      <c r="L33" s="117">
        <f ca="1">SUMIFS(Data_Base[Total],Data_Base[Billing_Group],Juice!$C33,Data_Base[Distributor Name],Juice!$F$1,Data_Base[month],Juice!$N$1,Data_Base[Fin. Year],#REF!)</f>
        <v>0</v>
      </c>
      <c r="M33" s="117">
        <f ca="1">SUMIFS(Data_Base[Sale],Data_Base[Billing_Group],Juice!$C33,Data_Base[Distributor Name],Juice!$F$1,Data_Base[month],Juice!$N$1,Data_Base[Fin. Year],#REF!)</f>
        <v>0</v>
      </c>
      <c r="N33" s="128">
        <f ca="1">SUMIFS(Data_Base[Closing],Data_Base[Billing_Group],Juice!$C33,Data_Base[Distributor Name],Juice!$F$1,Data_Base[month],Juice!$N$1,Data_Base[Fin. Year],#REF!)</f>
        <v>0</v>
      </c>
      <c r="O33" s="132">
        <f ca="1">SUMIFS(Data_Base[Receive],Data_Base[Billing_Group],Juice!$C33,Data_Base[Distributor Name],Juice!$F$1,Data_Base[month],Juice!$N$1,Data_Base[Fin. Year],#REF!)</f>
        <v>0</v>
      </c>
      <c r="P33" s="120">
        <f ca="1">SUMIFS(Data_Base[Total],Data_Base[Billing_Group],Juice!$C33,Data_Base[Distributor Name],Juice!$F$1,Data_Base[month],Juice!$N$1,Data_Base[Fin. Year],#REF!)</f>
        <v>0</v>
      </c>
      <c r="Q33" s="132">
        <f ca="1">SUMIFS(Data_Base[Sale],Data_Base[Billing_Group],Juice!$C33,Data_Base[Distributor Name],Juice!$F$1,Data_Base[month],Juice!$N$1,Data_Base[Fin. Year],#REF!)</f>
        <v>0</v>
      </c>
      <c r="R33" s="120">
        <f ca="1">SUMIFS(Data_Base[Closing],Data_Base[Billing_Group],Juice!$C33,Data_Base[Distributor Name],Juice!$F$1,Data_Base[month],Juice!$N$1,Data_Base[Fin. Year],#REF!)</f>
        <v>0</v>
      </c>
    </row>
    <row r="34" spans="1:18" ht="26.25" customHeight="1" thickBot="1">
      <c r="A34" s="11" t="str">
        <f t="shared" si="0"/>
        <v>Chocolates &amp; Confectionery</v>
      </c>
      <c r="B34" s="11" t="str">
        <f t="shared" si="1"/>
        <v>Partner Choco 30 x 12</v>
      </c>
      <c r="C34" s="58">
        <v>136</v>
      </c>
      <c r="D34" s="297" t="s">
        <v>45</v>
      </c>
      <c r="E34" s="293" t="s">
        <v>56</v>
      </c>
      <c r="F34" s="294"/>
      <c r="G34" s="163" t="s">
        <v>57</v>
      </c>
      <c r="H34" s="142" t="s">
        <v>987</v>
      </c>
      <c r="I34" s="136">
        <f>SUMIFS(Target[Target],Target[SS 2],$F$1,Target[DB 2],$J$1,Target[Cat.2],$C34,Target[Month],$N$1)</f>
        <v>0</v>
      </c>
      <c r="J34" s="117">
        <f ca="1">SUMIFS(Data_Base[Opening],Data_Base[Billing_Group],Juice!$C34,Data_Base[Distributor Name],Juice!$F$1,Data_Base[month],Juice!$N$1,Data_Base[Fin. Year],#REF!)</f>
        <v>0</v>
      </c>
      <c r="K34" s="117">
        <f ca="1">SUMIFS(Data_Base[Receive],Data_Base[Billing_Group],Juice!$C34,Data_Base[Distributor Name],Juice!$F$1,Data_Base[month],Juice!$N$1,Data_Base[Fin. Year],#REF!)</f>
        <v>0</v>
      </c>
      <c r="L34" s="117">
        <f ca="1">SUMIFS(Data_Base[Total],Data_Base[Billing_Group],Juice!$C34,Data_Base[Distributor Name],Juice!$F$1,Data_Base[month],Juice!$N$1,Data_Base[Fin. Year],#REF!)</f>
        <v>0</v>
      </c>
      <c r="M34" s="117">
        <f ca="1">SUMIFS(Data_Base[Sale],Data_Base[Billing_Group],Juice!$C34,Data_Base[Distributor Name],Juice!$F$1,Data_Base[month],Juice!$N$1,Data_Base[Fin. Year],#REF!)</f>
        <v>0</v>
      </c>
      <c r="N34" s="128">
        <f ca="1">SUMIFS(Data_Base[Closing],Data_Base[Billing_Group],Juice!$C34,Data_Base[Distributor Name],Juice!$F$1,Data_Base[month],Juice!$N$1,Data_Base[Fin. Year],#REF!)</f>
        <v>0</v>
      </c>
      <c r="O34" s="132">
        <f ca="1">SUMIFS(Data_Base[Receive],Data_Base[Billing_Group],Juice!$C34,Data_Base[Distributor Name],Juice!$F$1,Data_Base[month],Juice!$N$1,Data_Base[Fin. Year],#REF!)</f>
        <v>0</v>
      </c>
      <c r="P34" s="120">
        <f ca="1">SUMIFS(Data_Base[Total],Data_Base[Billing_Group],Juice!$C34,Data_Base[Distributor Name],Juice!$F$1,Data_Base[month],Juice!$N$1,Data_Base[Fin. Year],#REF!)</f>
        <v>0</v>
      </c>
      <c r="Q34" s="132">
        <f ca="1">SUMIFS(Data_Base[Sale],Data_Base[Billing_Group],Juice!$C34,Data_Base[Distributor Name],Juice!$F$1,Data_Base[month],Juice!$N$1,Data_Base[Fin. Year],#REF!)</f>
        <v>0</v>
      </c>
      <c r="R34" s="120">
        <f ca="1">SUMIFS(Data_Base[Closing],Data_Base[Billing_Group],Juice!$C34,Data_Base[Distributor Name],Juice!$F$1,Data_Base[month],Juice!$N$1,Data_Base[Fin. Year],#REF!)</f>
        <v>0</v>
      </c>
    </row>
    <row r="35" spans="1:18" ht="26.25" customHeight="1" thickBot="1">
      <c r="A35" s="11" t="str">
        <f t="shared" si="0"/>
        <v>Chocolates &amp; Confectionery</v>
      </c>
      <c r="B35" s="11" t="str">
        <f t="shared" si="1"/>
        <v>Partner Orange 30 x 12</v>
      </c>
      <c r="C35" s="58">
        <v>137</v>
      </c>
      <c r="D35" s="297" t="s">
        <v>45</v>
      </c>
      <c r="E35" s="293" t="s">
        <v>56</v>
      </c>
      <c r="F35" s="294"/>
      <c r="G35" s="148" t="s">
        <v>23</v>
      </c>
      <c r="H35" s="145" t="s">
        <v>987</v>
      </c>
      <c r="I35" s="136">
        <f>SUMIFS(Target[Target],Target[SS 2],$F$1,Target[DB 2],$J$1,Target[Cat.2],$C35,Target[Month],$N$1)</f>
        <v>0</v>
      </c>
      <c r="J35" s="117">
        <f ca="1">SUMIFS(Data_Base[Opening],Data_Base[Billing_Group],Juice!$C35,Data_Base[Distributor Name],Juice!$F$1,Data_Base[month],Juice!$N$1,Data_Base[Fin. Year],#REF!)</f>
        <v>0</v>
      </c>
      <c r="K35" s="117">
        <f ca="1">SUMIFS(Data_Base[Receive],Data_Base[Billing_Group],Juice!$C35,Data_Base[Distributor Name],Juice!$F$1,Data_Base[month],Juice!$N$1,Data_Base[Fin. Year],#REF!)</f>
        <v>0</v>
      </c>
      <c r="L35" s="117">
        <f ca="1">SUMIFS(Data_Base[Total],Data_Base[Billing_Group],Juice!$C35,Data_Base[Distributor Name],Juice!$F$1,Data_Base[month],Juice!$N$1,Data_Base[Fin. Year],#REF!)</f>
        <v>0</v>
      </c>
      <c r="M35" s="117">
        <f ca="1">SUMIFS(Data_Base[Sale],Data_Base[Billing_Group],Juice!$C35,Data_Base[Distributor Name],Juice!$F$1,Data_Base[month],Juice!$N$1,Data_Base[Fin. Year],#REF!)</f>
        <v>0</v>
      </c>
      <c r="N35" s="128">
        <f ca="1">SUMIFS(Data_Base[Closing],Data_Base[Billing_Group],Juice!$C35,Data_Base[Distributor Name],Juice!$F$1,Data_Base[month],Juice!$N$1,Data_Base[Fin. Year],#REF!)</f>
        <v>0</v>
      </c>
      <c r="O35" s="132">
        <f ca="1">SUMIFS(Data_Base[Receive],Data_Base[Billing_Group],Juice!$C35,Data_Base[Distributor Name],Juice!$F$1,Data_Base[month],Juice!$N$1,Data_Base[Fin. Year],#REF!)</f>
        <v>0</v>
      </c>
      <c r="P35" s="120">
        <f ca="1">SUMIFS(Data_Base[Total],Data_Base[Billing_Group],Juice!$C35,Data_Base[Distributor Name],Juice!$F$1,Data_Base[month],Juice!$N$1,Data_Base[Fin. Year],#REF!)</f>
        <v>0</v>
      </c>
      <c r="Q35" s="132">
        <f ca="1">SUMIFS(Data_Base[Sale],Data_Base[Billing_Group],Juice!$C35,Data_Base[Distributor Name],Juice!$F$1,Data_Base[month],Juice!$N$1,Data_Base[Fin. Year],#REF!)</f>
        <v>0</v>
      </c>
      <c r="R35" s="120">
        <f ca="1">SUMIFS(Data_Base[Closing],Data_Base[Billing_Group],Juice!$C35,Data_Base[Distributor Name],Juice!$F$1,Data_Base[month],Juice!$N$1,Data_Base[Fin. Year],#REF!)</f>
        <v>0</v>
      </c>
    </row>
    <row r="36" spans="1:18" ht="26.25" customHeight="1" thickBot="1">
      <c r="A36" s="11" t="str">
        <f t="shared" si="0"/>
        <v>Chocolates &amp; Confectionery</v>
      </c>
      <c r="B36" s="11" t="str">
        <f t="shared" si="1"/>
        <v>Partner Straw 30 x 12</v>
      </c>
      <c r="C36" s="58">
        <v>138</v>
      </c>
      <c r="D36" s="297" t="s">
        <v>45</v>
      </c>
      <c r="E36" s="293" t="s">
        <v>56</v>
      </c>
      <c r="F36" s="294"/>
      <c r="G36" s="164" t="s">
        <v>59</v>
      </c>
      <c r="H36" s="144" t="s">
        <v>987</v>
      </c>
      <c r="I36" s="136">
        <f>SUMIFS(Target[Target],Target[SS 2],$F$1,Target[DB 2],$J$1,Target[Cat.2],$C36,Target[Month],$N$1)</f>
        <v>0</v>
      </c>
      <c r="J36" s="117">
        <f ca="1">SUMIFS(Data_Base[Opening],Data_Base[Billing_Group],Juice!$C36,Data_Base[Distributor Name],Juice!$F$1,Data_Base[month],Juice!$N$1,Data_Base[Fin. Year],#REF!)</f>
        <v>0</v>
      </c>
      <c r="K36" s="117">
        <f ca="1">SUMIFS(Data_Base[Receive],Data_Base[Billing_Group],Juice!$C36,Data_Base[Distributor Name],Juice!$F$1,Data_Base[month],Juice!$N$1,Data_Base[Fin. Year],#REF!)</f>
        <v>0</v>
      </c>
      <c r="L36" s="117">
        <f ca="1">SUMIFS(Data_Base[Total],Data_Base[Billing_Group],Juice!$C36,Data_Base[Distributor Name],Juice!$F$1,Data_Base[month],Juice!$N$1,Data_Base[Fin. Year],#REF!)</f>
        <v>0</v>
      </c>
      <c r="M36" s="117">
        <f ca="1">SUMIFS(Data_Base[Sale],Data_Base[Billing_Group],Juice!$C36,Data_Base[Distributor Name],Juice!$F$1,Data_Base[month],Juice!$N$1,Data_Base[Fin. Year],#REF!)</f>
        <v>0</v>
      </c>
      <c r="N36" s="128">
        <f ca="1">SUMIFS(Data_Base[Closing],Data_Base[Billing_Group],Juice!$C36,Data_Base[Distributor Name],Juice!$F$1,Data_Base[month],Juice!$N$1,Data_Base[Fin. Year],#REF!)</f>
        <v>0</v>
      </c>
      <c r="O36" s="132">
        <f ca="1">SUMIFS(Data_Base[Receive],Data_Base[Billing_Group],Juice!$C36,Data_Base[Distributor Name],Juice!$F$1,Data_Base[month],Juice!$N$1,Data_Base[Fin. Year],#REF!)</f>
        <v>0</v>
      </c>
      <c r="P36" s="120">
        <f ca="1">SUMIFS(Data_Base[Total],Data_Base[Billing_Group],Juice!$C36,Data_Base[Distributor Name],Juice!$F$1,Data_Base[month],Juice!$N$1,Data_Base[Fin. Year],#REF!)</f>
        <v>0</v>
      </c>
      <c r="Q36" s="132">
        <f ca="1">SUMIFS(Data_Base[Sale],Data_Base[Billing_Group],Juice!$C36,Data_Base[Distributor Name],Juice!$F$1,Data_Base[month],Juice!$N$1,Data_Base[Fin. Year],#REF!)</f>
        <v>0</v>
      </c>
      <c r="R36" s="120">
        <f ca="1">SUMIFS(Data_Base[Closing],Data_Base[Billing_Group],Juice!$C36,Data_Base[Distributor Name],Juice!$F$1,Data_Base[month],Juice!$N$1,Data_Base[Fin. Year],#REF!)</f>
        <v>0</v>
      </c>
    </row>
    <row r="37" spans="1:18" ht="26.25" customHeight="1" thickBot="1">
      <c r="A37" s="11" t="str">
        <f t="shared" si="0"/>
        <v>Chocolates &amp; Confectionery</v>
      </c>
      <c r="B37" s="11" t="str">
        <f t="shared" si="1"/>
        <v>Éclair Pouch 10 x 120</v>
      </c>
      <c r="C37" s="58">
        <v>153</v>
      </c>
      <c r="D37" s="297" t="s">
        <v>45</v>
      </c>
      <c r="E37" s="290" t="s">
        <v>60</v>
      </c>
      <c r="F37" s="300"/>
      <c r="G37" s="165" t="s">
        <v>65</v>
      </c>
      <c r="H37" s="150" t="s">
        <v>951</v>
      </c>
      <c r="I37" s="136">
        <f>SUMIFS(Target[Target],Target[SS 2],$F$1,Target[DB 2],$J$1,Target[Cat.2],$C37,Target[Month],$N$1)</f>
        <v>0</v>
      </c>
      <c r="J37" s="117">
        <f ca="1">SUMIFS(Data_Base[Opening],Data_Base[Billing_Group],Juice!$C37,Data_Base[Distributor Name],Juice!$F$1,Data_Base[month],Juice!$N$1,Data_Base[Fin. Year],#REF!)</f>
        <v>0</v>
      </c>
      <c r="K37" s="117">
        <f ca="1">SUMIFS(Data_Base[Receive],Data_Base[Billing_Group],Juice!$C37,Data_Base[Distributor Name],Juice!$F$1,Data_Base[month],Juice!$N$1,Data_Base[Fin. Year],#REF!)</f>
        <v>0</v>
      </c>
      <c r="L37" s="117">
        <f ca="1">SUMIFS(Data_Base[Total],Data_Base[Billing_Group],Juice!$C37,Data_Base[Distributor Name],Juice!$F$1,Data_Base[month],Juice!$N$1,Data_Base[Fin. Year],#REF!)</f>
        <v>0</v>
      </c>
      <c r="M37" s="117">
        <f ca="1">SUMIFS(Data_Base[Sale],Data_Base[Billing_Group],Juice!$C37,Data_Base[Distributor Name],Juice!$F$1,Data_Base[month],Juice!$N$1,Data_Base[Fin. Year],#REF!)</f>
        <v>0</v>
      </c>
      <c r="N37" s="128">
        <f ca="1">SUMIFS(Data_Base[Closing],Data_Base[Billing_Group],Juice!$C37,Data_Base[Distributor Name],Juice!$F$1,Data_Base[month],Juice!$N$1,Data_Base[Fin. Year],#REF!)</f>
        <v>0</v>
      </c>
      <c r="O37" s="132">
        <f ca="1">SUMIFS(Data_Base[Receive],Data_Base[Billing_Group],Juice!$C37,Data_Base[Distributor Name],Juice!$F$1,Data_Base[month],Juice!$N$1,Data_Base[Fin. Year],#REF!)</f>
        <v>0</v>
      </c>
      <c r="P37" s="120">
        <f ca="1">SUMIFS(Data_Base[Total],Data_Base[Billing_Group],Juice!$C37,Data_Base[Distributor Name],Juice!$F$1,Data_Base[month],Juice!$N$1,Data_Base[Fin. Year],#REF!)</f>
        <v>0</v>
      </c>
      <c r="Q37" s="132">
        <f ca="1">SUMIFS(Data_Base[Sale],Data_Base[Billing_Group],Juice!$C37,Data_Base[Distributor Name],Juice!$F$1,Data_Base[month],Juice!$N$1,Data_Base[Fin. Year],#REF!)</f>
        <v>0</v>
      </c>
      <c r="R37" s="120">
        <f ca="1">SUMIFS(Data_Base[Closing],Data_Base[Billing_Group],Juice!$C37,Data_Base[Distributor Name],Juice!$F$1,Data_Base[month],Juice!$N$1,Data_Base[Fin. Year],#REF!)</f>
        <v>0</v>
      </c>
    </row>
    <row r="38" spans="1:18" ht="26.25" customHeight="1" thickBot="1">
      <c r="A38" s="11" t="str">
        <f t="shared" si="0"/>
        <v>Chocolates &amp; Confectionery</v>
      </c>
      <c r="B38" s="11" t="str">
        <f t="shared" si="1"/>
        <v>Éclair Pouch 50 x 30</v>
      </c>
      <c r="C38" s="58">
        <v>140</v>
      </c>
      <c r="D38" s="297" t="s">
        <v>45</v>
      </c>
      <c r="E38" s="290" t="s">
        <v>60</v>
      </c>
      <c r="F38" s="300"/>
      <c r="G38" s="148" t="s">
        <v>65</v>
      </c>
      <c r="H38" s="145" t="s">
        <v>988</v>
      </c>
      <c r="I38" s="136">
        <f>SUMIFS(Target[Target],Target[SS 2],$F$1,Target[DB 2],$J$1,Target[Cat.2],$C38,Target[Month],$N$1)</f>
        <v>0</v>
      </c>
      <c r="J38" s="117">
        <f ca="1">SUMIFS(Data_Base[Opening],Data_Base[Billing_Group],Juice!$C38,Data_Base[Distributor Name],Juice!$F$1,Data_Base[month],Juice!$N$1,Data_Base[Fin. Year],#REF!)</f>
        <v>0</v>
      </c>
      <c r="K38" s="117">
        <f ca="1">SUMIFS(Data_Base[Receive],Data_Base[Billing_Group],Juice!$C38,Data_Base[Distributor Name],Juice!$F$1,Data_Base[month],Juice!$N$1,Data_Base[Fin. Year],#REF!)</f>
        <v>0</v>
      </c>
      <c r="L38" s="117">
        <f ca="1">SUMIFS(Data_Base[Total],Data_Base[Billing_Group],Juice!$C38,Data_Base[Distributor Name],Juice!$F$1,Data_Base[month],Juice!$N$1,Data_Base[Fin. Year],#REF!)</f>
        <v>0</v>
      </c>
      <c r="M38" s="117">
        <f ca="1">SUMIFS(Data_Base[Sale],Data_Base[Billing_Group],Juice!$C38,Data_Base[Distributor Name],Juice!$F$1,Data_Base[month],Juice!$N$1,Data_Base[Fin. Year],#REF!)</f>
        <v>0</v>
      </c>
      <c r="N38" s="128">
        <f ca="1">SUMIFS(Data_Base[Closing],Data_Base[Billing_Group],Juice!$C38,Data_Base[Distributor Name],Juice!$F$1,Data_Base[month],Juice!$N$1,Data_Base[Fin. Year],#REF!)</f>
        <v>0</v>
      </c>
      <c r="O38" s="132">
        <f ca="1">SUMIFS(Data_Base[Receive],Data_Base[Billing_Group],Juice!$C38,Data_Base[Distributor Name],Juice!$F$1,Data_Base[month],Juice!$N$1,Data_Base[Fin. Year],#REF!)</f>
        <v>0</v>
      </c>
      <c r="P38" s="120">
        <f ca="1">SUMIFS(Data_Base[Total],Data_Base[Billing_Group],Juice!$C38,Data_Base[Distributor Name],Juice!$F$1,Data_Base[month],Juice!$N$1,Data_Base[Fin. Year],#REF!)</f>
        <v>0</v>
      </c>
      <c r="Q38" s="132">
        <f ca="1">SUMIFS(Data_Base[Sale],Data_Base[Billing_Group],Juice!$C38,Data_Base[Distributor Name],Juice!$F$1,Data_Base[month],Juice!$N$1,Data_Base[Fin. Year],#REF!)</f>
        <v>0</v>
      </c>
      <c r="R38" s="120">
        <f ca="1">SUMIFS(Data_Base[Closing],Data_Base[Billing_Group],Juice!$C38,Data_Base[Distributor Name],Juice!$F$1,Data_Base[month],Juice!$N$1,Data_Base[Fin. Year],#REF!)</f>
        <v>0</v>
      </c>
    </row>
    <row r="39" spans="1:18" ht="26.25" customHeight="1" thickBot="1">
      <c r="A39" s="11" t="str">
        <f t="shared" si="0"/>
        <v>Chocolates &amp; Confectionery</v>
      </c>
      <c r="B39" s="11" t="str">
        <f t="shared" si="1"/>
        <v>Éclair Mini Jar 140 x 12</v>
      </c>
      <c r="C39" s="58">
        <v>141</v>
      </c>
      <c r="D39" s="297" t="s">
        <v>45</v>
      </c>
      <c r="E39" s="290" t="s">
        <v>60</v>
      </c>
      <c r="F39" s="300"/>
      <c r="G39" s="148" t="s">
        <v>61</v>
      </c>
      <c r="H39" s="145" t="s">
        <v>62</v>
      </c>
      <c r="I39" s="136">
        <f>SUMIFS(Target[Target],Target[SS 2],$F$1,Target[DB 2],$J$1,Target[Cat.2],$C39,Target[Month],$N$1)</f>
        <v>0</v>
      </c>
      <c r="J39" s="117">
        <f ca="1">SUMIFS(Data_Base[Opening],Data_Base[Billing_Group],Juice!$C39,Data_Base[Distributor Name],Juice!$F$1,Data_Base[month],Juice!$N$1,Data_Base[Fin. Year],#REF!)</f>
        <v>0</v>
      </c>
      <c r="K39" s="117">
        <f ca="1">SUMIFS(Data_Base[Receive],Data_Base[Billing_Group],Juice!$C39,Data_Base[Distributor Name],Juice!$F$1,Data_Base[month],Juice!$N$1,Data_Base[Fin. Year],#REF!)</f>
        <v>0</v>
      </c>
      <c r="L39" s="117">
        <f ca="1">SUMIFS(Data_Base[Total],Data_Base[Billing_Group],Juice!$C39,Data_Base[Distributor Name],Juice!$F$1,Data_Base[month],Juice!$N$1,Data_Base[Fin. Year],#REF!)</f>
        <v>0</v>
      </c>
      <c r="M39" s="117">
        <f ca="1">SUMIFS(Data_Base[Sale],Data_Base[Billing_Group],Juice!$C39,Data_Base[Distributor Name],Juice!$F$1,Data_Base[month],Juice!$N$1,Data_Base[Fin. Year],#REF!)</f>
        <v>0</v>
      </c>
      <c r="N39" s="128">
        <f ca="1">SUMIFS(Data_Base[Closing],Data_Base[Billing_Group],Juice!$C39,Data_Base[Distributor Name],Juice!$F$1,Data_Base[month],Juice!$N$1,Data_Base[Fin. Year],#REF!)</f>
        <v>0</v>
      </c>
      <c r="O39" s="132">
        <f ca="1">SUMIFS(Data_Base[Receive],Data_Base[Billing_Group],Juice!$C39,Data_Base[Distributor Name],Juice!$F$1,Data_Base[month],Juice!$N$1,Data_Base[Fin. Year],#REF!)</f>
        <v>0</v>
      </c>
      <c r="P39" s="120">
        <f ca="1">SUMIFS(Data_Base[Total],Data_Base[Billing_Group],Juice!$C39,Data_Base[Distributor Name],Juice!$F$1,Data_Base[month],Juice!$N$1,Data_Base[Fin. Year],#REF!)</f>
        <v>0</v>
      </c>
      <c r="Q39" s="132">
        <f ca="1">SUMIFS(Data_Base[Sale],Data_Base[Billing_Group],Juice!$C39,Data_Base[Distributor Name],Juice!$F$1,Data_Base[month],Juice!$N$1,Data_Base[Fin. Year],#REF!)</f>
        <v>0</v>
      </c>
      <c r="R39" s="120">
        <f ca="1">SUMIFS(Data_Base[Closing],Data_Base[Billing_Group],Juice!$C39,Data_Base[Distributor Name],Juice!$F$1,Data_Base[month],Juice!$N$1,Data_Base[Fin. Year],#REF!)</f>
        <v>0</v>
      </c>
    </row>
    <row r="40" spans="1:18" ht="26.25" customHeight="1" thickBot="1">
      <c r="A40" s="11" t="str">
        <f t="shared" si="0"/>
        <v>Chocolates &amp; Confectionery</v>
      </c>
      <c r="B40" s="11" t="str">
        <f t="shared" si="1"/>
        <v>Éclair Big Jar 700 x 6</v>
      </c>
      <c r="C40" s="58">
        <v>142</v>
      </c>
      <c r="D40" s="297" t="s">
        <v>45</v>
      </c>
      <c r="E40" s="290" t="s">
        <v>60</v>
      </c>
      <c r="F40" s="300"/>
      <c r="G40" s="166" t="s">
        <v>63</v>
      </c>
      <c r="H40" s="152" t="s">
        <v>928</v>
      </c>
      <c r="I40" s="136">
        <f>SUMIFS(Target[Target],Target[SS 2],$F$1,Target[DB 2],$J$1,Target[Cat.2],$C40,Target[Month],$N$1)</f>
        <v>0</v>
      </c>
      <c r="J40" s="117">
        <f ca="1">SUMIFS(Data_Base[Opening],Data_Base[Billing_Group],Juice!$C40,Data_Base[Distributor Name],Juice!$F$1,Data_Base[month],Juice!$N$1,Data_Base[Fin. Year],#REF!)</f>
        <v>0</v>
      </c>
      <c r="K40" s="117">
        <f ca="1">SUMIFS(Data_Base[Receive],Data_Base[Billing_Group],Juice!$C40,Data_Base[Distributor Name],Juice!$F$1,Data_Base[month],Juice!$N$1,Data_Base[Fin. Year],#REF!)</f>
        <v>0</v>
      </c>
      <c r="L40" s="117">
        <f ca="1">SUMIFS(Data_Base[Total],Data_Base[Billing_Group],Juice!$C40,Data_Base[Distributor Name],Juice!$F$1,Data_Base[month],Juice!$N$1,Data_Base[Fin. Year],#REF!)</f>
        <v>0</v>
      </c>
      <c r="M40" s="117">
        <f ca="1">SUMIFS(Data_Base[Sale],Data_Base[Billing_Group],Juice!$C40,Data_Base[Distributor Name],Juice!$F$1,Data_Base[month],Juice!$N$1,Data_Base[Fin. Year],#REF!)</f>
        <v>0</v>
      </c>
      <c r="N40" s="128">
        <f ca="1">SUMIFS(Data_Base[Closing],Data_Base[Billing_Group],Juice!$C40,Data_Base[Distributor Name],Juice!$F$1,Data_Base[month],Juice!$N$1,Data_Base[Fin. Year],#REF!)</f>
        <v>0</v>
      </c>
      <c r="O40" s="132">
        <f ca="1">SUMIFS(Data_Base[Receive],Data_Base[Billing_Group],Juice!$C40,Data_Base[Distributor Name],Juice!$F$1,Data_Base[month],Juice!$N$1,Data_Base[Fin. Year],#REF!)</f>
        <v>0</v>
      </c>
      <c r="P40" s="120">
        <f ca="1">SUMIFS(Data_Base[Total],Data_Base[Billing_Group],Juice!$C40,Data_Base[Distributor Name],Juice!$F$1,Data_Base[month],Juice!$N$1,Data_Base[Fin. Year],#REF!)</f>
        <v>0</v>
      </c>
      <c r="Q40" s="132">
        <f ca="1">SUMIFS(Data_Base[Sale],Data_Base[Billing_Group],Juice!$C40,Data_Base[Distributor Name],Juice!$F$1,Data_Base[month],Juice!$N$1,Data_Base[Fin. Year],#REF!)</f>
        <v>0</v>
      </c>
      <c r="R40" s="120">
        <f ca="1">SUMIFS(Data_Base[Closing],Data_Base[Billing_Group],Juice!$C40,Data_Base[Distributor Name],Juice!$F$1,Data_Base[month],Juice!$N$1,Data_Base[Fin. Year],#REF!)</f>
        <v>0</v>
      </c>
    </row>
    <row r="41" spans="1:18" ht="26.25" customHeight="1" thickBot="1">
      <c r="A41" s="11" t="str">
        <f t="shared" si="0"/>
        <v>Chocolates &amp; Confectionery</v>
      </c>
      <c r="B41" s="11" t="str">
        <f t="shared" si="1"/>
        <v>Shokk Pouch 50 x 36</v>
      </c>
      <c r="C41" s="58">
        <v>143</v>
      </c>
      <c r="D41" s="297" t="s">
        <v>45</v>
      </c>
      <c r="E41" s="293" t="s">
        <v>64</v>
      </c>
      <c r="F41" s="294"/>
      <c r="G41" s="163" t="s">
        <v>65</v>
      </c>
      <c r="H41" s="142" t="s">
        <v>989</v>
      </c>
      <c r="I41" s="136">
        <f>SUMIFS(Target[Target],Target[SS 2],$F$1,Target[DB 2],$J$1,Target[Cat.2],$C41,Target[Month],$N$1)</f>
        <v>0</v>
      </c>
      <c r="J41" s="117">
        <f ca="1">SUMIFS(Data_Base[Opening],Data_Base[Billing_Group],Juice!$C41,Data_Base[Distributor Name],Juice!$F$1,Data_Base[month],Juice!$N$1,Data_Base[Fin. Year],#REF!)</f>
        <v>0</v>
      </c>
      <c r="K41" s="117">
        <f ca="1">SUMIFS(Data_Base[Receive],Data_Base[Billing_Group],Juice!$C41,Data_Base[Distributor Name],Juice!$F$1,Data_Base[month],Juice!$N$1,Data_Base[Fin. Year],#REF!)</f>
        <v>0</v>
      </c>
      <c r="L41" s="117">
        <f ca="1">SUMIFS(Data_Base[Total],Data_Base[Billing_Group],Juice!$C41,Data_Base[Distributor Name],Juice!$F$1,Data_Base[month],Juice!$N$1,Data_Base[Fin. Year],#REF!)</f>
        <v>0</v>
      </c>
      <c r="M41" s="117">
        <f ca="1">SUMIFS(Data_Base[Sale],Data_Base[Billing_Group],Juice!$C41,Data_Base[Distributor Name],Juice!$F$1,Data_Base[month],Juice!$N$1,Data_Base[Fin. Year],#REF!)</f>
        <v>0</v>
      </c>
      <c r="N41" s="128">
        <f ca="1">SUMIFS(Data_Base[Closing],Data_Base[Billing_Group],Juice!$C41,Data_Base[Distributor Name],Juice!$F$1,Data_Base[month],Juice!$N$1,Data_Base[Fin. Year],#REF!)</f>
        <v>0</v>
      </c>
      <c r="O41" s="132">
        <f ca="1">SUMIFS(Data_Base[Receive],Data_Base[Billing_Group],Juice!$C41,Data_Base[Distributor Name],Juice!$F$1,Data_Base[month],Juice!$N$1,Data_Base[Fin. Year],#REF!)</f>
        <v>0</v>
      </c>
      <c r="P41" s="120">
        <f ca="1">SUMIFS(Data_Base[Total],Data_Base[Billing_Group],Juice!$C41,Data_Base[Distributor Name],Juice!$F$1,Data_Base[month],Juice!$N$1,Data_Base[Fin. Year],#REF!)</f>
        <v>0</v>
      </c>
      <c r="Q41" s="132">
        <f ca="1">SUMIFS(Data_Base[Sale],Data_Base[Billing_Group],Juice!$C41,Data_Base[Distributor Name],Juice!$F$1,Data_Base[month],Juice!$N$1,Data_Base[Fin. Year],#REF!)</f>
        <v>0</v>
      </c>
      <c r="R41" s="120">
        <f ca="1">SUMIFS(Data_Base[Closing],Data_Base[Billing_Group],Juice!$C41,Data_Base[Distributor Name],Juice!$F$1,Data_Base[month],Juice!$N$1,Data_Base[Fin. Year],#REF!)</f>
        <v>0</v>
      </c>
    </row>
    <row r="42" spans="1:18" ht="26.25" customHeight="1" thickBot="1">
      <c r="A42" s="11" t="str">
        <f t="shared" si="0"/>
        <v>Chocolates &amp; Confectionery</v>
      </c>
      <c r="B42" s="11" t="str">
        <f t="shared" si="1"/>
        <v>Shokk Jar 140 x 12</v>
      </c>
      <c r="C42" s="58">
        <v>144</v>
      </c>
      <c r="D42" s="297" t="s">
        <v>45</v>
      </c>
      <c r="E42" s="293" t="s">
        <v>64</v>
      </c>
      <c r="F42" s="294"/>
      <c r="G42" s="164" t="s">
        <v>66</v>
      </c>
      <c r="H42" s="144" t="s">
        <v>62</v>
      </c>
      <c r="I42" s="136">
        <f>SUMIFS(Target[Target],Target[SS 2],$F$1,Target[DB 2],$J$1,Target[Cat.2],$C42,Target[Month],$N$1)</f>
        <v>0</v>
      </c>
      <c r="J42" s="117">
        <f ca="1">SUMIFS(Data_Base[Opening],Data_Base[Billing_Group],Juice!$C42,Data_Base[Distributor Name],Juice!$F$1,Data_Base[month],Juice!$N$1,Data_Base[Fin. Year],#REF!)</f>
        <v>0</v>
      </c>
      <c r="K42" s="117">
        <f ca="1">SUMIFS(Data_Base[Receive],Data_Base[Billing_Group],Juice!$C42,Data_Base[Distributor Name],Juice!$F$1,Data_Base[month],Juice!$N$1,Data_Base[Fin. Year],#REF!)</f>
        <v>0</v>
      </c>
      <c r="L42" s="117">
        <f ca="1">SUMIFS(Data_Base[Total],Data_Base[Billing_Group],Juice!$C42,Data_Base[Distributor Name],Juice!$F$1,Data_Base[month],Juice!$N$1,Data_Base[Fin. Year],#REF!)</f>
        <v>0</v>
      </c>
      <c r="M42" s="117">
        <f ca="1">SUMIFS(Data_Base[Sale],Data_Base[Billing_Group],Juice!$C42,Data_Base[Distributor Name],Juice!$F$1,Data_Base[month],Juice!$N$1,Data_Base[Fin. Year],#REF!)</f>
        <v>0</v>
      </c>
      <c r="N42" s="128">
        <f ca="1">SUMIFS(Data_Base[Closing],Data_Base[Billing_Group],Juice!$C42,Data_Base[Distributor Name],Juice!$F$1,Data_Base[month],Juice!$N$1,Data_Base[Fin. Year],#REF!)</f>
        <v>0</v>
      </c>
      <c r="O42" s="132">
        <f ca="1">SUMIFS(Data_Base[Receive],Data_Base[Billing_Group],Juice!$C42,Data_Base[Distributor Name],Juice!$F$1,Data_Base[month],Juice!$N$1,Data_Base[Fin. Year],#REF!)</f>
        <v>0</v>
      </c>
      <c r="P42" s="120">
        <f ca="1">SUMIFS(Data_Base[Total],Data_Base[Billing_Group],Juice!$C42,Data_Base[Distributor Name],Juice!$F$1,Data_Base[month],Juice!$N$1,Data_Base[Fin. Year],#REF!)</f>
        <v>0</v>
      </c>
      <c r="Q42" s="132">
        <f ca="1">SUMIFS(Data_Base[Sale],Data_Base[Billing_Group],Juice!$C42,Data_Base[Distributor Name],Juice!$F$1,Data_Base[month],Juice!$N$1,Data_Base[Fin. Year],#REF!)</f>
        <v>0</v>
      </c>
      <c r="R42" s="120">
        <f ca="1">SUMIFS(Data_Base[Closing],Data_Base[Billing_Group],Juice!$C42,Data_Base[Distributor Name],Juice!$F$1,Data_Base[month],Juice!$N$1,Data_Base[Fin. Year],#REF!)</f>
        <v>0</v>
      </c>
    </row>
    <row r="43" spans="1:18" ht="26.25" customHeight="1" thickBot="1">
      <c r="A43" s="11" t="str">
        <f t="shared" si="0"/>
        <v>Chocolates &amp; Confectionery</v>
      </c>
      <c r="B43" s="11" t="str">
        <f t="shared" si="1"/>
        <v>TOFFITO
PLUS 
Milk Caramel
 Pouch 50 x 36</v>
      </c>
      <c r="C43" s="58">
        <v>147</v>
      </c>
      <c r="D43" s="297" t="s">
        <v>45</v>
      </c>
      <c r="E43" s="301" t="s">
        <v>67</v>
      </c>
      <c r="F43" s="294" t="s">
        <v>929</v>
      </c>
      <c r="G43" s="163" t="s">
        <v>65</v>
      </c>
      <c r="H43" s="142" t="s">
        <v>989</v>
      </c>
      <c r="I43" s="136">
        <f>SUMIFS(Target[Target],Target[SS 2],$F$1,Target[DB 2],$J$1,Target[Cat.2],$C43,Target[Month],$N$1)</f>
        <v>0</v>
      </c>
      <c r="J43" s="117">
        <f ca="1">SUMIFS(Data_Base[Opening],Data_Base[Billing_Group],Juice!$C43,Data_Base[Distributor Name],Juice!$F$1,Data_Base[month],Juice!$N$1,Data_Base[Fin. Year],#REF!)</f>
        <v>0</v>
      </c>
      <c r="K43" s="117">
        <f ca="1">SUMIFS(Data_Base[Receive],Data_Base[Billing_Group],Juice!$C43,Data_Base[Distributor Name],Juice!$F$1,Data_Base[month],Juice!$N$1,Data_Base[Fin. Year],#REF!)</f>
        <v>0</v>
      </c>
      <c r="L43" s="117">
        <f ca="1">SUMIFS(Data_Base[Total],Data_Base[Billing_Group],Juice!$C43,Data_Base[Distributor Name],Juice!$F$1,Data_Base[month],Juice!$N$1,Data_Base[Fin. Year],#REF!)</f>
        <v>0</v>
      </c>
      <c r="M43" s="117">
        <f ca="1">SUMIFS(Data_Base[Sale],Data_Base[Billing_Group],Juice!$C43,Data_Base[Distributor Name],Juice!$F$1,Data_Base[month],Juice!$N$1,Data_Base[Fin. Year],#REF!)</f>
        <v>0</v>
      </c>
      <c r="N43" s="128">
        <f ca="1">SUMIFS(Data_Base[Closing],Data_Base[Billing_Group],Juice!$C43,Data_Base[Distributor Name],Juice!$F$1,Data_Base[month],Juice!$N$1,Data_Base[Fin. Year],#REF!)</f>
        <v>0</v>
      </c>
      <c r="O43" s="132">
        <f ca="1">SUMIFS(Data_Base[Receive],Data_Base[Billing_Group],Juice!$C43,Data_Base[Distributor Name],Juice!$F$1,Data_Base[month],Juice!$N$1,Data_Base[Fin. Year],#REF!)</f>
        <v>0</v>
      </c>
      <c r="P43" s="120">
        <f ca="1">SUMIFS(Data_Base[Total],Data_Base[Billing_Group],Juice!$C43,Data_Base[Distributor Name],Juice!$F$1,Data_Base[month],Juice!$N$1,Data_Base[Fin. Year],#REF!)</f>
        <v>0</v>
      </c>
      <c r="Q43" s="132">
        <f ca="1">SUMIFS(Data_Base[Sale],Data_Base[Billing_Group],Juice!$C43,Data_Base[Distributor Name],Juice!$F$1,Data_Base[month],Juice!$N$1,Data_Base[Fin. Year],#REF!)</f>
        <v>0</v>
      </c>
      <c r="R43" s="120">
        <f ca="1">SUMIFS(Data_Base[Closing],Data_Base[Billing_Group],Juice!$C43,Data_Base[Distributor Name],Juice!$F$1,Data_Base[month],Juice!$N$1,Data_Base[Fin. Year],#REF!)</f>
        <v>0</v>
      </c>
    </row>
    <row r="44" spans="1:18" ht="26.25" customHeight="1" thickBot="1">
      <c r="A44" s="11" t="str">
        <f t="shared" si="0"/>
        <v>Chocolates &amp; Confectionery</v>
      </c>
      <c r="B44" s="11" t="str">
        <f t="shared" si="1"/>
        <v>TOFFITO
PLUS 
Milk Caramel
 Jar 140 x 12</v>
      </c>
      <c r="C44" s="58">
        <v>148</v>
      </c>
      <c r="D44" s="297" t="s">
        <v>45</v>
      </c>
      <c r="E44" s="301" t="s">
        <v>67</v>
      </c>
      <c r="F44" s="294" t="s">
        <v>929</v>
      </c>
      <c r="G44" s="164" t="s">
        <v>66</v>
      </c>
      <c r="H44" s="144" t="s">
        <v>62</v>
      </c>
      <c r="I44" s="136">
        <f>SUMIFS(Target[Target],Target[SS 2],$F$1,Target[DB 2],$J$1,Target[Cat.2],$C44,Target[Month],$N$1)</f>
        <v>0</v>
      </c>
      <c r="J44" s="117">
        <f ca="1">SUMIFS(Data_Base[Opening],Data_Base[Billing_Group],Juice!$C44,Data_Base[Distributor Name],Juice!$F$1,Data_Base[month],Juice!$N$1,Data_Base[Fin. Year],#REF!)</f>
        <v>0</v>
      </c>
      <c r="K44" s="117">
        <f ca="1">SUMIFS(Data_Base[Receive],Data_Base[Billing_Group],Juice!$C44,Data_Base[Distributor Name],Juice!$F$1,Data_Base[month],Juice!$N$1,Data_Base[Fin. Year],#REF!)</f>
        <v>0</v>
      </c>
      <c r="L44" s="117">
        <f ca="1">SUMIFS(Data_Base[Total],Data_Base[Billing_Group],Juice!$C44,Data_Base[Distributor Name],Juice!$F$1,Data_Base[month],Juice!$N$1,Data_Base[Fin. Year],#REF!)</f>
        <v>0</v>
      </c>
      <c r="M44" s="117">
        <f ca="1">SUMIFS(Data_Base[Sale],Data_Base[Billing_Group],Juice!$C44,Data_Base[Distributor Name],Juice!$F$1,Data_Base[month],Juice!$N$1,Data_Base[Fin. Year],#REF!)</f>
        <v>0</v>
      </c>
      <c r="N44" s="128">
        <f ca="1">SUMIFS(Data_Base[Closing],Data_Base[Billing_Group],Juice!$C44,Data_Base[Distributor Name],Juice!$F$1,Data_Base[month],Juice!$N$1,Data_Base[Fin. Year],#REF!)</f>
        <v>0</v>
      </c>
      <c r="O44" s="132">
        <f ca="1">SUMIFS(Data_Base[Receive],Data_Base[Billing_Group],Juice!$C44,Data_Base[Distributor Name],Juice!$F$1,Data_Base[month],Juice!$N$1,Data_Base[Fin. Year],#REF!)</f>
        <v>0</v>
      </c>
      <c r="P44" s="120">
        <f ca="1">SUMIFS(Data_Base[Total],Data_Base[Billing_Group],Juice!$C44,Data_Base[Distributor Name],Juice!$F$1,Data_Base[month],Juice!$N$1,Data_Base[Fin. Year],#REF!)</f>
        <v>0</v>
      </c>
      <c r="Q44" s="132">
        <f ca="1">SUMIFS(Data_Base[Sale],Data_Base[Billing_Group],Juice!$C44,Data_Base[Distributor Name],Juice!$F$1,Data_Base[month],Juice!$N$1,Data_Base[Fin. Year],#REF!)</f>
        <v>0</v>
      </c>
      <c r="R44" s="120">
        <f ca="1">SUMIFS(Data_Base[Closing],Data_Base[Billing_Group],Juice!$C44,Data_Base[Distributor Name],Juice!$F$1,Data_Base[month],Juice!$N$1,Data_Base[Fin. Year],#REF!)</f>
        <v>0</v>
      </c>
    </row>
    <row r="45" spans="1:18" ht="26.25" customHeight="1" thickBot="1">
      <c r="A45" s="11" t="str">
        <f t="shared" si="0"/>
        <v>Chocolates &amp; Confectionery</v>
      </c>
      <c r="B45" s="11" t="str">
        <f t="shared" si="1"/>
        <v>SNAKKER
TOFFEE Pouch 50 x 36</v>
      </c>
      <c r="C45" s="58">
        <v>149</v>
      </c>
      <c r="D45" s="297" t="s">
        <v>45</v>
      </c>
      <c r="E45" s="302" t="s">
        <v>68</v>
      </c>
      <c r="F45" s="303"/>
      <c r="G45" s="165" t="s">
        <v>65</v>
      </c>
      <c r="H45" s="150" t="s">
        <v>989</v>
      </c>
      <c r="I45" s="136">
        <f>SUMIFS(Target[Target],Target[SS 2],$F$1,Target[DB 2],$J$1,Target[Cat.2],$C45,Target[Month],$N$1)</f>
        <v>0</v>
      </c>
      <c r="J45" s="117">
        <f ca="1">SUMIFS(Data_Base[Opening],Data_Base[Billing_Group],Juice!$C45,Data_Base[Distributor Name],Juice!$F$1,Data_Base[month],Juice!$N$1,Data_Base[Fin. Year],#REF!)</f>
        <v>0</v>
      </c>
      <c r="K45" s="117">
        <f ca="1">SUMIFS(Data_Base[Receive],Data_Base[Billing_Group],Juice!$C45,Data_Base[Distributor Name],Juice!$F$1,Data_Base[month],Juice!$N$1,Data_Base[Fin. Year],#REF!)</f>
        <v>0</v>
      </c>
      <c r="L45" s="117">
        <f ca="1">SUMIFS(Data_Base[Total],Data_Base[Billing_Group],Juice!$C45,Data_Base[Distributor Name],Juice!$F$1,Data_Base[month],Juice!$N$1,Data_Base[Fin. Year],#REF!)</f>
        <v>0</v>
      </c>
      <c r="M45" s="117">
        <f ca="1">SUMIFS(Data_Base[Sale],Data_Base[Billing_Group],Juice!$C45,Data_Base[Distributor Name],Juice!$F$1,Data_Base[month],Juice!$N$1,Data_Base[Fin. Year],#REF!)</f>
        <v>0</v>
      </c>
      <c r="N45" s="128">
        <f ca="1">SUMIFS(Data_Base[Closing],Data_Base[Billing_Group],Juice!$C45,Data_Base[Distributor Name],Juice!$F$1,Data_Base[month],Juice!$N$1,Data_Base[Fin. Year],#REF!)</f>
        <v>0</v>
      </c>
      <c r="O45" s="132">
        <f ca="1">SUMIFS(Data_Base[Receive],Data_Base[Billing_Group],Juice!$C45,Data_Base[Distributor Name],Juice!$F$1,Data_Base[month],Juice!$N$1,Data_Base[Fin. Year],#REF!)</f>
        <v>0</v>
      </c>
      <c r="P45" s="120">
        <f ca="1">SUMIFS(Data_Base[Total],Data_Base[Billing_Group],Juice!$C45,Data_Base[Distributor Name],Juice!$F$1,Data_Base[month],Juice!$N$1,Data_Base[Fin. Year],#REF!)</f>
        <v>0</v>
      </c>
      <c r="Q45" s="132">
        <f ca="1">SUMIFS(Data_Base[Sale],Data_Base[Billing_Group],Juice!$C45,Data_Base[Distributor Name],Juice!$F$1,Data_Base[month],Juice!$N$1,Data_Base[Fin. Year],#REF!)</f>
        <v>0</v>
      </c>
      <c r="R45" s="120">
        <f ca="1">SUMIFS(Data_Base[Closing],Data_Base[Billing_Group],Juice!$C45,Data_Base[Distributor Name],Juice!$F$1,Data_Base[month],Juice!$N$1,Data_Base[Fin. Year],#REF!)</f>
        <v>0</v>
      </c>
    </row>
    <row r="46" spans="1:18" ht="26.25" customHeight="1" thickBot="1">
      <c r="A46" s="11" t="str">
        <f t="shared" si="0"/>
        <v>Chocolates &amp; Confectionery</v>
      </c>
      <c r="B46" s="11" t="str">
        <f t="shared" si="1"/>
        <v>SNAKKER
TOFFEE Jar 140 x 12</v>
      </c>
      <c r="C46" s="58">
        <v>150</v>
      </c>
      <c r="D46" s="297" t="s">
        <v>45</v>
      </c>
      <c r="E46" s="302" t="s">
        <v>68</v>
      </c>
      <c r="F46" s="303"/>
      <c r="G46" s="166" t="s">
        <v>66</v>
      </c>
      <c r="H46" s="152" t="s">
        <v>62</v>
      </c>
      <c r="I46" s="136">
        <f>SUMIFS(Target[Target],Target[SS 2],$F$1,Target[DB 2],$J$1,Target[Cat.2],$C46,Target[Month],$N$1)</f>
        <v>0</v>
      </c>
      <c r="J46" s="117">
        <f ca="1">SUMIFS(Data_Base[Opening],Data_Base[Billing_Group],Juice!$C46,Data_Base[Distributor Name],Juice!$F$1,Data_Base[month],Juice!$N$1,Data_Base[Fin. Year],#REF!)</f>
        <v>0</v>
      </c>
      <c r="K46" s="117">
        <f ca="1">SUMIFS(Data_Base[Receive],Data_Base[Billing_Group],Juice!$C46,Data_Base[Distributor Name],Juice!$F$1,Data_Base[month],Juice!$N$1,Data_Base[Fin. Year],#REF!)</f>
        <v>0</v>
      </c>
      <c r="L46" s="117">
        <f ca="1">SUMIFS(Data_Base[Total],Data_Base[Billing_Group],Juice!$C46,Data_Base[Distributor Name],Juice!$F$1,Data_Base[month],Juice!$N$1,Data_Base[Fin. Year],#REF!)</f>
        <v>0</v>
      </c>
      <c r="M46" s="117">
        <f ca="1">SUMIFS(Data_Base[Sale],Data_Base[Billing_Group],Juice!$C46,Data_Base[Distributor Name],Juice!$F$1,Data_Base[month],Juice!$N$1,Data_Base[Fin. Year],#REF!)</f>
        <v>0</v>
      </c>
      <c r="N46" s="128">
        <f ca="1">SUMIFS(Data_Base[Closing],Data_Base[Billing_Group],Juice!$C46,Data_Base[Distributor Name],Juice!$F$1,Data_Base[month],Juice!$N$1,Data_Base[Fin. Year],#REF!)</f>
        <v>0</v>
      </c>
      <c r="O46" s="132">
        <f ca="1">SUMIFS(Data_Base[Receive],Data_Base[Billing_Group],Juice!$C46,Data_Base[Distributor Name],Juice!$F$1,Data_Base[month],Juice!$N$1,Data_Base[Fin. Year],#REF!)</f>
        <v>0</v>
      </c>
      <c r="P46" s="120">
        <f ca="1">SUMIFS(Data_Base[Total],Data_Base[Billing_Group],Juice!$C46,Data_Base[Distributor Name],Juice!$F$1,Data_Base[month],Juice!$N$1,Data_Base[Fin. Year],#REF!)</f>
        <v>0</v>
      </c>
      <c r="Q46" s="132">
        <f ca="1">SUMIFS(Data_Base[Sale],Data_Base[Billing_Group],Juice!$C46,Data_Base[Distributor Name],Juice!$F$1,Data_Base[month],Juice!$N$1,Data_Base[Fin. Year],#REF!)</f>
        <v>0</v>
      </c>
      <c r="R46" s="120">
        <f ca="1">SUMIFS(Data_Base[Closing],Data_Base[Billing_Group],Juice!$C46,Data_Base[Distributor Name],Juice!$F$1,Data_Base[month],Juice!$N$1,Data_Base[Fin. Year],#REF!)</f>
        <v>0</v>
      </c>
    </row>
    <row r="47" spans="1:18" ht="26.25" customHeight="1" thickBot="1">
      <c r="C47" s="58"/>
      <c r="D47" s="297" t="s">
        <v>45</v>
      </c>
      <c r="E47" s="264"/>
      <c r="F47" s="265"/>
      <c r="G47" s="163"/>
      <c r="H47" s="142"/>
      <c r="I47" s="136">
        <f>SUMIFS(Target[Target],Target[SS 2],$F$1,Target[DB 2],$J$1,Target[Cat.2],$C47,Target[Month],$N$1)</f>
        <v>0</v>
      </c>
      <c r="J47" s="117">
        <f ca="1">SUMIFS(Data_Base[Opening],Data_Base[Billing_Group],Juice!$C47,Data_Base[Distributor Name],Juice!$F$1,Data_Base[month],Juice!$N$1,Data_Base[Fin. Year],#REF!)</f>
        <v>0</v>
      </c>
      <c r="K47" s="117">
        <f ca="1">SUMIFS(Data_Base[Receive],Data_Base[Billing_Group],Juice!$C47,Data_Base[Distributor Name],Juice!$F$1,Data_Base[month],Juice!$N$1,Data_Base[Fin. Year],#REF!)</f>
        <v>0</v>
      </c>
      <c r="L47" s="117">
        <f ca="1">SUMIFS(Data_Base[Total],Data_Base[Billing_Group],Juice!$C47,Data_Base[Distributor Name],Juice!$F$1,Data_Base[month],Juice!$N$1,Data_Base[Fin. Year],#REF!)</f>
        <v>0</v>
      </c>
      <c r="M47" s="117">
        <f ca="1">SUMIFS(Data_Base[Sale],Data_Base[Billing_Group],Juice!$C47,Data_Base[Distributor Name],Juice!$F$1,Data_Base[month],Juice!$N$1,Data_Base[Fin. Year],#REF!)</f>
        <v>0</v>
      </c>
      <c r="N47" s="128">
        <f ca="1">SUMIFS(Data_Base[Closing],Data_Base[Billing_Group],Juice!$C47,Data_Base[Distributor Name],Juice!$F$1,Data_Base[month],Juice!$N$1,Data_Base[Fin. Year],#REF!)</f>
        <v>0</v>
      </c>
      <c r="O47" s="132">
        <f ca="1">SUMIFS(Data_Base[Receive],Data_Base[Billing_Group],Juice!$C47,Data_Base[Distributor Name],Juice!$F$1,Data_Base[month],Juice!$N$1,Data_Base[Fin. Year],#REF!)</f>
        <v>0</v>
      </c>
      <c r="P47" s="120">
        <f ca="1">SUMIFS(Data_Base[Total],Data_Base[Billing_Group],Juice!$C47,Data_Base[Distributor Name],Juice!$F$1,Data_Base[month],Juice!$N$1,Data_Base[Fin. Year],#REF!)</f>
        <v>0</v>
      </c>
      <c r="Q47" s="132">
        <f ca="1">SUMIFS(Data_Base[Sale],Data_Base[Billing_Group],Juice!$C47,Data_Base[Distributor Name],Juice!$F$1,Data_Base[month],Juice!$N$1,Data_Base[Fin. Year],#REF!)</f>
        <v>0</v>
      </c>
      <c r="R47" s="120">
        <f ca="1">SUMIFS(Data_Base[Closing],Data_Base[Billing_Group],Juice!$C47,Data_Base[Distributor Name],Juice!$F$1,Data_Base[month],Juice!$N$1,Data_Base[Fin. Year],#REF!)</f>
        <v>0</v>
      </c>
    </row>
    <row r="48" spans="1:18" ht="26.25" customHeight="1" thickBot="1">
      <c r="C48" s="58"/>
      <c r="D48" s="297" t="s">
        <v>45</v>
      </c>
      <c r="E48" s="266"/>
      <c r="F48" s="267"/>
      <c r="G48" s="164"/>
      <c r="H48" s="144"/>
      <c r="I48" s="136">
        <f>SUMIFS(Target[Target],Target[SS 2],$F$1,Target[DB 2],$J$1,Target[Cat.2],$C48,Target[Month],$N$1)</f>
        <v>0</v>
      </c>
      <c r="J48" s="117">
        <f ca="1">SUMIFS(Data_Base[Opening],Data_Base[Billing_Group],Juice!$C48,Data_Base[Distributor Name],Juice!$F$1,Data_Base[month],Juice!$N$1,Data_Base[Fin. Year],#REF!)</f>
        <v>0</v>
      </c>
      <c r="K48" s="117">
        <f ca="1">SUMIFS(Data_Base[Receive],Data_Base[Billing_Group],Juice!$C48,Data_Base[Distributor Name],Juice!$F$1,Data_Base[month],Juice!$N$1,Data_Base[Fin. Year],#REF!)</f>
        <v>0</v>
      </c>
      <c r="L48" s="117">
        <f ca="1">SUMIFS(Data_Base[Total],Data_Base[Billing_Group],Juice!$C48,Data_Base[Distributor Name],Juice!$F$1,Data_Base[month],Juice!$N$1,Data_Base[Fin. Year],#REF!)</f>
        <v>0</v>
      </c>
      <c r="M48" s="117">
        <f ca="1">SUMIFS(Data_Base[Sale],Data_Base[Billing_Group],Juice!$C48,Data_Base[Distributor Name],Juice!$F$1,Data_Base[month],Juice!$N$1,Data_Base[Fin. Year],#REF!)</f>
        <v>0</v>
      </c>
      <c r="N48" s="128">
        <f ca="1">SUMIFS(Data_Base[Closing],Data_Base[Billing_Group],Juice!$C48,Data_Base[Distributor Name],Juice!$F$1,Data_Base[month],Juice!$N$1,Data_Base[Fin. Year],#REF!)</f>
        <v>0</v>
      </c>
      <c r="O48" s="132">
        <f ca="1">SUMIFS(Data_Base[Receive],Data_Base[Billing_Group],Juice!$C48,Data_Base[Distributor Name],Juice!$F$1,Data_Base[month],Juice!$N$1,Data_Base[Fin. Year],#REF!)</f>
        <v>0</v>
      </c>
      <c r="P48" s="120">
        <f ca="1">SUMIFS(Data_Base[Total],Data_Base[Billing_Group],Juice!$C48,Data_Base[Distributor Name],Juice!$F$1,Data_Base[month],Juice!$N$1,Data_Base[Fin. Year],#REF!)</f>
        <v>0</v>
      </c>
      <c r="Q48" s="132">
        <f ca="1">SUMIFS(Data_Base[Sale],Data_Base[Billing_Group],Juice!$C48,Data_Base[Distributor Name],Juice!$F$1,Data_Base[month],Juice!$N$1,Data_Base[Fin. Year],#REF!)</f>
        <v>0</v>
      </c>
      <c r="R48" s="120">
        <f ca="1">SUMIFS(Data_Base[Closing],Data_Base[Billing_Group],Juice!$C48,Data_Base[Distributor Name],Juice!$F$1,Data_Base[month],Juice!$N$1,Data_Base[Fin. Year],#REF!)</f>
        <v>0</v>
      </c>
    </row>
    <row r="49" spans="1:18" ht="28.5" customHeight="1" thickBot="1">
      <c r="A49" s="11" t="str">
        <f>A46</f>
        <v>Chocolates &amp; Confectionery</v>
      </c>
      <c r="B49" s="11" t="str">
        <f t="shared" ref="B49" si="6">TRIM(E49&amp;" "&amp;F49&amp;" "&amp;G49&amp;" "&amp;H49)</f>
        <v>OTHER</v>
      </c>
      <c r="C49" s="58">
        <v>199</v>
      </c>
      <c r="D49" s="81"/>
      <c r="E49" s="268" t="s">
        <v>14</v>
      </c>
      <c r="F49" s="269"/>
      <c r="G49" s="269"/>
      <c r="H49" s="269"/>
      <c r="I49" s="121">
        <f>SUMIFS(Target[Target],Target[SS 2],$F$1,Target[DB 2],$J$1,Target[Cat.2],$C49,Target[Month],$N$1)</f>
        <v>0</v>
      </c>
      <c r="J49" s="122">
        <f ca="1">SUMIFS(Data_Base[Opening],Data_Base[Billing_Group],Juice!$C49,Data_Base[Distributor Name],Juice!$F$1,Data_Base[month],Juice!$N$1,Data_Base[Fin. Year],#REF!)</f>
        <v>0</v>
      </c>
      <c r="K49" s="122">
        <f ca="1">SUMIFS(Data_Base[Receive],Data_Base[Billing_Group],Juice!$C49,Data_Base[Distributor Name],Juice!$F$1,Data_Base[month],Juice!$N$1,Data_Base[Fin. Year],#REF!)</f>
        <v>0</v>
      </c>
      <c r="L49" s="122">
        <f ca="1">SUMIFS(Data_Base[Total],Data_Base[Billing_Group],Juice!$C49,Data_Base[Distributor Name],Juice!$F$1,Data_Base[month],Juice!$N$1,Data_Base[Fin. Year],#REF!)</f>
        <v>0</v>
      </c>
      <c r="M49" s="122">
        <f ca="1">SUMIFS(Data_Base[Sale],Data_Base[Billing_Group],Juice!$C49,Data_Base[Distributor Name],Juice!$F$1,Data_Base[month],Juice!$N$1,Data_Base[Fin. Year],#REF!)</f>
        <v>0</v>
      </c>
      <c r="N49" s="129">
        <f ca="1">SUMIFS(Data_Base[Closing],Data_Base[Billing_Group],Juice!$C49,Data_Base[Distributor Name],Juice!$F$1,Data_Base[month],Juice!$N$1,Data_Base[Fin. Year],#REF!)</f>
        <v>0</v>
      </c>
      <c r="O49" s="133">
        <f ca="1">SUMIFS(Data_Base[Receive],Data_Base[Billing_Group],Juice!$C49,Data_Base[Distributor Name],Juice!$F$1,Data_Base[month],Juice!$N$1,Data_Base[Fin. Year],#REF!)</f>
        <v>0</v>
      </c>
      <c r="P49" s="123">
        <f ca="1">SUMIFS(Data_Base[Total],Data_Base[Billing_Group],Juice!$C49,Data_Base[Distributor Name],Juice!$F$1,Data_Base[month],Juice!$N$1,Data_Base[Fin. Year],#REF!)</f>
        <v>0</v>
      </c>
      <c r="Q49" s="133">
        <f ca="1">SUMIFS(Data_Base[Sale],Data_Base[Billing_Group],Juice!$C49,Data_Base[Distributor Name],Juice!$F$1,Data_Base[month],Juice!$N$1,Data_Base[Fin. Year],#REF!)</f>
        <v>0</v>
      </c>
      <c r="R49" s="123">
        <f ca="1">SUMIFS(Data_Base[Closing],Data_Base[Billing_Group],Juice!$C49,Data_Base[Distributor Name],Juice!$F$1,Data_Base[month],Juice!$N$1,Data_Base[Fin. Year],#REF!)</f>
        <v>0</v>
      </c>
    </row>
    <row r="50" spans="1:18" ht="36" customHeight="1" thickBot="1">
      <c r="C50" s="58"/>
      <c r="D50" s="82"/>
      <c r="E50" s="261" t="s">
        <v>38</v>
      </c>
      <c r="F50" s="262"/>
      <c r="G50" s="262"/>
      <c r="H50" s="263"/>
      <c r="I50" s="72">
        <f t="shared" ref="I50" si="7">SUM(I23:I49)</f>
        <v>0</v>
      </c>
      <c r="J50" s="72">
        <f t="shared" ref="J50:R50" ca="1" si="8">SUM(J23:J49)</f>
        <v>0</v>
      </c>
      <c r="K50" s="72">
        <f t="shared" ca="1" si="8"/>
        <v>0</v>
      </c>
      <c r="L50" s="72">
        <f t="shared" ca="1" si="8"/>
        <v>0</v>
      </c>
      <c r="M50" s="72">
        <f t="shared" ca="1" si="8"/>
        <v>0</v>
      </c>
      <c r="N50" s="72">
        <f t="shared" ca="1" si="8"/>
        <v>0</v>
      </c>
      <c r="O50" s="72">
        <f t="shared" ca="1" si="8"/>
        <v>0</v>
      </c>
      <c r="P50" s="72">
        <f t="shared" ca="1" si="8"/>
        <v>0</v>
      </c>
      <c r="Q50" s="72">
        <f t="shared" ca="1" si="8"/>
        <v>0</v>
      </c>
      <c r="R50" s="72">
        <f t="shared" ca="1" si="8"/>
        <v>0</v>
      </c>
    </row>
  </sheetData>
  <mergeCells count="15">
    <mergeCell ref="E50:H50"/>
    <mergeCell ref="E47:F48"/>
    <mergeCell ref="E49:H49"/>
    <mergeCell ref="E17:G17"/>
    <mergeCell ref="E4:F4"/>
    <mergeCell ref="E23:F23"/>
    <mergeCell ref="E21:F21"/>
    <mergeCell ref="D1:E1"/>
    <mergeCell ref="J1:M1"/>
    <mergeCell ref="D3:E3"/>
    <mergeCell ref="F3:Q3"/>
    <mergeCell ref="E20:G20"/>
    <mergeCell ref="E22:G22"/>
    <mergeCell ref="Q1:R1"/>
    <mergeCell ref="F1:G1"/>
  </mergeCells>
  <conditionalFormatting sqref="C23:H23 E49:E50 G31:H33 C24:C50 C5:N5 E47:H48 G45:H46 G37:H40 N18:N19 E20:G22 E18:M18 O5:R16 I23:R49 R18:R19 G21:R21 O19:P19 O18:Q18 C6:C22 E17:G17 D6:D17 E19:L19 D24:D48 E24:H30 E31:E33 E34:H36 E37:E40 E41:H44 E45:E46 E6:N16">
    <cfRule type="cellIs" dxfId="12" priority="28" operator="equal">
      <formula>0</formula>
    </cfRule>
  </conditionalFormatting>
  <conditionalFormatting sqref="H4 J4:N4">
    <cfRule type="cellIs" dxfId="11" priority="27" operator="equal">
      <formula>0</formula>
    </cfRule>
  </conditionalFormatting>
  <conditionalFormatting sqref="M19">
    <cfRule type="cellIs" dxfId="10" priority="8" operator="equal">
      <formula>0</formula>
    </cfRule>
  </conditionalFormatting>
  <conditionalFormatting sqref="I4">
    <cfRule type="cellIs" dxfId="9" priority="3" operator="equal">
      <formula>0</formula>
    </cfRule>
  </conditionalFormatting>
  <conditionalFormatting sqref="Q19">
    <cfRule type="cellIs" dxfId="8" priority="2" operator="equal">
      <formula>0</formula>
    </cfRule>
  </conditionalFormatting>
  <conditionalFormatting sqref="O4:R4">
    <cfRule type="cellIs" dxfId="7" priority="1" operator="equal">
      <formula>0</formula>
    </cfRule>
  </conditionalFormatting>
  <pageMargins left="0.22" right="0.23" top="0.3" bottom="0.25" header="0.2" footer="0.3"/>
  <pageSetup paperSize="9" scale="6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E784DC1-FDDF-4F7C-A43F-45FC20492493}">
          <x14:formula1>
            <xm:f>Item_Master!$N$2:$N$500</xm:f>
          </x14:formula1>
          <xm:sqref>F1:F2</xm:sqref>
        </x14:dataValidation>
        <x14:dataValidation type="list" showInputMessage="1" showErrorMessage="1" xr:uid="{52BAB37D-3F3A-4FE4-B0E7-F2EA4F0D736C}">
          <x14:formula1>
            <xm:f>Item_Master!$Q$2:$Q$13</xm:f>
          </x14:formula1>
          <xm:sqref>R3</xm:sqref>
        </x14:dataValidation>
        <x14:dataValidation type="list" allowBlank="1" showInputMessage="1" showErrorMessage="1" xr:uid="{6095BD79-97A5-4669-BC5D-0B1F25FBAB34}">
          <x14:formula1>
            <xm:f>Biscuit!$T$1:$T$50</xm:f>
          </x14:formula1>
          <xm:sqref>J1:M1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8F6DF-6DC7-472E-AA3E-F935A803EBF6}">
  <sheetPr codeName="Sheet3"/>
  <dimension ref="A1:R311"/>
  <sheetViews>
    <sheetView zoomScale="110" zoomScaleNormal="110" workbookViewId="0">
      <selection activeCell="B1" sqref="B1"/>
    </sheetView>
  </sheetViews>
  <sheetFormatPr defaultColWidth="8.81640625" defaultRowHeight="14.5"/>
  <cols>
    <col min="1" max="1" width="13.6328125" customWidth="1"/>
    <col min="2" max="2" width="15.6328125" bestFit="1" customWidth="1"/>
    <col min="3" max="3" width="41.453125" bestFit="1" customWidth="1"/>
    <col min="4" max="4" width="26.1796875" style="5" bestFit="1" customWidth="1"/>
    <col min="5" max="5" width="14" style="4" bestFit="1" customWidth="1"/>
    <col min="6" max="6" width="24.6328125" style="4" bestFit="1" customWidth="1"/>
    <col min="7" max="7" width="53.453125" style="4" bestFit="1" customWidth="1"/>
    <col min="8" max="8" width="30" style="4" bestFit="1" customWidth="1"/>
    <col min="9" max="9" width="32.81640625" bestFit="1" customWidth="1"/>
    <col min="10" max="10" width="8.453125" bestFit="1" customWidth="1"/>
    <col min="11" max="11" width="8" bestFit="1" customWidth="1"/>
    <col min="12" max="12" width="7" bestFit="1" customWidth="1"/>
    <col min="13" max="13" width="5.1796875" bestFit="1" customWidth="1"/>
    <col min="14" max="14" width="7.453125" bestFit="1" customWidth="1"/>
    <col min="15" max="15" width="12" bestFit="1" customWidth="1"/>
    <col min="16" max="16" width="45.6328125" bestFit="1" customWidth="1"/>
  </cols>
  <sheetData>
    <row r="1" spans="1:18" s="188" customFormat="1" ht="23.25" customHeight="1">
      <c r="A1" s="181" t="s">
        <v>2381</v>
      </c>
      <c r="B1" s="181" t="s">
        <v>69</v>
      </c>
      <c r="C1" s="182" t="s">
        <v>955</v>
      </c>
      <c r="D1" s="181" t="s">
        <v>892</v>
      </c>
      <c r="E1" s="181" t="s">
        <v>944</v>
      </c>
      <c r="F1" s="183" t="s">
        <v>71</v>
      </c>
      <c r="G1" s="184" t="s">
        <v>72</v>
      </c>
      <c r="H1" s="185" t="s">
        <v>73</v>
      </c>
      <c r="I1" s="186" t="s">
        <v>74</v>
      </c>
      <c r="J1" s="186" t="s">
        <v>75</v>
      </c>
      <c r="K1" s="186" t="s">
        <v>76</v>
      </c>
      <c r="L1" s="186" t="s">
        <v>77</v>
      </c>
      <c r="M1" s="184" t="s">
        <v>78</v>
      </c>
      <c r="N1" s="187" t="s">
        <v>7</v>
      </c>
      <c r="O1" s="187" t="s">
        <v>79</v>
      </c>
      <c r="P1" s="187" t="s">
        <v>80</v>
      </c>
      <c r="Q1" s="187" t="s">
        <v>81</v>
      </c>
      <c r="R1" s="187" t="s">
        <v>8</v>
      </c>
    </row>
    <row r="2" spans="1:18" ht="17">
      <c r="A2" s="60" t="str">
        <f>IFERROR(VLOOKUP(Data_Base[[#This Row],[Distributor Name]],Target[SS 2],1,FALSE),"Delete")</f>
        <v>SUNRISE ENTERPRISES</v>
      </c>
      <c r="B2" s="60">
        <f ca="1">IFERROR(VLOOKUP(Data_Base[[#This Row],[Item Sub Category]],Table2[[Sub Category]:[Billing Group]],3,0),99)</f>
        <v>39</v>
      </c>
      <c r="C2" s="167" t="str">
        <f>VLOOKUP(Data_Base[[#This Row],[Item Description]],Table2[[Item Name]:[Sub Category]],6,0)</f>
        <v>Puff Crme - Lemon -5</v>
      </c>
      <c r="D2" s="60" t="s">
        <v>893</v>
      </c>
      <c r="E2" s="60" t="s">
        <v>82</v>
      </c>
      <c r="F2" s="168" t="s">
        <v>1407</v>
      </c>
      <c r="G2" s="169" t="s">
        <v>1408</v>
      </c>
      <c r="H2" s="170" t="s">
        <v>1409</v>
      </c>
      <c r="I2" s="171" t="s">
        <v>980</v>
      </c>
      <c r="J2" s="172" t="s">
        <v>83</v>
      </c>
      <c r="K2" s="173" t="s">
        <v>84</v>
      </c>
      <c r="L2" s="174" t="s">
        <v>0</v>
      </c>
      <c r="M2" s="175" t="s">
        <v>85</v>
      </c>
      <c r="N2" s="176">
        <v>112</v>
      </c>
      <c r="O2" s="177">
        <v>0</v>
      </c>
      <c r="P2" s="178">
        <v>112</v>
      </c>
      <c r="Q2" s="179">
        <v>38</v>
      </c>
      <c r="R2" s="180">
        <v>74</v>
      </c>
    </row>
    <row r="3" spans="1:18" ht="17">
      <c r="A3" s="60" t="str">
        <f>IFERROR(VLOOKUP(Data_Base[[#This Row],[Distributor Name]],Target[SS 2],1,FALSE),"Delete")</f>
        <v>SUNRISE ENTERPRISES</v>
      </c>
      <c r="B3" s="60">
        <f ca="1">IFERROR(VLOOKUP(Data_Base[[#This Row],[Item Sub Category]],Table2[[Sub Category]:[Billing Group]],3,0),99)</f>
        <v>66</v>
      </c>
      <c r="C3" s="167" t="str">
        <f>VLOOKUP(Data_Base[[#This Row],[Item Description]],Table2[[Item Name]:[Sub Category]],6,0)</f>
        <v>Cheez Bit - 50</v>
      </c>
      <c r="D3" s="60" t="s">
        <v>893</v>
      </c>
      <c r="E3" s="60" t="s">
        <v>82</v>
      </c>
      <c r="F3" s="168" t="s">
        <v>1407</v>
      </c>
      <c r="G3" s="169" t="s">
        <v>1408</v>
      </c>
      <c r="H3" s="170" t="s">
        <v>1409</v>
      </c>
      <c r="I3" s="171" t="s">
        <v>980</v>
      </c>
      <c r="J3" s="172" t="s">
        <v>760</v>
      </c>
      <c r="K3" s="173" t="s">
        <v>965</v>
      </c>
      <c r="L3" s="174" t="s">
        <v>0</v>
      </c>
      <c r="M3" s="175" t="s">
        <v>262</v>
      </c>
      <c r="N3" s="176">
        <v>78</v>
      </c>
      <c r="O3" s="177">
        <v>322</v>
      </c>
      <c r="P3" s="178">
        <v>400</v>
      </c>
      <c r="Q3" s="179">
        <v>325</v>
      </c>
      <c r="R3" s="180">
        <v>131</v>
      </c>
    </row>
    <row r="4" spans="1:18" ht="17">
      <c r="A4" s="60" t="str">
        <f>IFERROR(VLOOKUP(Data_Base[[#This Row],[Distributor Name]],Target[SS 2],1,FALSE),"Delete")</f>
        <v>SUNRISE ENTERPRISES</v>
      </c>
      <c r="B4" s="60">
        <f ca="1">IFERROR(VLOOKUP(Data_Base[[#This Row],[Item Sub Category]],Table2[[Sub Category]:[Billing Group]],3,0),99)</f>
        <v>2</v>
      </c>
      <c r="C4" s="167" t="str">
        <f>VLOOKUP(Data_Base[[#This Row],[Item Description]],Table2[[Item Name]:[Sub Category]],6,0)</f>
        <v>Butter Bite -.5/-</v>
      </c>
      <c r="D4" s="60" t="s">
        <v>893</v>
      </c>
      <c r="E4" s="60" t="s">
        <v>82</v>
      </c>
      <c r="F4" s="168" t="s">
        <v>1407</v>
      </c>
      <c r="G4" s="169" t="s">
        <v>1408</v>
      </c>
      <c r="H4" s="170" t="s">
        <v>1409</v>
      </c>
      <c r="I4" s="171" t="s">
        <v>980</v>
      </c>
      <c r="J4" s="172" t="s">
        <v>220</v>
      </c>
      <c r="K4" s="173" t="s">
        <v>221</v>
      </c>
      <c r="L4" s="174" t="s">
        <v>0</v>
      </c>
      <c r="M4" s="175" t="s">
        <v>222</v>
      </c>
      <c r="N4" s="176">
        <v>98</v>
      </c>
      <c r="O4" s="177">
        <v>0</v>
      </c>
      <c r="P4" s="178">
        <v>98</v>
      </c>
      <c r="Q4" s="179">
        <v>17</v>
      </c>
      <c r="R4" s="180">
        <v>81</v>
      </c>
    </row>
    <row r="5" spans="1:18" ht="17">
      <c r="A5" s="60" t="str">
        <f>IFERROR(VLOOKUP(Data_Base[[#This Row],[Distributor Name]],Target[SS 2],1,FALSE),"Delete")</f>
        <v>SUNRISE ENTERPRISES</v>
      </c>
      <c r="B5" s="60">
        <f ca="1">IFERROR(VLOOKUP(Data_Base[[#This Row],[Item Sub Category]],Table2[[Sub Category]:[Billing Group]],3,0),99)</f>
        <v>3</v>
      </c>
      <c r="C5" s="167" t="str">
        <f>VLOOKUP(Data_Base[[#This Row],[Item Description]],Table2[[Item Name]:[Sub Category]],6,0)</f>
        <v>Butter Bite -.10/-</v>
      </c>
      <c r="D5" s="60" t="s">
        <v>893</v>
      </c>
      <c r="E5" s="60" t="s">
        <v>82</v>
      </c>
      <c r="F5" s="168" t="s">
        <v>1407</v>
      </c>
      <c r="G5" s="169" t="s">
        <v>1408</v>
      </c>
      <c r="H5" s="170" t="s">
        <v>1409</v>
      </c>
      <c r="I5" s="171" t="s">
        <v>980</v>
      </c>
      <c r="J5" s="172" t="s">
        <v>89</v>
      </c>
      <c r="K5" s="173" t="s">
        <v>90</v>
      </c>
      <c r="L5" s="174" t="s">
        <v>0</v>
      </c>
      <c r="M5" s="175" t="s">
        <v>91</v>
      </c>
      <c r="N5" s="176">
        <v>9</v>
      </c>
      <c r="O5" s="177">
        <v>0</v>
      </c>
      <c r="P5" s="178">
        <v>9</v>
      </c>
      <c r="Q5" s="179">
        <v>2</v>
      </c>
      <c r="R5" s="180">
        <v>7</v>
      </c>
    </row>
    <row r="6" spans="1:18" ht="17">
      <c r="A6" s="60" t="str">
        <f>IFERROR(VLOOKUP(Data_Base[[#This Row],[Distributor Name]],Target[SS 2],1,FALSE),"Delete")</f>
        <v>SUNRISE ENTERPRISES</v>
      </c>
      <c r="B6" s="60">
        <f ca="1">IFERROR(VLOOKUP(Data_Base[[#This Row],[Item Sub Category]],Table2[[Sub Category]:[Billing Group]],3,0),99)</f>
        <v>4</v>
      </c>
      <c r="C6" s="167" t="str">
        <f>VLOOKUP(Data_Base[[#This Row],[Item Description]],Table2[[Item Name]:[Sub Category]],6,0)</f>
        <v>Butter Bite -.20/-</v>
      </c>
      <c r="D6" s="60" t="s">
        <v>893</v>
      </c>
      <c r="E6" s="60" t="s">
        <v>82</v>
      </c>
      <c r="F6" s="168" t="s">
        <v>1407</v>
      </c>
      <c r="G6" s="169" t="s">
        <v>1408</v>
      </c>
      <c r="H6" s="170" t="s">
        <v>1409</v>
      </c>
      <c r="I6" s="171" t="s">
        <v>980</v>
      </c>
      <c r="J6" s="172" t="s">
        <v>92</v>
      </c>
      <c r="K6" s="173" t="s">
        <v>93</v>
      </c>
      <c r="L6" s="174" t="s">
        <v>0</v>
      </c>
      <c r="M6" s="175" t="s">
        <v>94</v>
      </c>
      <c r="N6" s="176">
        <v>274</v>
      </c>
      <c r="O6" s="177">
        <v>218</v>
      </c>
      <c r="P6" s="178">
        <v>492</v>
      </c>
      <c r="Q6" s="179">
        <v>293</v>
      </c>
      <c r="R6" s="180">
        <v>202</v>
      </c>
    </row>
    <row r="7" spans="1:18" ht="17">
      <c r="A7" s="60" t="str">
        <f>IFERROR(VLOOKUP(Data_Base[[#This Row],[Distributor Name]],Target[SS 2],1,FALSE),"Delete")</f>
        <v>SUNRISE ENTERPRISES</v>
      </c>
      <c r="B7" s="60">
        <f ca="1">IFERROR(VLOOKUP(Data_Base[[#This Row],[Item Sub Category]],Table2[[Sub Category]:[Billing Group]],3,0),99)</f>
        <v>7</v>
      </c>
      <c r="C7" s="167" t="str">
        <f>VLOOKUP(Data_Base[[#This Row],[Item Description]],Table2[[Item Name]:[Sub Category]],6,0)</f>
        <v>B.B Cashew -10</v>
      </c>
      <c r="D7" s="60" t="s">
        <v>893</v>
      </c>
      <c r="E7" s="60" t="s">
        <v>82</v>
      </c>
      <c r="F7" s="168" t="s">
        <v>1407</v>
      </c>
      <c r="G7" s="169" t="s">
        <v>1408</v>
      </c>
      <c r="H7" s="170" t="s">
        <v>1409</v>
      </c>
      <c r="I7" s="171" t="s">
        <v>980</v>
      </c>
      <c r="J7" s="172" t="s">
        <v>95</v>
      </c>
      <c r="K7" s="173" t="s">
        <v>96</v>
      </c>
      <c r="L7" s="174" t="s">
        <v>0</v>
      </c>
      <c r="M7" s="175" t="s">
        <v>97</v>
      </c>
      <c r="N7" s="176">
        <v>19</v>
      </c>
      <c r="O7" s="177">
        <v>0</v>
      </c>
      <c r="P7" s="178">
        <v>19</v>
      </c>
      <c r="Q7" s="179">
        <v>13</v>
      </c>
      <c r="R7" s="180">
        <v>8</v>
      </c>
    </row>
    <row r="8" spans="1:18" ht="17">
      <c r="A8" s="60" t="str">
        <f>IFERROR(VLOOKUP(Data_Base[[#This Row],[Distributor Name]],Target[SS 2],1,FALSE),"Delete")</f>
        <v>SUNRISE ENTERPRISES</v>
      </c>
      <c r="B8" s="60">
        <f ca="1">IFERROR(VLOOKUP(Data_Base[[#This Row],[Item Sub Category]],Table2[[Sub Category]:[Billing Group]],3,0),99)</f>
        <v>9</v>
      </c>
      <c r="C8" s="167" t="str">
        <f>VLOOKUP(Data_Base[[#This Row],[Item Description]],Table2[[Item Name]:[Sub Category]],6,0)</f>
        <v>B.B Cashew -45</v>
      </c>
      <c r="D8" s="60" t="s">
        <v>893</v>
      </c>
      <c r="E8" s="60" t="s">
        <v>82</v>
      </c>
      <c r="F8" s="168" t="s">
        <v>1407</v>
      </c>
      <c r="G8" s="169" t="s">
        <v>1408</v>
      </c>
      <c r="H8" s="170" t="s">
        <v>1409</v>
      </c>
      <c r="I8" s="171" t="s">
        <v>980</v>
      </c>
      <c r="J8" s="172" t="s">
        <v>309</v>
      </c>
      <c r="K8" s="173" t="s">
        <v>310</v>
      </c>
      <c r="L8" s="174" t="s">
        <v>0</v>
      </c>
      <c r="M8" s="175" t="s">
        <v>267</v>
      </c>
      <c r="N8" s="176">
        <v>6.0016999999999996</v>
      </c>
      <c r="O8" s="177">
        <v>0</v>
      </c>
      <c r="P8" s="178">
        <v>6.0016999999999996</v>
      </c>
      <c r="Q8" s="179">
        <v>5</v>
      </c>
      <c r="R8" s="180">
        <v>1.0017</v>
      </c>
    </row>
    <row r="9" spans="1:18" ht="17">
      <c r="A9" s="60" t="str">
        <f>IFERROR(VLOOKUP(Data_Base[[#This Row],[Distributor Name]],Target[SS 2],1,FALSE),"Delete")</f>
        <v>SUNRISE ENTERPRISES</v>
      </c>
      <c r="B9" s="60">
        <f ca="1">IFERROR(VLOOKUP(Data_Base[[#This Row],[Item Sub Category]],Table2[[Sub Category]:[Billing Group]],3,0),99)</f>
        <v>10</v>
      </c>
      <c r="C9" s="167" t="str">
        <f>VLOOKUP(Data_Base[[#This Row],[Item Description]],Table2[[Item Name]:[Sub Category]],6,0)</f>
        <v>Butter Lite Jeera-.5/-</v>
      </c>
      <c r="D9" s="60" t="s">
        <v>893</v>
      </c>
      <c r="E9" s="60" t="s">
        <v>82</v>
      </c>
      <c r="F9" s="168" t="s">
        <v>1407</v>
      </c>
      <c r="G9" s="169" t="s">
        <v>1408</v>
      </c>
      <c r="H9" s="170" t="s">
        <v>1409</v>
      </c>
      <c r="I9" s="171" t="s">
        <v>980</v>
      </c>
      <c r="J9" s="172" t="s">
        <v>98</v>
      </c>
      <c r="K9" s="173" t="s">
        <v>99</v>
      </c>
      <c r="L9" s="174" t="s">
        <v>0</v>
      </c>
      <c r="M9" s="175" t="s">
        <v>100</v>
      </c>
      <c r="N9" s="176">
        <v>25</v>
      </c>
      <c r="O9" s="177">
        <v>0</v>
      </c>
      <c r="P9" s="178">
        <v>25</v>
      </c>
      <c r="Q9" s="179">
        <v>1</v>
      </c>
      <c r="R9" s="180">
        <v>24</v>
      </c>
    </row>
    <row r="10" spans="1:18" ht="17">
      <c r="A10" s="60" t="str">
        <f>IFERROR(VLOOKUP(Data_Base[[#This Row],[Distributor Name]],Target[SS 2],1,FALSE),"Delete")</f>
        <v>SUNRISE ENTERPRISES</v>
      </c>
      <c r="B10" s="60">
        <f ca="1">IFERROR(VLOOKUP(Data_Base[[#This Row],[Item Sub Category]],Table2[[Sub Category]:[Billing Group]],3,0),99)</f>
        <v>11</v>
      </c>
      <c r="C10" s="167" t="str">
        <f>VLOOKUP(Data_Base[[#This Row],[Item Description]],Table2[[Item Name]:[Sub Category]],6,0)</f>
        <v>Butter Lite Jeera-.10/-</v>
      </c>
      <c r="D10" s="60" t="s">
        <v>893</v>
      </c>
      <c r="E10" s="60" t="s">
        <v>82</v>
      </c>
      <c r="F10" s="168" t="s">
        <v>1407</v>
      </c>
      <c r="G10" s="169" t="s">
        <v>1408</v>
      </c>
      <c r="H10" s="170" t="s">
        <v>1409</v>
      </c>
      <c r="I10" s="171" t="s">
        <v>980</v>
      </c>
      <c r="J10" s="172" t="s">
        <v>101</v>
      </c>
      <c r="K10" s="173" t="s">
        <v>102</v>
      </c>
      <c r="L10" s="174" t="s">
        <v>0</v>
      </c>
      <c r="M10" s="175" t="s">
        <v>103</v>
      </c>
      <c r="N10" s="176">
        <v>13</v>
      </c>
      <c r="O10" s="177">
        <v>0</v>
      </c>
      <c r="P10" s="178">
        <v>13</v>
      </c>
      <c r="Q10" s="179">
        <v>4</v>
      </c>
      <c r="R10" s="180">
        <v>9</v>
      </c>
    </row>
    <row r="11" spans="1:18" ht="17">
      <c r="A11" s="60" t="str">
        <f>IFERROR(VLOOKUP(Data_Base[[#This Row],[Distributor Name]],Target[SS 2],1,FALSE),"Delete")</f>
        <v>SUNRISE ENTERPRISES</v>
      </c>
      <c r="B11" s="60">
        <f ca="1">IFERROR(VLOOKUP(Data_Base[[#This Row],[Item Sub Category]],Table2[[Sub Category]:[Billing Group]],3,0),99)</f>
        <v>12</v>
      </c>
      <c r="C11" s="167" t="str">
        <f>VLOOKUP(Data_Base[[#This Row],[Item Description]],Table2[[Item Name]:[Sub Category]],6,0)</f>
        <v>Butter Lite Jeera-.20/-</v>
      </c>
      <c r="D11" s="60" t="s">
        <v>893</v>
      </c>
      <c r="E11" s="60" t="s">
        <v>82</v>
      </c>
      <c r="F11" s="168" t="s">
        <v>1407</v>
      </c>
      <c r="G11" s="169" t="s">
        <v>1408</v>
      </c>
      <c r="H11" s="170" t="s">
        <v>1409</v>
      </c>
      <c r="I11" s="171" t="s">
        <v>980</v>
      </c>
      <c r="J11" s="172" t="s">
        <v>311</v>
      </c>
      <c r="K11" s="173" t="s">
        <v>312</v>
      </c>
      <c r="L11" s="174" t="s">
        <v>0</v>
      </c>
      <c r="M11" s="175" t="s">
        <v>313</v>
      </c>
      <c r="N11" s="176">
        <v>29</v>
      </c>
      <c r="O11" s="177">
        <v>0</v>
      </c>
      <c r="P11" s="178">
        <v>29</v>
      </c>
      <c r="Q11" s="179">
        <v>4</v>
      </c>
      <c r="R11" s="180">
        <v>25</v>
      </c>
    </row>
    <row r="12" spans="1:18" ht="17">
      <c r="A12" s="60" t="str">
        <f>IFERROR(VLOOKUP(Data_Base[[#This Row],[Distributor Name]],Target[SS 2],1,FALSE),"Delete")</f>
        <v>SUNRISE ENTERPRISES</v>
      </c>
      <c r="B12" s="60">
        <f ca="1">IFERROR(VLOOKUP(Data_Base[[#This Row],[Item Sub Category]],Table2[[Sub Category]:[Billing Group]],3,0),99)</f>
        <v>13</v>
      </c>
      <c r="C12" s="167" t="str">
        <f>VLOOKUP(Data_Base[[#This Row],[Item Description]],Table2[[Item Name]:[Sub Category]],6,0)</f>
        <v>Chooo Chekkers-.5/-</v>
      </c>
      <c r="D12" s="60" t="s">
        <v>893</v>
      </c>
      <c r="E12" s="60" t="s">
        <v>82</v>
      </c>
      <c r="F12" s="168" t="s">
        <v>1407</v>
      </c>
      <c r="G12" s="169" t="s">
        <v>1408</v>
      </c>
      <c r="H12" s="170" t="s">
        <v>1409</v>
      </c>
      <c r="I12" s="171" t="s">
        <v>980</v>
      </c>
      <c r="J12" s="172" t="s">
        <v>104</v>
      </c>
      <c r="K12" s="173" t="s">
        <v>105</v>
      </c>
      <c r="L12" s="174" t="s">
        <v>0</v>
      </c>
      <c r="M12" s="175" t="s">
        <v>106</v>
      </c>
      <c r="N12" s="176">
        <v>-6</v>
      </c>
      <c r="O12" s="177">
        <v>50</v>
      </c>
      <c r="P12" s="178">
        <v>44</v>
      </c>
      <c r="Q12" s="179">
        <v>45</v>
      </c>
      <c r="R12" s="180">
        <v>8</v>
      </c>
    </row>
    <row r="13" spans="1:18" ht="17">
      <c r="A13" s="60" t="str">
        <f>IFERROR(VLOOKUP(Data_Base[[#This Row],[Distributor Name]],Target[SS 2],1,FALSE),"Delete")</f>
        <v>SUNRISE ENTERPRISES</v>
      </c>
      <c r="B13" s="60">
        <f ca="1">IFERROR(VLOOKUP(Data_Base[[#This Row],[Item Sub Category]],Table2[[Sub Category]:[Billing Group]],3,0),99)</f>
        <v>14</v>
      </c>
      <c r="C13" s="167" t="str">
        <f>VLOOKUP(Data_Base[[#This Row],[Item Description]],Table2[[Item Name]:[Sub Category]],6,0)</f>
        <v>Chooo Chekkers-.10/-</v>
      </c>
      <c r="D13" s="60" t="s">
        <v>893</v>
      </c>
      <c r="E13" s="60" t="s">
        <v>82</v>
      </c>
      <c r="F13" s="168" t="s">
        <v>1407</v>
      </c>
      <c r="G13" s="169" t="s">
        <v>1408</v>
      </c>
      <c r="H13" s="170" t="s">
        <v>1409</v>
      </c>
      <c r="I13" s="171" t="s">
        <v>980</v>
      </c>
      <c r="J13" s="172" t="s">
        <v>107</v>
      </c>
      <c r="K13" s="173" t="s">
        <v>108</v>
      </c>
      <c r="L13" s="174" t="s">
        <v>0</v>
      </c>
      <c r="M13" s="175" t="s">
        <v>109</v>
      </c>
      <c r="N13" s="176">
        <v>-2</v>
      </c>
      <c r="O13" s="177">
        <v>55</v>
      </c>
      <c r="P13" s="178">
        <v>53</v>
      </c>
      <c r="Q13" s="179">
        <v>26</v>
      </c>
      <c r="R13" s="180">
        <v>28</v>
      </c>
    </row>
    <row r="14" spans="1:18" ht="17">
      <c r="A14" s="60" t="str">
        <f>IFERROR(VLOOKUP(Data_Base[[#This Row],[Distributor Name]],Target[SS 2],1,FALSE),"Delete")</f>
        <v>SUNRISE ENTERPRISES</v>
      </c>
      <c r="B14" s="60">
        <f ca="1">IFERROR(VLOOKUP(Data_Base[[#This Row],[Item Sub Category]],Table2[[Sub Category]:[Billing Group]],3,0),99)</f>
        <v>15</v>
      </c>
      <c r="C14" s="167" t="str">
        <f>VLOOKUP(Data_Base[[#This Row],[Item Description]],Table2[[Item Name]:[Sub Category]],6,0)</f>
        <v>Chooo Chekkers-.20/-</v>
      </c>
      <c r="D14" s="60" t="s">
        <v>893</v>
      </c>
      <c r="E14" s="60" t="s">
        <v>82</v>
      </c>
      <c r="F14" s="168" t="s">
        <v>1407</v>
      </c>
      <c r="G14" s="169" t="s">
        <v>1408</v>
      </c>
      <c r="H14" s="170" t="s">
        <v>1409</v>
      </c>
      <c r="I14" s="171" t="s">
        <v>980</v>
      </c>
      <c r="J14" s="172" t="s">
        <v>353</v>
      </c>
      <c r="K14" s="173" t="s">
        <v>354</v>
      </c>
      <c r="L14" s="174" t="s">
        <v>0</v>
      </c>
      <c r="M14" s="175" t="s">
        <v>340</v>
      </c>
      <c r="N14" s="176">
        <v>33</v>
      </c>
      <c r="O14" s="177">
        <v>50</v>
      </c>
      <c r="P14" s="178">
        <v>83</v>
      </c>
      <c r="Q14" s="179">
        <v>38</v>
      </c>
      <c r="R14" s="180">
        <v>49</v>
      </c>
    </row>
    <row r="15" spans="1:18" ht="17">
      <c r="A15" s="60" t="str">
        <f>IFERROR(VLOOKUP(Data_Base[[#This Row],[Distributor Name]],Target[SS 2],1,FALSE),"Delete")</f>
        <v>SUNRISE ENTERPRISES</v>
      </c>
      <c r="B15" s="60">
        <f ca="1">IFERROR(VLOOKUP(Data_Base[[#This Row],[Item Sub Category]],Table2[[Sub Category]:[Billing Group]],3,0),99)</f>
        <v>22</v>
      </c>
      <c r="C15" s="167" t="str">
        <f>VLOOKUP(Data_Base[[#This Row],[Item Description]],Table2[[Item Name]:[Sub Category]],6,0)</f>
        <v>Snakker Creme-.10/-</v>
      </c>
      <c r="D15" s="60" t="s">
        <v>893</v>
      </c>
      <c r="E15" s="60" t="s">
        <v>82</v>
      </c>
      <c r="F15" s="168" t="s">
        <v>1407</v>
      </c>
      <c r="G15" s="169" t="s">
        <v>1408</v>
      </c>
      <c r="H15" s="170" t="s">
        <v>1409</v>
      </c>
      <c r="I15" s="171" t="s">
        <v>980</v>
      </c>
      <c r="J15" s="172" t="s">
        <v>314</v>
      </c>
      <c r="K15" s="173" t="s">
        <v>315</v>
      </c>
      <c r="L15" s="174" t="s">
        <v>0</v>
      </c>
      <c r="M15" s="175" t="s">
        <v>316</v>
      </c>
      <c r="N15" s="176">
        <v>74</v>
      </c>
      <c r="O15" s="177">
        <v>50</v>
      </c>
      <c r="P15" s="178">
        <v>124</v>
      </c>
      <c r="Q15" s="179">
        <v>17</v>
      </c>
      <c r="R15" s="180">
        <v>107</v>
      </c>
    </row>
    <row r="16" spans="1:18" ht="17">
      <c r="A16" s="60" t="str">
        <f>IFERROR(VLOOKUP(Data_Base[[#This Row],[Distributor Name]],Target[SS 2],1,FALSE),"Delete")</f>
        <v>SUNRISE ENTERPRISES</v>
      </c>
      <c r="B16" s="60">
        <f ca="1">IFERROR(VLOOKUP(Data_Base[[#This Row],[Item Sub Category]],Table2[[Sub Category]:[Billing Group]],3,0),99)</f>
        <v>24</v>
      </c>
      <c r="C16" s="167" t="str">
        <f>VLOOKUP(Data_Base[[#This Row],[Item Description]],Table2[[Item Name]:[Sub Category]],6,0)</f>
        <v>Bourbon-.10/-</v>
      </c>
      <c r="D16" s="60" t="s">
        <v>893</v>
      </c>
      <c r="E16" s="60" t="s">
        <v>82</v>
      </c>
      <c r="F16" s="168" t="s">
        <v>1407</v>
      </c>
      <c r="G16" s="169" t="s">
        <v>1408</v>
      </c>
      <c r="H16" s="170" t="s">
        <v>1409</v>
      </c>
      <c r="I16" s="171" t="s">
        <v>980</v>
      </c>
      <c r="J16" s="172" t="s">
        <v>110</v>
      </c>
      <c r="K16" s="173" t="s">
        <v>111</v>
      </c>
      <c r="L16" s="174" t="s">
        <v>0</v>
      </c>
      <c r="M16" s="175" t="s">
        <v>112</v>
      </c>
      <c r="N16" s="176">
        <v>-5</v>
      </c>
      <c r="O16" s="177">
        <v>120</v>
      </c>
      <c r="P16" s="178">
        <v>115</v>
      </c>
      <c r="Q16" s="179">
        <v>65</v>
      </c>
      <c r="R16" s="180">
        <v>53</v>
      </c>
    </row>
    <row r="17" spans="1:18" ht="17">
      <c r="A17" s="60" t="str">
        <f>IFERROR(VLOOKUP(Data_Base[[#This Row],[Distributor Name]],Target[SS 2],1,FALSE),"Delete")</f>
        <v>SUNRISE ENTERPRISES</v>
      </c>
      <c r="B17" s="60">
        <f ca="1">IFERROR(VLOOKUP(Data_Base[[#This Row],[Item Sub Category]],Table2[[Sub Category]:[Billing Group]],3,0),99)</f>
        <v>35</v>
      </c>
      <c r="C17" s="167" t="str">
        <f>VLOOKUP(Data_Base[[#This Row],[Item Description]],Table2[[Item Name]:[Sub Category]],6,0)</f>
        <v>Puff Crme - Choco -5</v>
      </c>
      <c r="D17" s="60" t="s">
        <v>893</v>
      </c>
      <c r="E17" s="60" t="s">
        <v>82</v>
      </c>
      <c r="F17" s="168" t="s">
        <v>1407</v>
      </c>
      <c r="G17" s="169" t="s">
        <v>1408</v>
      </c>
      <c r="H17" s="170" t="s">
        <v>1409</v>
      </c>
      <c r="I17" s="171" t="s">
        <v>980</v>
      </c>
      <c r="J17" s="172" t="s">
        <v>113</v>
      </c>
      <c r="K17" s="173" t="s">
        <v>114</v>
      </c>
      <c r="L17" s="174" t="s">
        <v>0</v>
      </c>
      <c r="M17" s="175" t="s">
        <v>115</v>
      </c>
      <c r="N17" s="176">
        <v>452</v>
      </c>
      <c r="O17" s="177">
        <v>0</v>
      </c>
      <c r="P17" s="178">
        <v>452</v>
      </c>
      <c r="Q17" s="179">
        <v>113</v>
      </c>
      <c r="R17" s="180">
        <v>348</v>
      </c>
    </row>
    <row r="18" spans="1:18" ht="17">
      <c r="A18" s="60" t="str">
        <f>IFERROR(VLOOKUP(Data_Base[[#This Row],[Distributor Name]],Target[SS 2],1,FALSE),"Delete")</f>
        <v>SUNRISE ENTERPRISES</v>
      </c>
      <c r="B18" s="60">
        <f ca="1">IFERROR(VLOOKUP(Data_Base[[#This Row],[Item Sub Category]],Table2[[Sub Category]:[Billing Group]],3,0),99)</f>
        <v>36</v>
      </c>
      <c r="C18" s="167" t="str">
        <f>VLOOKUP(Data_Base[[#This Row],[Item Description]],Table2[[Item Name]:[Sub Category]],6,0)</f>
        <v>Puff Crme - Choco -10</v>
      </c>
      <c r="D18" s="60" t="s">
        <v>893</v>
      </c>
      <c r="E18" s="60" t="s">
        <v>82</v>
      </c>
      <c r="F18" s="168" t="s">
        <v>1407</v>
      </c>
      <c r="G18" s="169" t="s">
        <v>1408</v>
      </c>
      <c r="H18" s="170" t="s">
        <v>1409</v>
      </c>
      <c r="I18" s="171" t="s">
        <v>980</v>
      </c>
      <c r="J18" s="172" t="s">
        <v>223</v>
      </c>
      <c r="K18" s="173" t="s">
        <v>224</v>
      </c>
      <c r="L18" s="174" t="s">
        <v>0</v>
      </c>
      <c r="M18" s="175" t="s">
        <v>225</v>
      </c>
      <c r="N18" s="176">
        <v>169</v>
      </c>
      <c r="O18" s="177">
        <v>256</v>
      </c>
      <c r="P18" s="178">
        <v>425</v>
      </c>
      <c r="Q18" s="179">
        <v>125</v>
      </c>
      <c r="R18" s="180">
        <v>312</v>
      </c>
    </row>
    <row r="19" spans="1:18" ht="17">
      <c r="A19" s="60" t="str">
        <f>IFERROR(VLOOKUP(Data_Base[[#This Row],[Distributor Name]],Target[SS 2],1,FALSE),"Delete")</f>
        <v>SUNRISE ENTERPRISES</v>
      </c>
      <c r="B19" s="60">
        <f ca="1">IFERROR(VLOOKUP(Data_Base[[#This Row],[Item Sub Category]],Table2[[Sub Category]:[Billing Group]],3,0),99)</f>
        <v>37</v>
      </c>
      <c r="C19" s="167" t="str">
        <f>VLOOKUP(Data_Base[[#This Row],[Item Description]],Table2[[Item Name]:[Sub Category]],6,0)</f>
        <v>Puff Crme - Straw -5</v>
      </c>
      <c r="D19" s="60" t="s">
        <v>893</v>
      </c>
      <c r="E19" s="60" t="s">
        <v>82</v>
      </c>
      <c r="F19" s="168" t="s">
        <v>1407</v>
      </c>
      <c r="G19" s="169" t="s">
        <v>1408</v>
      </c>
      <c r="H19" s="170" t="s">
        <v>1409</v>
      </c>
      <c r="I19" s="171" t="s">
        <v>980</v>
      </c>
      <c r="J19" s="172" t="s">
        <v>116</v>
      </c>
      <c r="K19" s="173" t="s">
        <v>117</v>
      </c>
      <c r="L19" s="174" t="s">
        <v>0</v>
      </c>
      <c r="M19" s="175" t="s">
        <v>118</v>
      </c>
      <c r="N19" s="176">
        <v>432</v>
      </c>
      <c r="O19" s="177">
        <v>140</v>
      </c>
      <c r="P19" s="178">
        <v>572</v>
      </c>
      <c r="Q19" s="179">
        <v>136</v>
      </c>
      <c r="R19" s="180">
        <v>436</v>
      </c>
    </row>
    <row r="20" spans="1:18" ht="17">
      <c r="A20" s="60" t="str">
        <f>IFERROR(VLOOKUP(Data_Base[[#This Row],[Distributor Name]],Target[SS 2],1,FALSE),"Delete")</f>
        <v>SUNRISE ENTERPRISES</v>
      </c>
      <c r="B20" s="60">
        <f ca="1">IFERROR(VLOOKUP(Data_Base[[#This Row],[Item Sub Category]],Table2[[Sub Category]:[Billing Group]],3,0),99)</f>
        <v>40</v>
      </c>
      <c r="C20" s="167" t="str">
        <f>VLOOKUP(Data_Base[[#This Row],[Item Description]],Table2[[Item Name]:[Sub Category]],6,0)</f>
        <v>Puff Crme - Lemon -10</v>
      </c>
      <c r="D20" s="60" t="s">
        <v>893</v>
      </c>
      <c r="E20" s="60" t="s">
        <v>82</v>
      </c>
      <c r="F20" s="168" t="s">
        <v>1407</v>
      </c>
      <c r="G20" s="169" t="s">
        <v>1408</v>
      </c>
      <c r="H20" s="170" t="s">
        <v>1409</v>
      </c>
      <c r="I20" s="171" t="s">
        <v>980</v>
      </c>
      <c r="J20" s="172" t="s">
        <v>229</v>
      </c>
      <c r="K20" s="173" t="s">
        <v>230</v>
      </c>
      <c r="L20" s="174" t="s">
        <v>0</v>
      </c>
      <c r="M20" s="175" t="s">
        <v>231</v>
      </c>
      <c r="N20" s="176">
        <v>117</v>
      </c>
      <c r="O20" s="177">
        <v>0</v>
      </c>
      <c r="P20" s="178">
        <v>117</v>
      </c>
      <c r="Q20" s="179">
        <v>38</v>
      </c>
      <c r="R20" s="180">
        <v>91</v>
      </c>
    </row>
    <row r="21" spans="1:18" ht="17">
      <c r="A21" s="60" t="str">
        <f>IFERROR(VLOOKUP(Data_Base[[#This Row],[Distributor Name]],Target[SS 2],1,FALSE),"Delete")</f>
        <v>SUNRISE ENTERPRISES</v>
      </c>
      <c r="B21" s="60">
        <f ca="1">IFERROR(VLOOKUP(Data_Base[[#This Row],[Item Sub Category]],Table2[[Sub Category]:[Billing Group]],3,0),99)</f>
        <v>19</v>
      </c>
      <c r="C21" s="167" t="str">
        <f>VLOOKUP(Data_Base[[#This Row],[Item Description]],Table2[[Item Name]:[Sub Category]],6,0)</f>
        <v>Coconut Crunch-.5/-</v>
      </c>
      <c r="D21" s="60" t="s">
        <v>893</v>
      </c>
      <c r="E21" s="60" t="s">
        <v>82</v>
      </c>
      <c r="F21" s="168" t="s">
        <v>1407</v>
      </c>
      <c r="G21" s="169" t="s">
        <v>1408</v>
      </c>
      <c r="H21" s="170" t="s">
        <v>1409</v>
      </c>
      <c r="I21" s="171" t="s">
        <v>980</v>
      </c>
      <c r="J21" s="172" t="s">
        <v>119</v>
      </c>
      <c r="K21" s="173" t="s">
        <v>120</v>
      </c>
      <c r="L21" s="174" t="s">
        <v>0</v>
      </c>
      <c r="M21" s="175" t="s">
        <v>121</v>
      </c>
      <c r="N21" s="176">
        <v>25</v>
      </c>
      <c r="O21" s="177">
        <v>0</v>
      </c>
      <c r="P21" s="178">
        <v>25</v>
      </c>
      <c r="Q21" s="179">
        <v>29</v>
      </c>
      <c r="R21" s="180">
        <v>2</v>
      </c>
    </row>
    <row r="22" spans="1:18" ht="17">
      <c r="A22" s="60" t="str">
        <f>IFERROR(VLOOKUP(Data_Base[[#This Row],[Distributor Name]],Target[SS 2],1,FALSE),"Delete")</f>
        <v>SUNRISE ENTERPRISES</v>
      </c>
      <c r="B22" s="60">
        <f ca="1">IFERROR(VLOOKUP(Data_Base[[#This Row],[Item Sub Category]],Table2[[Sub Category]:[Billing Group]],3,0),99)</f>
        <v>20</v>
      </c>
      <c r="C22" s="167" t="str">
        <f>VLOOKUP(Data_Base[[#This Row],[Item Description]],Table2[[Item Name]:[Sub Category]],6,0)</f>
        <v>Coconut Crunch-.10/-</v>
      </c>
      <c r="D22" s="60" t="s">
        <v>893</v>
      </c>
      <c r="E22" s="60" t="s">
        <v>82</v>
      </c>
      <c r="F22" s="168" t="s">
        <v>1407</v>
      </c>
      <c r="G22" s="169" t="s">
        <v>1408</v>
      </c>
      <c r="H22" s="170" t="s">
        <v>1409</v>
      </c>
      <c r="I22" s="171" t="s">
        <v>980</v>
      </c>
      <c r="J22" s="172" t="s">
        <v>122</v>
      </c>
      <c r="K22" s="173" t="s">
        <v>123</v>
      </c>
      <c r="L22" s="174" t="s">
        <v>0</v>
      </c>
      <c r="M22" s="175" t="s">
        <v>124</v>
      </c>
      <c r="N22" s="176">
        <v>308</v>
      </c>
      <c r="O22" s="177">
        <v>0</v>
      </c>
      <c r="P22" s="178">
        <v>308</v>
      </c>
      <c r="Q22" s="179">
        <v>184</v>
      </c>
      <c r="R22" s="180">
        <v>124</v>
      </c>
    </row>
    <row r="23" spans="1:18" ht="17">
      <c r="A23" s="60" t="str">
        <f>IFERROR(VLOOKUP(Data_Base[[#This Row],[Distributor Name]],Target[SS 2],1,FALSE),"Delete")</f>
        <v>SUNRISE ENTERPRISES</v>
      </c>
      <c r="B23" s="60">
        <f ca="1">IFERROR(VLOOKUP(Data_Base[[#This Row],[Item Sub Category]],Table2[[Sub Category]:[Billing Group]],3,0),99)</f>
        <v>57</v>
      </c>
      <c r="C23" s="167" t="str">
        <f>VLOOKUP(Data_Base[[#This Row],[Item Description]],Table2[[Item Name]:[Sub Category]],6,0)</f>
        <v>Butter Delite - 5</v>
      </c>
      <c r="D23" s="60" t="s">
        <v>893</v>
      </c>
      <c r="E23" s="60" t="s">
        <v>82</v>
      </c>
      <c r="F23" s="168" t="s">
        <v>1407</v>
      </c>
      <c r="G23" s="169" t="s">
        <v>1408</v>
      </c>
      <c r="H23" s="170" t="s">
        <v>1409</v>
      </c>
      <c r="I23" s="171" t="s">
        <v>980</v>
      </c>
      <c r="J23" s="172" t="s">
        <v>125</v>
      </c>
      <c r="K23" s="173" t="s">
        <v>126</v>
      </c>
      <c r="L23" s="174" t="s">
        <v>0</v>
      </c>
      <c r="M23" s="175" t="s">
        <v>127</v>
      </c>
      <c r="N23" s="176">
        <v>37</v>
      </c>
      <c r="O23" s="177">
        <v>540</v>
      </c>
      <c r="P23" s="178">
        <v>577</v>
      </c>
      <c r="Q23" s="179">
        <v>566</v>
      </c>
      <c r="R23" s="180">
        <v>20</v>
      </c>
    </row>
    <row r="24" spans="1:18" ht="17">
      <c r="A24" s="60" t="str">
        <f>IFERROR(VLOOKUP(Data_Base[[#This Row],[Distributor Name]],Target[SS 2],1,FALSE),"Delete")</f>
        <v>SUNRISE ENTERPRISES</v>
      </c>
      <c r="B24" s="60">
        <f ca="1">IFERROR(VLOOKUP(Data_Base[[#This Row],[Item Sub Category]],Table2[[Sub Category]:[Billing Group]],3,0),99)</f>
        <v>61</v>
      </c>
      <c r="C24" s="167" t="str">
        <f>VLOOKUP(Data_Base[[#This Row],[Item Description]],Table2[[Item Name]:[Sub Category]],6,0)</f>
        <v>Cheese/ Top Cracker - 5</v>
      </c>
      <c r="D24" s="60" t="s">
        <v>893</v>
      </c>
      <c r="E24" s="60" t="s">
        <v>82</v>
      </c>
      <c r="F24" s="168" t="s">
        <v>1407</v>
      </c>
      <c r="G24" s="169" t="s">
        <v>1408</v>
      </c>
      <c r="H24" s="170" t="s">
        <v>1409</v>
      </c>
      <c r="I24" s="171" t="s">
        <v>980</v>
      </c>
      <c r="J24" s="172" t="s">
        <v>285</v>
      </c>
      <c r="K24" s="173" t="s">
        <v>286</v>
      </c>
      <c r="L24" s="174" t="s">
        <v>0</v>
      </c>
      <c r="M24" s="175" t="s">
        <v>199</v>
      </c>
      <c r="N24" s="176">
        <v>89</v>
      </c>
      <c r="O24" s="177">
        <v>99</v>
      </c>
      <c r="P24" s="178">
        <v>188</v>
      </c>
      <c r="Q24" s="179">
        <v>175</v>
      </c>
      <c r="R24" s="180">
        <v>34</v>
      </c>
    </row>
    <row r="25" spans="1:18" ht="17">
      <c r="A25" s="60" t="str">
        <f>IFERROR(VLOOKUP(Data_Base[[#This Row],[Distributor Name]],Target[SS 2],1,FALSE),"Delete")</f>
        <v>SUNRISE ENTERPRISES</v>
      </c>
      <c r="B25" s="60">
        <f ca="1">IFERROR(VLOOKUP(Data_Base[[#This Row],[Item Sub Category]],Table2[[Sub Category]:[Billing Group]],3,0),99)</f>
        <v>110</v>
      </c>
      <c r="C25" s="167" t="str">
        <f>VLOOKUP(Data_Base[[#This Row],[Item Description]],Table2[[Item Name]:[Sub Category]],6,0)</f>
        <v>Treat-160 ML</v>
      </c>
      <c r="D25" s="60" t="s">
        <v>893</v>
      </c>
      <c r="E25" s="60" t="s">
        <v>82</v>
      </c>
      <c r="F25" s="168" t="s">
        <v>1407</v>
      </c>
      <c r="G25" s="169" t="s">
        <v>1408</v>
      </c>
      <c r="H25" s="170" t="s">
        <v>1409</v>
      </c>
      <c r="I25" s="171" t="s">
        <v>980</v>
      </c>
      <c r="J25" s="172" t="s">
        <v>322</v>
      </c>
      <c r="K25" s="173" t="s">
        <v>323</v>
      </c>
      <c r="L25" s="174" t="s">
        <v>16</v>
      </c>
      <c r="M25" s="175" t="s">
        <v>324</v>
      </c>
      <c r="N25" s="176">
        <v>1167</v>
      </c>
      <c r="O25" s="177">
        <v>0</v>
      </c>
      <c r="P25" s="178">
        <v>1167</v>
      </c>
      <c r="Q25" s="179">
        <v>605</v>
      </c>
      <c r="R25" s="180">
        <v>562</v>
      </c>
    </row>
    <row r="26" spans="1:18" ht="17">
      <c r="A26" s="60" t="str">
        <f>IFERROR(VLOOKUP(Data_Base[[#This Row],[Distributor Name]],Target[SS 2],1,FALSE),"Delete")</f>
        <v>SUNRISE ENTERPRISES</v>
      </c>
      <c r="B26" s="60">
        <f ca="1">IFERROR(VLOOKUP(Data_Base[[#This Row],[Item Sub Category]],Table2[[Sub Category]:[Billing Group]],3,0),99)</f>
        <v>112</v>
      </c>
      <c r="C26" s="167" t="str">
        <f>VLOOKUP(Data_Base[[#This Row],[Item Description]],Table2[[Item Name]:[Sub Category]],6,0)</f>
        <v>Treat Pet-250 ML</v>
      </c>
      <c r="D26" s="60" t="s">
        <v>893</v>
      </c>
      <c r="E26" s="60" t="s">
        <v>82</v>
      </c>
      <c r="F26" s="168" t="s">
        <v>1407</v>
      </c>
      <c r="G26" s="169" t="s">
        <v>1408</v>
      </c>
      <c r="H26" s="170" t="s">
        <v>1409</v>
      </c>
      <c r="I26" s="171" t="s">
        <v>980</v>
      </c>
      <c r="J26" s="172" t="s">
        <v>325</v>
      </c>
      <c r="K26" s="173" t="s">
        <v>326</v>
      </c>
      <c r="L26" s="174" t="s">
        <v>16</v>
      </c>
      <c r="M26" s="175" t="s">
        <v>327</v>
      </c>
      <c r="N26" s="176">
        <v>39</v>
      </c>
      <c r="O26" s="177">
        <v>0</v>
      </c>
      <c r="P26" s="178">
        <v>39</v>
      </c>
      <c r="Q26" s="179">
        <v>0</v>
      </c>
      <c r="R26" s="180">
        <v>39</v>
      </c>
    </row>
    <row r="27" spans="1:18" ht="17">
      <c r="A27" s="60" t="str">
        <f>IFERROR(VLOOKUP(Data_Base[[#This Row],[Distributor Name]],Target[SS 2],1,FALSE),"Delete")</f>
        <v>SUNRISE ENTERPRISES</v>
      </c>
      <c r="B27" s="60">
        <f ca="1">IFERROR(VLOOKUP(Data_Base[[#This Row],[Item Sub Category]],Table2[[Sub Category]:[Billing Group]],3,0),99)</f>
        <v>113</v>
      </c>
      <c r="C27" s="167" t="str">
        <f>VLOOKUP(Data_Base[[#This Row],[Item Description]],Table2[[Item Name]:[Sub Category]],6,0)</f>
        <v>Treat Pet-600 ML</v>
      </c>
      <c r="D27" s="60" t="s">
        <v>893</v>
      </c>
      <c r="E27" s="60" t="s">
        <v>82</v>
      </c>
      <c r="F27" s="168" t="s">
        <v>1407</v>
      </c>
      <c r="G27" s="169" t="s">
        <v>1408</v>
      </c>
      <c r="H27" s="170" t="s">
        <v>1409</v>
      </c>
      <c r="I27" s="171" t="s">
        <v>980</v>
      </c>
      <c r="J27" s="172" t="s">
        <v>412</v>
      </c>
      <c r="K27" s="173" t="s">
        <v>413</v>
      </c>
      <c r="L27" s="174" t="s">
        <v>16</v>
      </c>
      <c r="M27" s="175" t="s">
        <v>414</v>
      </c>
      <c r="N27" s="176">
        <v>152</v>
      </c>
      <c r="O27" s="177">
        <v>0</v>
      </c>
      <c r="P27" s="178">
        <v>152</v>
      </c>
      <c r="Q27" s="179">
        <v>0</v>
      </c>
      <c r="R27" s="180">
        <v>152</v>
      </c>
    </row>
    <row r="28" spans="1:18" ht="17">
      <c r="A28" s="60" t="str">
        <f>IFERROR(VLOOKUP(Data_Base[[#This Row],[Distributor Name]],Target[SS 2],1,FALSE),"Delete")</f>
        <v>SUNRISE ENTERPRISES</v>
      </c>
      <c r="B28" s="60">
        <f ca="1">IFERROR(VLOOKUP(Data_Base[[#This Row],[Item Sub Category]],Table2[[Sub Category]:[Billing Group]],3,0),99)</f>
        <v>129</v>
      </c>
      <c r="C28" s="167" t="str">
        <f>VLOOKUP(Data_Base[[#This Row],[Item Description]],Table2[[Item Name]:[Sub Category]],6,0)</f>
        <v>Snakker- 2/-</v>
      </c>
      <c r="D28" s="60" t="s">
        <v>893</v>
      </c>
      <c r="E28" s="60" t="s">
        <v>82</v>
      </c>
      <c r="F28" s="168" t="s">
        <v>1407</v>
      </c>
      <c r="G28" s="169" t="s">
        <v>1408</v>
      </c>
      <c r="H28" s="170" t="s">
        <v>1409</v>
      </c>
      <c r="I28" s="171" t="s">
        <v>980</v>
      </c>
      <c r="J28" s="172" t="s">
        <v>235</v>
      </c>
      <c r="K28" s="173" t="s">
        <v>236</v>
      </c>
      <c r="L28" s="174" t="s">
        <v>16</v>
      </c>
      <c r="M28" s="175" t="s">
        <v>237</v>
      </c>
      <c r="N28" s="176">
        <v>16</v>
      </c>
      <c r="O28" s="177">
        <v>0</v>
      </c>
      <c r="P28" s="178">
        <v>16</v>
      </c>
      <c r="Q28" s="179">
        <v>17</v>
      </c>
      <c r="R28" s="180">
        <v>-1</v>
      </c>
    </row>
    <row r="29" spans="1:18" ht="17">
      <c r="A29" s="60" t="str">
        <f>IFERROR(VLOOKUP(Data_Base[[#This Row],[Distributor Name]],Target[SS 2],1,FALSE),"Delete")</f>
        <v>SUNRISE ENTERPRISES</v>
      </c>
      <c r="B29" s="60">
        <f ca="1">IFERROR(VLOOKUP(Data_Base[[#This Row],[Item Sub Category]],Table2[[Sub Category]:[Billing Group]],3,0),99)</f>
        <v>131</v>
      </c>
      <c r="C29" s="167" t="str">
        <f>VLOOKUP(Data_Base[[#This Row],[Item Description]],Table2[[Item Name]:[Sub Category]],6,0)</f>
        <v>HUNK - 5</v>
      </c>
      <c r="D29" s="60" t="s">
        <v>893</v>
      </c>
      <c r="E29" s="60" t="s">
        <v>82</v>
      </c>
      <c r="F29" s="168" t="s">
        <v>1407</v>
      </c>
      <c r="G29" s="169" t="s">
        <v>1408</v>
      </c>
      <c r="H29" s="170" t="s">
        <v>1409</v>
      </c>
      <c r="I29" s="171" t="s">
        <v>980</v>
      </c>
      <c r="J29" s="172" t="s">
        <v>131</v>
      </c>
      <c r="K29" s="173" t="s">
        <v>132</v>
      </c>
      <c r="L29" s="174" t="s">
        <v>16</v>
      </c>
      <c r="M29" s="175" t="s">
        <v>133</v>
      </c>
      <c r="N29" s="176">
        <v>51</v>
      </c>
      <c r="O29" s="177">
        <v>50</v>
      </c>
      <c r="P29" s="178">
        <v>101</v>
      </c>
      <c r="Q29" s="179">
        <v>104</v>
      </c>
      <c r="R29" s="180">
        <v>-3</v>
      </c>
    </row>
    <row r="30" spans="1:18" ht="17">
      <c r="A30" s="60" t="str">
        <f>IFERROR(VLOOKUP(Data_Base[[#This Row],[Distributor Name]],Target[SS 2],1,FALSE),"Delete")</f>
        <v>SUNRISE ENTERPRISES</v>
      </c>
      <c r="B30" s="60">
        <f ca="1">IFERROR(VLOOKUP(Data_Base[[#This Row],[Item Sub Category]],Table2[[Sub Category]:[Billing Group]],3,0),99)</f>
        <v>127</v>
      </c>
      <c r="C30" s="167" t="str">
        <f>VLOOKUP(Data_Base[[#This Row],[Item Description]],Table2[[Item Name]:[Sub Category]],6,0)</f>
        <v>Chocogold- 5/-</v>
      </c>
      <c r="D30" s="60" t="s">
        <v>893</v>
      </c>
      <c r="E30" s="60" t="s">
        <v>82</v>
      </c>
      <c r="F30" s="168" t="s">
        <v>1407</v>
      </c>
      <c r="G30" s="169" t="s">
        <v>1408</v>
      </c>
      <c r="H30" s="170" t="s">
        <v>1409</v>
      </c>
      <c r="I30" s="171" t="s">
        <v>980</v>
      </c>
      <c r="J30" s="172" t="s">
        <v>238</v>
      </c>
      <c r="K30" s="173" t="s">
        <v>239</v>
      </c>
      <c r="L30" s="174" t="s">
        <v>16</v>
      </c>
      <c r="M30" s="175" t="s">
        <v>240</v>
      </c>
      <c r="N30" s="176">
        <v>7</v>
      </c>
      <c r="O30" s="177">
        <v>100</v>
      </c>
      <c r="P30" s="178">
        <v>107</v>
      </c>
      <c r="Q30" s="179">
        <v>55</v>
      </c>
      <c r="R30" s="180">
        <v>56</v>
      </c>
    </row>
    <row r="31" spans="1:18" ht="17">
      <c r="A31" s="60" t="str">
        <f>IFERROR(VLOOKUP(Data_Base[[#This Row],[Distributor Name]],Target[SS 2],1,FALSE),"Delete")</f>
        <v>SUNRISE ENTERPRISES</v>
      </c>
      <c r="B31" s="60">
        <f ca="1">IFERROR(VLOOKUP(Data_Base[[#This Row],[Item Sub Category]],Table2[[Sub Category]:[Billing Group]],3,0),99)</f>
        <v>136</v>
      </c>
      <c r="C31" s="167" t="str">
        <f>VLOOKUP(Data_Base[[#This Row],[Item Description]],Table2[[Item Name]:[Sub Category]],6,0)</f>
        <v>Partner Choco</v>
      </c>
      <c r="D31" s="60" t="s">
        <v>893</v>
      </c>
      <c r="E31" s="60" t="s">
        <v>82</v>
      </c>
      <c r="F31" s="168" t="s">
        <v>1407</v>
      </c>
      <c r="G31" s="169" t="s">
        <v>1408</v>
      </c>
      <c r="H31" s="170" t="s">
        <v>1409</v>
      </c>
      <c r="I31" s="171" t="s">
        <v>980</v>
      </c>
      <c r="J31" s="172" t="s">
        <v>244</v>
      </c>
      <c r="K31" s="173" t="s">
        <v>245</v>
      </c>
      <c r="L31" s="174" t="s">
        <v>16</v>
      </c>
      <c r="M31" s="175" t="s">
        <v>246</v>
      </c>
      <c r="N31" s="176">
        <v>15</v>
      </c>
      <c r="O31" s="177">
        <v>0</v>
      </c>
      <c r="P31" s="178">
        <v>15</v>
      </c>
      <c r="Q31" s="179">
        <v>17</v>
      </c>
      <c r="R31" s="180">
        <v>-2</v>
      </c>
    </row>
    <row r="32" spans="1:18" ht="17">
      <c r="A32" s="60" t="str">
        <f>IFERROR(VLOOKUP(Data_Base[[#This Row],[Distributor Name]],Target[SS 2],1,FALSE),"Delete")</f>
        <v>SUNRISE ENTERPRISES</v>
      </c>
      <c r="B32" s="60">
        <f ca="1">IFERROR(VLOOKUP(Data_Base[[#This Row],[Item Sub Category]],Table2[[Sub Category]:[Billing Group]],3,0),99)</f>
        <v>137</v>
      </c>
      <c r="C32" s="167" t="str">
        <f>VLOOKUP(Data_Base[[#This Row],[Item Description]],Table2[[Item Name]:[Sub Category]],6,0)</f>
        <v>Partner Orange</v>
      </c>
      <c r="D32" s="60" t="s">
        <v>893</v>
      </c>
      <c r="E32" s="60" t="s">
        <v>82</v>
      </c>
      <c r="F32" s="168" t="s">
        <v>1407</v>
      </c>
      <c r="G32" s="169" t="s">
        <v>1408</v>
      </c>
      <c r="H32" s="170" t="s">
        <v>1409</v>
      </c>
      <c r="I32" s="171" t="s">
        <v>980</v>
      </c>
      <c r="J32" s="172" t="s">
        <v>247</v>
      </c>
      <c r="K32" s="173" t="s">
        <v>248</v>
      </c>
      <c r="L32" s="174" t="s">
        <v>16</v>
      </c>
      <c r="M32" s="175" t="s">
        <v>249</v>
      </c>
      <c r="N32" s="176">
        <v>60</v>
      </c>
      <c r="O32" s="177">
        <v>0</v>
      </c>
      <c r="P32" s="178">
        <v>60</v>
      </c>
      <c r="Q32" s="179">
        <v>11</v>
      </c>
      <c r="R32" s="180">
        <v>49</v>
      </c>
    </row>
    <row r="33" spans="1:18" ht="17">
      <c r="A33" s="60" t="str">
        <f>IFERROR(VLOOKUP(Data_Base[[#This Row],[Distributor Name]],Target[SS 2],1,FALSE),"Delete")</f>
        <v>SUNRISE ENTERPRISES</v>
      </c>
      <c r="B33" s="60">
        <f ca="1">IFERROR(VLOOKUP(Data_Base[[#This Row],[Item Sub Category]],Table2[[Sub Category]:[Billing Group]],3,0),99)</f>
        <v>138</v>
      </c>
      <c r="C33" s="167" t="str">
        <f>VLOOKUP(Data_Base[[#This Row],[Item Description]],Table2[[Item Name]:[Sub Category]],6,0)</f>
        <v>Partner Straw.</v>
      </c>
      <c r="D33" s="60" t="s">
        <v>893</v>
      </c>
      <c r="E33" s="60" t="s">
        <v>82</v>
      </c>
      <c r="F33" s="168" t="s">
        <v>1407</v>
      </c>
      <c r="G33" s="169" t="s">
        <v>1408</v>
      </c>
      <c r="H33" s="170" t="s">
        <v>1409</v>
      </c>
      <c r="I33" s="171" t="s">
        <v>980</v>
      </c>
      <c r="J33" s="172" t="s">
        <v>250</v>
      </c>
      <c r="K33" s="173" t="s">
        <v>251</v>
      </c>
      <c r="L33" s="174" t="s">
        <v>16</v>
      </c>
      <c r="M33" s="175" t="s">
        <v>252</v>
      </c>
      <c r="N33" s="176">
        <v>19</v>
      </c>
      <c r="O33" s="177">
        <v>0</v>
      </c>
      <c r="P33" s="178">
        <v>19</v>
      </c>
      <c r="Q33" s="179">
        <v>11</v>
      </c>
      <c r="R33" s="180">
        <v>10</v>
      </c>
    </row>
    <row r="34" spans="1:18" ht="17">
      <c r="A34" s="60" t="str">
        <f>IFERROR(VLOOKUP(Data_Base[[#This Row],[Distributor Name]],Target[SS 2],1,FALSE),"Delete")</f>
        <v>SUNRISE ENTERPRISES</v>
      </c>
      <c r="B34" s="60">
        <f ca="1">IFERROR(VLOOKUP(Data_Base[[#This Row],[Item Sub Category]],Table2[[Sub Category]:[Billing Group]],3,0),99)</f>
        <v>153</v>
      </c>
      <c r="C34" s="167" t="str">
        <f>VLOOKUP(Data_Base[[#This Row],[Item Description]],Table2[[Item Name]:[Sub Category]],6,0)</f>
        <v>Eclair-Pouch  10/-</v>
      </c>
      <c r="D34" s="60" t="s">
        <v>893</v>
      </c>
      <c r="E34" s="60" t="s">
        <v>82</v>
      </c>
      <c r="F34" s="168" t="s">
        <v>1407</v>
      </c>
      <c r="G34" s="169" t="s">
        <v>1408</v>
      </c>
      <c r="H34" s="170" t="s">
        <v>1409</v>
      </c>
      <c r="I34" s="171" t="s">
        <v>980</v>
      </c>
      <c r="J34" s="172" t="s">
        <v>134</v>
      </c>
      <c r="K34" s="173" t="s">
        <v>135</v>
      </c>
      <c r="L34" s="174" t="s">
        <v>16</v>
      </c>
      <c r="M34" s="175" t="s">
        <v>136</v>
      </c>
      <c r="N34" s="176">
        <v>61</v>
      </c>
      <c r="O34" s="177">
        <v>0</v>
      </c>
      <c r="P34" s="178">
        <v>61</v>
      </c>
      <c r="Q34" s="179">
        <v>2</v>
      </c>
      <c r="R34" s="180">
        <v>61</v>
      </c>
    </row>
    <row r="35" spans="1:18" ht="17">
      <c r="A35" s="60" t="str">
        <f>IFERROR(VLOOKUP(Data_Base[[#This Row],[Distributor Name]],Target[SS 2],1,FALSE),"Delete")</f>
        <v>SUNRISE ENTERPRISES</v>
      </c>
      <c r="B35" s="60">
        <f ca="1">IFERROR(VLOOKUP(Data_Base[[#This Row],[Item Sub Category]],Table2[[Sub Category]:[Billing Group]],3,0),99)</f>
        <v>140</v>
      </c>
      <c r="C35" s="167" t="str">
        <f>VLOOKUP(Data_Base[[#This Row],[Item Description]],Table2[[Item Name]:[Sub Category]],6,0)</f>
        <v>Eclair-Pouch  50/-</v>
      </c>
      <c r="D35" s="60" t="s">
        <v>893</v>
      </c>
      <c r="E35" s="60" t="s">
        <v>82</v>
      </c>
      <c r="F35" s="168" t="s">
        <v>1407</v>
      </c>
      <c r="G35" s="169" t="s">
        <v>1408</v>
      </c>
      <c r="H35" s="170" t="s">
        <v>1409</v>
      </c>
      <c r="I35" s="171" t="s">
        <v>980</v>
      </c>
      <c r="J35" s="172" t="s">
        <v>253</v>
      </c>
      <c r="K35" s="173" t="s">
        <v>254</v>
      </c>
      <c r="L35" s="174" t="s">
        <v>16</v>
      </c>
      <c r="M35" s="175" t="s">
        <v>178</v>
      </c>
      <c r="N35" s="176">
        <v>1</v>
      </c>
      <c r="O35" s="177">
        <v>50</v>
      </c>
      <c r="P35" s="178">
        <v>51</v>
      </c>
      <c r="Q35" s="179">
        <v>18</v>
      </c>
      <c r="R35" s="180">
        <v>33</v>
      </c>
    </row>
    <row r="36" spans="1:18" ht="17">
      <c r="A36" s="60" t="str">
        <f>IFERROR(VLOOKUP(Data_Base[[#This Row],[Distributor Name]],Target[SS 2],1,FALSE),"Delete")</f>
        <v>SUNRISE ENTERPRISES</v>
      </c>
      <c r="B36" s="60">
        <f ca="1">IFERROR(VLOOKUP(Data_Base[[#This Row],[Item Sub Category]],Table2[[Sub Category]:[Billing Group]],3,0),99)</f>
        <v>141</v>
      </c>
      <c r="C36" s="167" t="str">
        <f>VLOOKUP(Data_Base[[#This Row],[Item Description]],Table2[[Item Name]:[Sub Category]],6,0)</f>
        <v>clair-Mini Jar</v>
      </c>
      <c r="D36" s="60" t="s">
        <v>893</v>
      </c>
      <c r="E36" s="60" t="s">
        <v>82</v>
      </c>
      <c r="F36" s="168" t="s">
        <v>1407</v>
      </c>
      <c r="G36" s="169" t="s">
        <v>1408</v>
      </c>
      <c r="H36" s="170" t="s">
        <v>1409</v>
      </c>
      <c r="I36" s="171" t="s">
        <v>980</v>
      </c>
      <c r="J36" s="172" t="s">
        <v>255</v>
      </c>
      <c r="K36" s="173" t="s">
        <v>256</v>
      </c>
      <c r="L36" s="174" t="s">
        <v>16</v>
      </c>
      <c r="M36" s="175" t="s">
        <v>257</v>
      </c>
      <c r="N36" s="176">
        <v>61</v>
      </c>
      <c r="O36" s="177">
        <v>0</v>
      </c>
      <c r="P36" s="178">
        <v>61</v>
      </c>
      <c r="Q36" s="179">
        <v>8</v>
      </c>
      <c r="R36" s="180">
        <v>53</v>
      </c>
    </row>
    <row r="37" spans="1:18" ht="17">
      <c r="A37" s="60" t="str">
        <f>IFERROR(VLOOKUP(Data_Base[[#This Row],[Distributor Name]],Target[SS 2],1,FALSE),"Delete")</f>
        <v>SUNRISE ENTERPRISES</v>
      </c>
      <c r="B37" s="60">
        <f ca="1">IFERROR(VLOOKUP(Data_Base[[#This Row],[Item Sub Category]],Table2[[Sub Category]:[Billing Group]],3,0),99)</f>
        <v>143</v>
      </c>
      <c r="C37" s="167" t="str">
        <f>VLOOKUP(Data_Base[[#This Row],[Item Description]],Table2[[Item Name]:[Sub Category]],6,0)</f>
        <v>Shokk Pouch</v>
      </c>
      <c r="D37" s="60" t="s">
        <v>893</v>
      </c>
      <c r="E37" s="60" t="s">
        <v>82</v>
      </c>
      <c r="F37" s="168" t="s">
        <v>1407</v>
      </c>
      <c r="G37" s="169" t="s">
        <v>1408</v>
      </c>
      <c r="H37" s="170" t="s">
        <v>1409</v>
      </c>
      <c r="I37" s="171" t="s">
        <v>980</v>
      </c>
      <c r="J37" s="172" t="s">
        <v>289</v>
      </c>
      <c r="K37" s="173" t="s">
        <v>290</v>
      </c>
      <c r="L37" s="174" t="s">
        <v>16</v>
      </c>
      <c r="M37" s="175" t="s">
        <v>291</v>
      </c>
      <c r="N37" s="176">
        <v>36</v>
      </c>
      <c r="O37" s="177">
        <v>0</v>
      </c>
      <c r="P37" s="178">
        <v>36</v>
      </c>
      <c r="Q37" s="179">
        <v>2</v>
      </c>
      <c r="R37" s="180">
        <v>34</v>
      </c>
    </row>
    <row r="38" spans="1:18" ht="17">
      <c r="A38" s="60" t="str">
        <f>IFERROR(VLOOKUP(Data_Base[[#This Row],[Distributor Name]],Target[SS 2],1,FALSE),"Delete")</f>
        <v>SUNRISE ENTERPRISES</v>
      </c>
      <c r="B38" s="60">
        <f ca="1">IFERROR(VLOOKUP(Data_Base[[#This Row],[Item Sub Category]],Table2[[Sub Category]:[Billing Group]],3,0),99)</f>
        <v>148</v>
      </c>
      <c r="C38" s="167" t="str">
        <f>VLOOKUP(Data_Base[[#This Row],[Item Description]],Table2[[Item Name]:[Sub Category]],6,0)</f>
        <v>TOFFITO Jar</v>
      </c>
      <c r="D38" s="60" t="s">
        <v>893</v>
      </c>
      <c r="E38" s="60" t="s">
        <v>82</v>
      </c>
      <c r="F38" s="168" t="s">
        <v>1407</v>
      </c>
      <c r="G38" s="169" t="s">
        <v>1408</v>
      </c>
      <c r="H38" s="170" t="s">
        <v>1409</v>
      </c>
      <c r="I38" s="171" t="s">
        <v>980</v>
      </c>
      <c r="J38" s="172" t="s">
        <v>473</v>
      </c>
      <c r="K38" s="173" t="s">
        <v>474</v>
      </c>
      <c r="L38" s="174" t="s">
        <v>16</v>
      </c>
      <c r="M38" s="175" t="s">
        <v>472</v>
      </c>
      <c r="N38" s="176">
        <v>1</v>
      </c>
      <c r="O38" s="177">
        <v>0</v>
      </c>
      <c r="P38" s="178">
        <v>1</v>
      </c>
      <c r="Q38" s="179">
        <v>0</v>
      </c>
      <c r="R38" s="180">
        <v>1</v>
      </c>
    </row>
    <row r="39" spans="1:18" ht="17">
      <c r="A39" s="60" t="str">
        <f>IFERROR(VLOOKUP(Data_Base[[#This Row],[Distributor Name]],Target[SS 2],1,FALSE),"Delete")</f>
        <v>SUNRISE ENTERPRISES</v>
      </c>
      <c r="B39" s="60">
        <f ca="1">IFERROR(VLOOKUP(Data_Base[[#This Row],[Item Sub Category]],Table2[[Sub Category]:[Billing Group]],3,0),99)</f>
        <v>66</v>
      </c>
      <c r="C39" s="167" t="str">
        <f>VLOOKUP(Data_Base[[#This Row],[Item Description]],Table2[[Item Name]:[Sub Category]],6,0)</f>
        <v>Cheez Bit - 50</v>
      </c>
      <c r="D39" s="60" t="s">
        <v>893</v>
      </c>
      <c r="E39" s="60" t="s">
        <v>82</v>
      </c>
      <c r="F39" s="168" t="s">
        <v>1407</v>
      </c>
      <c r="G39" s="169" t="s">
        <v>1408</v>
      </c>
      <c r="H39" s="170" t="s">
        <v>1409</v>
      </c>
      <c r="I39" s="171" t="s">
        <v>980</v>
      </c>
      <c r="J39" s="172" t="s">
        <v>260</v>
      </c>
      <c r="K39" s="173" t="s">
        <v>261</v>
      </c>
      <c r="L39" s="174" t="s">
        <v>0</v>
      </c>
      <c r="M39" s="175" t="s">
        <v>262</v>
      </c>
      <c r="N39" s="176">
        <v>16</v>
      </c>
      <c r="O39" s="177">
        <v>53</v>
      </c>
      <c r="P39" s="178">
        <v>69</v>
      </c>
      <c r="Q39" s="179">
        <v>23</v>
      </c>
      <c r="R39" s="180">
        <v>46</v>
      </c>
    </row>
    <row r="40" spans="1:18" ht="17">
      <c r="A40" s="60" t="str">
        <f>IFERROR(VLOOKUP(Data_Base[[#This Row],[Distributor Name]],Target[SS 2],1,FALSE),"Delete")</f>
        <v>SUNRISE ENTERPRISES</v>
      </c>
      <c r="B40" s="60">
        <f ca="1">IFERROR(VLOOKUP(Data_Base[[#This Row],[Item Sub Category]],Table2[[Sub Category]:[Billing Group]],3,0),99)</f>
        <v>25</v>
      </c>
      <c r="C40" s="167" t="str">
        <f>VLOOKUP(Data_Base[[#This Row],[Item Description]],Table2[[Item Name]:[Sub Category]],6,0)</f>
        <v>Bourbon-.20/-</v>
      </c>
      <c r="D40" s="60" t="s">
        <v>893</v>
      </c>
      <c r="E40" s="60" t="s">
        <v>82</v>
      </c>
      <c r="F40" s="168" t="s">
        <v>1407</v>
      </c>
      <c r="G40" s="169" t="s">
        <v>1408</v>
      </c>
      <c r="H40" s="170" t="s">
        <v>1409</v>
      </c>
      <c r="I40" s="171" t="s">
        <v>980</v>
      </c>
      <c r="J40" s="172" t="s">
        <v>140</v>
      </c>
      <c r="K40" s="173" t="s">
        <v>141</v>
      </c>
      <c r="L40" s="174" t="s">
        <v>0</v>
      </c>
      <c r="M40" s="175" t="s">
        <v>142</v>
      </c>
      <c r="N40" s="176">
        <v>1</v>
      </c>
      <c r="O40" s="177">
        <v>55</v>
      </c>
      <c r="P40" s="178">
        <v>56</v>
      </c>
      <c r="Q40" s="179">
        <v>22</v>
      </c>
      <c r="R40" s="180">
        <v>42</v>
      </c>
    </row>
    <row r="41" spans="1:18" ht="17">
      <c r="A41" s="60" t="str">
        <f>IFERROR(VLOOKUP(Data_Base[[#This Row],[Distributor Name]],Target[SS 2],1,FALSE),"Delete")</f>
        <v>SUNRISE ENTERPRISES</v>
      </c>
      <c r="B41" s="60">
        <f ca="1">IFERROR(VLOOKUP(Data_Base[[#This Row],[Item Sub Category]],Table2[[Sub Category]:[Billing Group]],3,0),99)</f>
        <v>49</v>
      </c>
      <c r="C41" s="167" t="str">
        <f>VLOOKUP(Data_Base[[#This Row],[Item Description]],Table2[[Item Name]:[Sub Category]],6,0)</f>
        <v>Snacks - F.P.</v>
      </c>
      <c r="D41" s="60" t="s">
        <v>893</v>
      </c>
      <c r="E41" s="60" t="s">
        <v>82</v>
      </c>
      <c r="F41" s="168" t="s">
        <v>1407</v>
      </c>
      <c r="G41" s="169" t="s">
        <v>1408</v>
      </c>
      <c r="H41" s="170" t="s">
        <v>1409</v>
      </c>
      <c r="I41" s="171" t="s">
        <v>980</v>
      </c>
      <c r="J41" s="172" t="s">
        <v>333</v>
      </c>
      <c r="K41" s="173" t="s">
        <v>334</v>
      </c>
      <c r="L41" s="174" t="s">
        <v>0</v>
      </c>
      <c r="M41" s="175" t="s">
        <v>335</v>
      </c>
      <c r="N41" s="176">
        <v>1</v>
      </c>
      <c r="O41" s="177">
        <v>100</v>
      </c>
      <c r="P41" s="178">
        <v>101</v>
      </c>
      <c r="Q41" s="179">
        <v>20</v>
      </c>
      <c r="R41" s="180">
        <v>81</v>
      </c>
    </row>
    <row r="42" spans="1:18" ht="17">
      <c r="A42" s="60" t="str">
        <f>IFERROR(VLOOKUP(Data_Base[[#This Row],[Distributor Name]],Target[SS 2],1,FALSE),"Delete")</f>
        <v>SUNRISE ENTERPRISES</v>
      </c>
      <c r="B42" s="60">
        <f ca="1">IFERROR(VLOOKUP(Data_Base[[#This Row],[Item Sub Category]],Table2[[Sub Category]:[Billing Group]],3,0),99)</f>
        <v>6</v>
      </c>
      <c r="C42" s="167" t="str">
        <f>VLOOKUP(Data_Base[[#This Row],[Item Description]],Table2[[Item Name]:[Sub Category]],6,0)</f>
        <v>B.B. Pista</v>
      </c>
      <c r="D42" s="60" t="s">
        <v>893</v>
      </c>
      <c r="E42" s="60" t="s">
        <v>82</v>
      </c>
      <c r="F42" s="168" t="s">
        <v>1407</v>
      </c>
      <c r="G42" s="169" t="s">
        <v>1408</v>
      </c>
      <c r="H42" s="170" t="s">
        <v>1409</v>
      </c>
      <c r="I42" s="171" t="s">
        <v>980</v>
      </c>
      <c r="J42" s="172" t="s">
        <v>263</v>
      </c>
      <c r="K42" s="173" t="s">
        <v>264</v>
      </c>
      <c r="L42" s="174" t="s">
        <v>0</v>
      </c>
      <c r="M42" s="175" t="s">
        <v>10</v>
      </c>
      <c r="N42" s="176">
        <v>10</v>
      </c>
      <c r="O42" s="177">
        <v>0</v>
      </c>
      <c r="P42" s="178">
        <v>10</v>
      </c>
      <c r="Q42" s="179">
        <v>4</v>
      </c>
      <c r="R42" s="180">
        <v>7</v>
      </c>
    </row>
    <row r="43" spans="1:18" ht="17">
      <c r="A43" s="60" t="str">
        <f>IFERROR(VLOOKUP(Data_Base[[#This Row],[Distributor Name]],Target[SS 2],1,FALSE),"Delete")</f>
        <v>SUNRISE ENTERPRISES</v>
      </c>
      <c r="B43" s="60">
        <f ca="1">IFERROR(VLOOKUP(Data_Base[[#This Row],[Item Sub Category]],Table2[[Sub Category]:[Billing Group]],3,0),99)</f>
        <v>28</v>
      </c>
      <c r="C43" s="167" t="str">
        <f>VLOOKUP(Data_Base[[#This Row],[Item Description]],Table2[[Item Name]:[Sub Category]],6,0)</f>
        <v>Classic Cream Choco -.20/-</v>
      </c>
      <c r="D43" s="60" t="s">
        <v>893</v>
      </c>
      <c r="E43" s="60" t="s">
        <v>82</v>
      </c>
      <c r="F43" s="168" t="s">
        <v>1407</v>
      </c>
      <c r="G43" s="169" t="s">
        <v>1408</v>
      </c>
      <c r="H43" s="170" t="s">
        <v>1409</v>
      </c>
      <c r="I43" s="171" t="s">
        <v>980</v>
      </c>
      <c r="J43" s="172" t="s">
        <v>272</v>
      </c>
      <c r="K43" s="173" t="s">
        <v>273</v>
      </c>
      <c r="L43" s="174" t="s">
        <v>0</v>
      </c>
      <c r="M43" s="175" t="s">
        <v>145</v>
      </c>
      <c r="N43" s="176">
        <v>14</v>
      </c>
      <c r="O43" s="177">
        <v>60</v>
      </c>
      <c r="P43" s="178">
        <v>74</v>
      </c>
      <c r="Q43" s="179">
        <v>24</v>
      </c>
      <c r="R43" s="180">
        <v>50</v>
      </c>
    </row>
    <row r="44" spans="1:18" ht="17">
      <c r="A44" s="60" t="str">
        <f>IFERROR(VLOOKUP(Data_Base[[#This Row],[Distributor Name]],Target[SS 2],1,FALSE),"Delete")</f>
        <v>SUNRISE ENTERPRISES</v>
      </c>
      <c r="B44" s="60">
        <f ca="1">IFERROR(VLOOKUP(Data_Base[[#This Row],[Item Sub Category]],Table2[[Sub Category]:[Billing Group]],3,0),99)</f>
        <v>26</v>
      </c>
      <c r="C44" s="167" t="str">
        <f>VLOOKUP(Data_Base[[#This Row],[Item Description]],Table2[[Item Name]:[Sub Category]],6,0)</f>
        <v>Classic Cream Choco -.5/-</v>
      </c>
      <c r="D44" s="60" t="s">
        <v>893</v>
      </c>
      <c r="E44" s="60" t="s">
        <v>82</v>
      </c>
      <c r="F44" s="168" t="s">
        <v>1407</v>
      </c>
      <c r="G44" s="169" t="s">
        <v>1408</v>
      </c>
      <c r="H44" s="170" t="s">
        <v>1409</v>
      </c>
      <c r="I44" s="171" t="s">
        <v>980</v>
      </c>
      <c r="J44" s="172" t="s">
        <v>149</v>
      </c>
      <c r="K44" s="173" t="s">
        <v>150</v>
      </c>
      <c r="L44" s="174" t="s">
        <v>0</v>
      </c>
      <c r="M44" s="175" t="s">
        <v>151</v>
      </c>
      <c r="N44" s="176">
        <v>-14</v>
      </c>
      <c r="O44" s="177">
        <v>150</v>
      </c>
      <c r="P44" s="178">
        <v>136</v>
      </c>
      <c r="Q44" s="179">
        <v>96</v>
      </c>
      <c r="R44" s="180">
        <v>42</v>
      </c>
    </row>
    <row r="45" spans="1:18" ht="17">
      <c r="A45" s="60" t="str">
        <f>IFERROR(VLOOKUP(Data_Base[[#This Row],[Distributor Name]],Target[SS 2],1,FALSE),"Delete")</f>
        <v>SUNRISE ENTERPRISES</v>
      </c>
      <c r="B45" s="60">
        <f ca="1">IFERROR(VLOOKUP(Data_Base[[#This Row],[Item Sub Category]],Table2[[Sub Category]:[Billing Group]],3,0),99)</f>
        <v>27</v>
      </c>
      <c r="C45" s="167" t="str">
        <f>VLOOKUP(Data_Base[[#This Row],[Item Description]],Table2[[Item Name]:[Sub Category]],6,0)</f>
        <v>Classic Cream Choco -.10/-</v>
      </c>
      <c r="D45" s="60" t="s">
        <v>893</v>
      </c>
      <c r="E45" s="60" t="s">
        <v>82</v>
      </c>
      <c r="F45" s="168" t="s">
        <v>1407</v>
      </c>
      <c r="G45" s="169" t="s">
        <v>1408</v>
      </c>
      <c r="H45" s="170" t="s">
        <v>1409</v>
      </c>
      <c r="I45" s="171" t="s">
        <v>980</v>
      </c>
      <c r="J45" s="172" t="s">
        <v>152</v>
      </c>
      <c r="K45" s="173" t="s">
        <v>153</v>
      </c>
      <c r="L45" s="174" t="s">
        <v>0</v>
      </c>
      <c r="M45" s="175" t="s">
        <v>154</v>
      </c>
      <c r="N45" s="176">
        <v>2</v>
      </c>
      <c r="O45" s="177">
        <v>125</v>
      </c>
      <c r="P45" s="178">
        <v>127</v>
      </c>
      <c r="Q45" s="179">
        <v>41</v>
      </c>
      <c r="R45" s="180">
        <v>89</v>
      </c>
    </row>
    <row r="46" spans="1:18" ht="17">
      <c r="A46" s="60" t="str">
        <f>IFERROR(VLOOKUP(Data_Base[[#This Row],[Distributor Name]],Target[SS 2],1,FALSE),"Delete")</f>
        <v>SUNRISE ENTERPRISES</v>
      </c>
      <c r="B46" s="60">
        <f ca="1">IFERROR(VLOOKUP(Data_Base[[#This Row],[Item Sub Category]],Table2[[Sub Category]:[Billing Group]],3,0),99)</f>
        <v>34</v>
      </c>
      <c r="C46" s="167" t="str">
        <f>VLOOKUP(Data_Base[[#This Row],[Item Description]],Table2[[Item Name]:[Sub Category]],6,0)</f>
        <v>Classic Cream Elaichi -.20/-</v>
      </c>
      <c r="D46" s="60" t="s">
        <v>893</v>
      </c>
      <c r="E46" s="60" t="s">
        <v>82</v>
      </c>
      <c r="F46" s="168" t="s">
        <v>1407</v>
      </c>
      <c r="G46" s="169" t="s">
        <v>1408</v>
      </c>
      <c r="H46" s="170" t="s">
        <v>1409</v>
      </c>
      <c r="I46" s="171" t="s">
        <v>980</v>
      </c>
      <c r="J46" s="172" t="s">
        <v>155</v>
      </c>
      <c r="K46" s="173" t="s">
        <v>156</v>
      </c>
      <c r="L46" s="174" t="s">
        <v>0</v>
      </c>
      <c r="M46" s="175" t="s">
        <v>157</v>
      </c>
      <c r="N46" s="176">
        <v>1</v>
      </c>
      <c r="O46" s="177">
        <v>60</v>
      </c>
      <c r="P46" s="178">
        <v>61</v>
      </c>
      <c r="Q46" s="179">
        <v>22</v>
      </c>
      <c r="R46" s="180">
        <v>39</v>
      </c>
    </row>
    <row r="47" spans="1:18" ht="17">
      <c r="A47" s="60" t="str">
        <f>IFERROR(VLOOKUP(Data_Base[[#This Row],[Distributor Name]],Target[SS 2],1,FALSE),"Delete")</f>
        <v>SUNRISE ENTERPRISES</v>
      </c>
      <c r="B47" s="60">
        <f ca="1">IFERROR(VLOOKUP(Data_Base[[#This Row],[Item Sub Category]],Table2[[Sub Category]:[Billing Group]],3,0),99)</f>
        <v>32</v>
      </c>
      <c r="C47" s="167" t="str">
        <f>VLOOKUP(Data_Base[[#This Row],[Item Description]],Table2[[Item Name]:[Sub Category]],6,0)</f>
        <v>Classic Cream Elaichi -.5/-</v>
      </c>
      <c r="D47" s="60" t="s">
        <v>893</v>
      </c>
      <c r="E47" s="60" t="s">
        <v>82</v>
      </c>
      <c r="F47" s="168" t="s">
        <v>1407</v>
      </c>
      <c r="G47" s="169" t="s">
        <v>1408</v>
      </c>
      <c r="H47" s="170" t="s">
        <v>1409</v>
      </c>
      <c r="I47" s="171" t="s">
        <v>980</v>
      </c>
      <c r="J47" s="172" t="s">
        <v>158</v>
      </c>
      <c r="K47" s="173" t="s">
        <v>159</v>
      </c>
      <c r="L47" s="174" t="s">
        <v>0</v>
      </c>
      <c r="M47" s="175" t="s">
        <v>160</v>
      </c>
      <c r="N47" s="176">
        <v>8</v>
      </c>
      <c r="O47" s="177">
        <v>125</v>
      </c>
      <c r="P47" s="178">
        <v>133</v>
      </c>
      <c r="Q47" s="179">
        <v>67</v>
      </c>
      <c r="R47" s="180">
        <v>68</v>
      </c>
    </row>
    <row r="48" spans="1:18" ht="17">
      <c r="A48" s="60" t="str">
        <f>IFERROR(VLOOKUP(Data_Base[[#This Row],[Distributor Name]],Target[SS 2],1,FALSE),"Delete")</f>
        <v>SUNRISE ENTERPRISES</v>
      </c>
      <c r="B48" s="60">
        <f ca="1">IFERROR(VLOOKUP(Data_Base[[#This Row],[Item Sub Category]],Table2[[Sub Category]:[Billing Group]],3,0),99)</f>
        <v>33</v>
      </c>
      <c r="C48" s="167" t="str">
        <f>VLOOKUP(Data_Base[[#This Row],[Item Description]],Table2[[Item Name]:[Sub Category]],6,0)</f>
        <v>Classic Cream Elaichi -.10/-</v>
      </c>
      <c r="D48" s="60" t="s">
        <v>893</v>
      </c>
      <c r="E48" s="60" t="s">
        <v>82</v>
      </c>
      <c r="F48" s="168" t="s">
        <v>1407</v>
      </c>
      <c r="G48" s="169" t="s">
        <v>1408</v>
      </c>
      <c r="H48" s="170" t="s">
        <v>1409</v>
      </c>
      <c r="I48" s="171" t="s">
        <v>980</v>
      </c>
      <c r="J48" s="172" t="s">
        <v>161</v>
      </c>
      <c r="K48" s="173" t="s">
        <v>162</v>
      </c>
      <c r="L48" s="174" t="s">
        <v>0</v>
      </c>
      <c r="M48" s="175" t="s">
        <v>163</v>
      </c>
      <c r="N48" s="176">
        <v>18</v>
      </c>
      <c r="O48" s="177">
        <v>100</v>
      </c>
      <c r="P48" s="178">
        <v>118</v>
      </c>
      <c r="Q48" s="179">
        <v>28</v>
      </c>
      <c r="R48" s="180">
        <v>90</v>
      </c>
    </row>
    <row r="49" spans="1:18" ht="17">
      <c r="A49" s="60" t="str">
        <f>IFERROR(VLOOKUP(Data_Base[[#This Row],[Distributor Name]],Target[SS 2],1,FALSE),"Delete")</f>
        <v>SUNRISE ENTERPRISES</v>
      </c>
      <c r="B49" s="60">
        <f ca="1">IFERROR(VLOOKUP(Data_Base[[#This Row],[Item Sub Category]],Table2[[Sub Category]:[Billing Group]],3,0),99)</f>
        <v>31</v>
      </c>
      <c r="C49" s="167" t="str">
        <f>VLOOKUP(Data_Base[[#This Row],[Item Description]],Table2[[Item Name]:[Sub Category]],6,0)</f>
        <v>Classic Cream Orange -.20/-</v>
      </c>
      <c r="D49" s="60" t="s">
        <v>893</v>
      </c>
      <c r="E49" s="60" t="s">
        <v>82</v>
      </c>
      <c r="F49" s="168" t="s">
        <v>1407</v>
      </c>
      <c r="G49" s="169" t="s">
        <v>1408</v>
      </c>
      <c r="H49" s="170" t="s">
        <v>1409</v>
      </c>
      <c r="I49" s="171" t="s">
        <v>980</v>
      </c>
      <c r="J49" s="172" t="s">
        <v>164</v>
      </c>
      <c r="K49" s="173" t="s">
        <v>165</v>
      </c>
      <c r="L49" s="174" t="s">
        <v>0</v>
      </c>
      <c r="M49" s="175" t="s">
        <v>166</v>
      </c>
      <c r="N49" s="176">
        <v>28</v>
      </c>
      <c r="O49" s="177">
        <v>50</v>
      </c>
      <c r="P49" s="178">
        <v>78</v>
      </c>
      <c r="Q49" s="179">
        <v>35</v>
      </c>
      <c r="R49" s="180">
        <v>43</v>
      </c>
    </row>
    <row r="50" spans="1:18" ht="17">
      <c r="A50" s="60" t="str">
        <f>IFERROR(VLOOKUP(Data_Base[[#This Row],[Distributor Name]],Target[SS 2],1,FALSE),"Delete")</f>
        <v>SUNRISE ENTERPRISES</v>
      </c>
      <c r="B50" s="60">
        <f ca="1">IFERROR(VLOOKUP(Data_Base[[#This Row],[Item Sub Category]],Table2[[Sub Category]:[Billing Group]],3,0),99)</f>
        <v>29</v>
      </c>
      <c r="C50" s="167" t="str">
        <f>VLOOKUP(Data_Base[[#This Row],[Item Description]],Table2[[Item Name]:[Sub Category]],6,0)</f>
        <v>Classic Cream Orange -.5/-</v>
      </c>
      <c r="D50" s="60" t="s">
        <v>893</v>
      </c>
      <c r="E50" s="60" t="s">
        <v>82</v>
      </c>
      <c r="F50" s="168" t="s">
        <v>1407</v>
      </c>
      <c r="G50" s="169" t="s">
        <v>1408</v>
      </c>
      <c r="H50" s="170" t="s">
        <v>1409</v>
      </c>
      <c r="I50" s="171" t="s">
        <v>980</v>
      </c>
      <c r="J50" s="172" t="s">
        <v>167</v>
      </c>
      <c r="K50" s="173" t="s">
        <v>168</v>
      </c>
      <c r="L50" s="174" t="s">
        <v>0</v>
      </c>
      <c r="M50" s="175" t="s">
        <v>169</v>
      </c>
      <c r="N50" s="176">
        <v>79</v>
      </c>
      <c r="O50" s="177">
        <v>30</v>
      </c>
      <c r="P50" s="178">
        <v>109</v>
      </c>
      <c r="Q50" s="179">
        <v>85</v>
      </c>
      <c r="R50" s="180">
        <v>24</v>
      </c>
    </row>
    <row r="51" spans="1:18" ht="17">
      <c r="A51" s="60" t="str">
        <f>IFERROR(VLOOKUP(Data_Base[[#This Row],[Distributor Name]],Target[SS 2],1,FALSE),"Delete")</f>
        <v>SUNRISE ENTERPRISES</v>
      </c>
      <c r="B51" s="60">
        <f ca="1">IFERROR(VLOOKUP(Data_Base[[#This Row],[Item Sub Category]],Table2[[Sub Category]:[Billing Group]],3,0),99)</f>
        <v>30</v>
      </c>
      <c r="C51" s="167" t="str">
        <f>VLOOKUP(Data_Base[[#This Row],[Item Description]],Table2[[Item Name]:[Sub Category]],6,0)</f>
        <v>Classic Cream Orange -.10/-</v>
      </c>
      <c r="D51" s="60" t="s">
        <v>893</v>
      </c>
      <c r="E51" s="60" t="s">
        <v>82</v>
      </c>
      <c r="F51" s="168" t="s">
        <v>1407</v>
      </c>
      <c r="G51" s="169" t="s">
        <v>1408</v>
      </c>
      <c r="H51" s="170" t="s">
        <v>1409</v>
      </c>
      <c r="I51" s="171" t="s">
        <v>980</v>
      </c>
      <c r="J51" s="172" t="s">
        <v>170</v>
      </c>
      <c r="K51" s="173" t="s">
        <v>171</v>
      </c>
      <c r="L51" s="174" t="s">
        <v>0</v>
      </c>
      <c r="M51" s="175" t="s">
        <v>172</v>
      </c>
      <c r="N51" s="176">
        <v>59</v>
      </c>
      <c r="O51" s="177">
        <v>30</v>
      </c>
      <c r="P51" s="178">
        <v>89</v>
      </c>
      <c r="Q51" s="179">
        <v>42</v>
      </c>
      <c r="R51" s="180">
        <v>47</v>
      </c>
    </row>
    <row r="52" spans="1:18" ht="17">
      <c r="A52" s="60" t="str">
        <f>IFERROR(VLOOKUP(Data_Base[[#This Row],[Distributor Name]],Target[SS 2],1,FALSE),"Delete")</f>
        <v>SUNRISE ENTERPRISES</v>
      </c>
      <c r="B52" s="60">
        <f ca="1">IFERROR(VLOOKUP(Data_Base[[#This Row],[Item Sub Category]],Table2[[Sub Category]:[Billing Group]],3,0),99)</f>
        <v>21</v>
      </c>
      <c r="C52" s="167" t="str">
        <f>VLOOKUP(Data_Base[[#This Row],[Item Description]],Table2[[Item Name]:[Sub Category]],6,0)</f>
        <v>Coconut Crunch-.20/-</v>
      </c>
      <c r="D52" s="60" t="s">
        <v>893</v>
      </c>
      <c r="E52" s="60" t="s">
        <v>82</v>
      </c>
      <c r="F52" s="168" t="s">
        <v>1407</v>
      </c>
      <c r="G52" s="169" t="s">
        <v>1408</v>
      </c>
      <c r="H52" s="170" t="s">
        <v>1409</v>
      </c>
      <c r="I52" s="171" t="s">
        <v>980</v>
      </c>
      <c r="J52" s="172" t="s">
        <v>173</v>
      </c>
      <c r="K52" s="173" t="s">
        <v>174</v>
      </c>
      <c r="L52" s="174" t="s">
        <v>0</v>
      </c>
      <c r="M52" s="175" t="s">
        <v>175</v>
      </c>
      <c r="N52" s="176">
        <v>9</v>
      </c>
      <c r="O52" s="177">
        <v>0</v>
      </c>
      <c r="P52" s="178">
        <v>9</v>
      </c>
      <c r="Q52" s="179">
        <v>16</v>
      </c>
      <c r="R52" s="180">
        <v>-5</v>
      </c>
    </row>
    <row r="53" spans="1:18" ht="17">
      <c r="A53" s="60" t="str">
        <f>IFERROR(VLOOKUP(Data_Base[[#This Row],[Distributor Name]],Target[SS 2],1,FALSE),"Delete")</f>
        <v>SUNRISE ENTERPRISES</v>
      </c>
      <c r="B53" s="60">
        <f ca="1">IFERROR(VLOOKUP(Data_Base[[#This Row],[Item Sub Category]],Table2[[Sub Category]:[Billing Group]],3,0),99)</f>
        <v>46</v>
      </c>
      <c r="C53" s="167" t="str">
        <f>VLOOKUP(Data_Base[[#This Row],[Item Description]],Table2[[Item Name]:[Sub Category]],6,0)</f>
        <v>Marie Lite -F.P.</v>
      </c>
      <c r="D53" s="60" t="s">
        <v>893</v>
      </c>
      <c r="E53" s="60" t="s">
        <v>82</v>
      </c>
      <c r="F53" s="168" t="s">
        <v>1407</v>
      </c>
      <c r="G53" s="169" t="s">
        <v>1408</v>
      </c>
      <c r="H53" s="170" t="s">
        <v>1409</v>
      </c>
      <c r="I53" s="171" t="s">
        <v>980</v>
      </c>
      <c r="J53" s="172" t="s">
        <v>425</v>
      </c>
      <c r="K53" s="173" t="s">
        <v>426</v>
      </c>
      <c r="L53" s="174" t="s">
        <v>0</v>
      </c>
      <c r="M53" s="175" t="s">
        <v>427</v>
      </c>
      <c r="N53" s="176">
        <v>1</v>
      </c>
      <c r="O53" s="177">
        <v>0</v>
      </c>
      <c r="P53" s="178">
        <v>1</v>
      </c>
      <c r="Q53" s="179">
        <v>0</v>
      </c>
      <c r="R53" s="180">
        <v>1</v>
      </c>
    </row>
    <row r="54" spans="1:18" ht="17">
      <c r="A54" s="60" t="str">
        <f>IFERROR(VLOOKUP(Data_Base[[#This Row],[Distributor Name]],Target[SS 2],1,FALSE),"Delete")</f>
        <v>SUNRISE ENTERPRISES</v>
      </c>
      <c r="B54" s="60">
        <f ca="1">IFERROR(VLOOKUP(Data_Base[[#This Row],[Item Sub Category]],Table2[[Sub Category]:[Billing Group]],3,0),99)</f>
        <v>130</v>
      </c>
      <c r="C54" s="167" t="str">
        <f>VLOOKUP(Data_Base[[#This Row],[Item Description]],Table2[[Item Name]:[Sub Category]],6,0)</f>
        <v>Snakker- 5/-</v>
      </c>
      <c r="D54" s="60" t="s">
        <v>893</v>
      </c>
      <c r="E54" s="60" t="s">
        <v>82</v>
      </c>
      <c r="F54" s="168" t="s">
        <v>1407</v>
      </c>
      <c r="G54" s="169" t="s">
        <v>1408</v>
      </c>
      <c r="H54" s="170" t="s">
        <v>1409</v>
      </c>
      <c r="I54" s="171" t="s">
        <v>980</v>
      </c>
      <c r="J54" s="172" t="s">
        <v>274</v>
      </c>
      <c r="K54" s="173" t="s">
        <v>275</v>
      </c>
      <c r="L54" s="174" t="s">
        <v>16</v>
      </c>
      <c r="M54" s="175" t="s">
        <v>187</v>
      </c>
      <c r="N54" s="176">
        <v>425</v>
      </c>
      <c r="O54" s="177">
        <v>750</v>
      </c>
      <c r="P54" s="178">
        <v>1175</v>
      </c>
      <c r="Q54" s="179">
        <v>1175</v>
      </c>
      <c r="R54" s="180">
        <v>0</v>
      </c>
    </row>
    <row r="55" spans="1:18" ht="17">
      <c r="A55" s="60" t="str">
        <f>IFERROR(VLOOKUP(Data_Base[[#This Row],[Distributor Name]],Target[SS 2],1,FALSE),"Delete")</f>
        <v>SUNRISE ENTERPRISES</v>
      </c>
      <c r="B55" s="60">
        <f ca="1">IFERROR(VLOOKUP(Data_Base[[#This Row],[Item Sub Category]],Table2[[Sub Category]:[Billing Group]],3,0),99)</f>
        <v>149</v>
      </c>
      <c r="C55" s="167" t="str">
        <f>VLOOKUP(Data_Base[[#This Row],[Item Description]],Table2[[Item Name]:[Sub Category]],6,0)</f>
        <v>Snakker Minty Pouch</v>
      </c>
      <c r="D55" s="60" t="s">
        <v>893</v>
      </c>
      <c r="E55" s="60" t="s">
        <v>82</v>
      </c>
      <c r="F55" s="168" t="s">
        <v>1407</v>
      </c>
      <c r="G55" s="169" t="s">
        <v>1408</v>
      </c>
      <c r="H55" s="170" t="s">
        <v>1409</v>
      </c>
      <c r="I55" s="171" t="s">
        <v>980</v>
      </c>
      <c r="J55" s="172" t="s">
        <v>276</v>
      </c>
      <c r="K55" s="173" t="s">
        <v>277</v>
      </c>
      <c r="L55" s="174" t="s">
        <v>16</v>
      </c>
      <c r="M55" s="175" t="s">
        <v>278</v>
      </c>
      <c r="N55" s="176">
        <v>3</v>
      </c>
      <c r="O55" s="177">
        <v>0</v>
      </c>
      <c r="P55" s="178">
        <v>3</v>
      </c>
      <c r="Q55" s="179">
        <v>1</v>
      </c>
      <c r="R55" s="180">
        <v>2</v>
      </c>
    </row>
    <row r="56" spans="1:18" ht="17">
      <c r="A56" s="60" t="str">
        <f>IFERROR(VLOOKUP(Data_Base[[#This Row],[Distributor Name]],Target[SS 2],1,FALSE),"Delete")</f>
        <v>SUNRISE ENTERPRISES</v>
      </c>
      <c r="B56" s="60">
        <f ca="1">IFERROR(VLOOKUP(Data_Base[[#This Row],[Item Sub Category]],Table2[[Sub Category]:[Billing Group]],3,0),99)</f>
        <v>147</v>
      </c>
      <c r="C56" s="167" t="str">
        <f>VLOOKUP(Data_Base[[#This Row],[Item Description]],Table2[[Item Name]:[Sub Category]],6,0)</f>
        <v>TOFFITO Pouch</v>
      </c>
      <c r="D56" s="60" t="s">
        <v>893</v>
      </c>
      <c r="E56" s="60" t="s">
        <v>82</v>
      </c>
      <c r="F56" s="168" t="s">
        <v>1407</v>
      </c>
      <c r="G56" s="169" t="s">
        <v>1408</v>
      </c>
      <c r="H56" s="170" t="s">
        <v>1409</v>
      </c>
      <c r="I56" s="171" t="s">
        <v>980</v>
      </c>
      <c r="J56" s="172" t="s">
        <v>475</v>
      </c>
      <c r="K56" s="173" t="s">
        <v>476</v>
      </c>
      <c r="L56" s="174" t="s">
        <v>16</v>
      </c>
      <c r="M56" s="175" t="s">
        <v>294</v>
      </c>
      <c r="N56" s="176">
        <v>12</v>
      </c>
      <c r="O56" s="177">
        <v>0</v>
      </c>
      <c r="P56" s="178">
        <v>12</v>
      </c>
      <c r="Q56" s="179">
        <v>1</v>
      </c>
      <c r="R56" s="180">
        <v>11</v>
      </c>
    </row>
    <row r="57" spans="1:18" ht="17">
      <c r="A57" s="60" t="str">
        <f>IFERROR(VLOOKUP(Data_Base[[#This Row],[Distributor Name]],Target[SS 2],1,FALSE),"Delete")</f>
        <v>SUNRISE ENTERPRISES</v>
      </c>
      <c r="B57" s="60">
        <f ca="1">IFERROR(VLOOKUP(Data_Base[[#This Row],[Item Sub Category]],Table2[[Sub Category]:[Billing Group]],3,0),99)</f>
        <v>59</v>
      </c>
      <c r="C57" s="167" t="str">
        <f>VLOOKUP(Data_Base[[#This Row],[Item Description]],Table2[[Item Name]:[Sub Category]],6,0)</f>
        <v>Butter Delite - 20</v>
      </c>
      <c r="D57" s="60" t="s">
        <v>893</v>
      </c>
      <c r="E57" s="60" t="s">
        <v>82</v>
      </c>
      <c r="F57" s="168" t="s">
        <v>1407</v>
      </c>
      <c r="G57" s="169" t="s">
        <v>1408</v>
      </c>
      <c r="H57" s="170" t="s">
        <v>1409</v>
      </c>
      <c r="I57" s="171" t="s">
        <v>980</v>
      </c>
      <c r="J57" s="172" t="s">
        <v>188</v>
      </c>
      <c r="K57" s="173" t="s">
        <v>189</v>
      </c>
      <c r="L57" s="174" t="s">
        <v>0</v>
      </c>
      <c r="M57" s="175" t="s">
        <v>190</v>
      </c>
      <c r="N57" s="176">
        <v>105</v>
      </c>
      <c r="O57" s="177">
        <v>0</v>
      </c>
      <c r="P57" s="178">
        <v>105</v>
      </c>
      <c r="Q57" s="179">
        <v>87</v>
      </c>
      <c r="R57" s="180">
        <v>24</v>
      </c>
    </row>
    <row r="58" spans="1:18" ht="17">
      <c r="A58" s="60" t="str">
        <f>IFERROR(VLOOKUP(Data_Base[[#This Row],[Distributor Name]],Target[SS 2],1,FALSE),"Delete")</f>
        <v>SUNRISE ENTERPRISES</v>
      </c>
      <c r="B58" s="60">
        <f ca="1">IFERROR(VLOOKUP(Data_Base[[#This Row],[Item Sub Category]],Table2[[Sub Category]:[Billing Group]],3,0),99)</f>
        <v>51</v>
      </c>
      <c r="C58" s="167" t="str">
        <f>VLOOKUP(Data_Base[[#This Row],[Item Description]],Table2[[Item Name]:[Sub Category]],6,0)</f>
        <v>C.N.C. - 10</v>
      </c>
      <c r="D58" s="60" t="s">
        <v>893</v>
      </c>
      <c r="E58" s="60" t="s">
        <v>82</v>
      </c>
      <c r="F58" s="168" t="s">
        <v>1407</v>
      </c>
      <c r="G58" s="169" t="s">
        <v>1408</v>
      </c>
      <c r="H58" s="170" t="s">
        <v>1409</v>
      </c>
      <c r="I58" s="171" t="s">
        <v>980</v>
      </c>
      <c r="J58" s="172" t="s">
        <v>191</v>
      </c>
      <c r="K58" s="173" t="s">
        <v>192</v>
      </c>
      <c r="L58" s="174" t="s">
        <v>0</v>
      </c>
      <c r="M58" s="175" t="s">
        <v>193</v>
      </c>
      <c r="N58" s="176">
        <v>328</v>
      </c>
      <c r="O58" s="177">
        <v>1112</v>
      </c>
      <c r="P58" s="178">
        <v>1440</v>
      </c>
      <c r="Q58" s="179">
        <v>503</v>
      </c>
      <c r="R58" s="180">
        <v>938</v>
      </c>
    </row>
    <row r="59" spans="1:18" ht="17">
      <c r="A59" s="60" t="str">
        <f>IFERROR(VLOOKUP(Data_Base[[#This Row],[Distributor Name]],Target[SS 2],1,FALSE),"Delete")</f>
        <v>SUNRISE ENTERPRISES</v>
      </c>
      <c r="B59" s="60">
        <f ca="1">IFERROR(VLOOKUP(Data_Base[[#This Row],[Item Sub Category]],Table2[[Sub Category]:[Billing Group]],3,0),99)</f>
        <v>58</v>
      </c>
      <c r="C59" s="167" t="str">
        <f>VLOOKUP(Data_Base[[#This Row],[Item Description]],Table2[[Item Name]:[Sub Category]],6,0)</f>
        <v>Butter Delite - 10</v>
      </c>
      <c r="D59" s="60" t="s">
        <v>893</v>
      </c>
      <c r="E59" s="60" t="s">
        <v>82</v>
      </c>
      <c r="F59" s="168" t="s">
        <v>1407</v>
      </c>
      <c r="G59" s="169" t="s">
        <v>1408</v>
      </c>
      <c r="H59" s="170" t="s">
        <v>1409</v>
      </c>
      <c r="I59" s="171" t="s">
        <v>980</v>
      </c>
      <c r="J59" s="172" t="s">
        <v>194</v>
      </c>
      <c r="K59" s="173" t="s">
        <v>195</v>
      </c>
      <c r="L59" s="174" t="s">
        <v>0</v>
      </c>
      <c r="M59" s="175" t="s">
        <v>196</v>
      </c>
      <c r="N59" s="176">
        <v>13</v>
      </c>
      <c r="O59" s="177">
        <v>315</v>
      </c>
      <c r="P59" s="178">
        <v>328</v>
      </c>
      <c r="Q59" s="179">
        <v>233</v>
      </c>
      <c r="R59" s="180">
        <v>96</v>
      </c>
    </row>
    <row r="60" spans="1:18" ht="17">
      <c r="A60" s="60" t="str">
        <f>IFERROR(VLOOKUP(Data_Base[[#This Row],[Distributor Name]],Target[SS 2],1,FALSE),"Delete")</f>
        <v>SUNRISE ENTERPRISES</v>
      </c>
      <c r="B60" s="60">
        <f ca="1">IFERROR(VLOOKUP(Data_Base[[#This Row],[Item Sub Category]],Table2[[Sub Category]:[Billing Group]],3,0),99)</f>
        <v>63</v>
      </c>
      <c r="C60" s="167" t="str">
        <f>VLOOKUP(Data_Base[[#This Row],[Item Description]],Table2[[Item Name]:[Sub Category]],6,0)</f>
        <v>Cheese/ Top Cracker - 20</v>
      </c>
      <c r="D60" s="60" t="s">
        <v>893</v>
      </c>
      <c r="E60" s="60" t="s">
        <v>82</v>
      </c>
      <c r="F60" s="168" t="s">
        <v>1407</v>
      </c>
      <c r="G60" s="169" t="s">
        <v>1408</v>
      </c>
      <c r="H60" s="170" t="s">
        <v>1409</v>
      </c>
      <c r="I60" s="171" t="s">
        <v>980</v>
      </c>
      <c r="J60" s="172" t="s">
        <v>336</v>
      </c>
      <c r="K60" s="173" t="s">
        <v>337</v>
      </c>
      <c r="L60" s="174" t="s">
        <v>0</v>
      </c>
      <c r="M60" s="175" t="s">
        <v>214</v>
      </c>
      <c r="N60" s="176">
        <v>83</v>
      </c>
      <c r="O60" s="177">
        <v>0</v>
      </c>
      <c r="P60" s="178">
        <v>83</v>
      </c>
      <c r="Q60" s="179">
        <v>64</v>
      </c>
      <c r="R60" s="180">
        <v>19</v>
      </c>
    </row>
    <row r="61" spans="1:18" ht="17">
      <c r="A61" s="60" t="str">
        <f>IFERROR(VLOOKUP(Data_Base[[#This Row],[Distributor Name]],Target[SS 2],1,FALSE),"Delete")</f>
        <v>SUNRISE ENTERPRISES</v>
      </c>
      <c r="B61" s="60">
        <f ca="1">IFERROR(VLOOKUP(Data_Base[[#This Row],[Item Sub Category]],Table2[[Sub Category]:[Billing Group]],3,0),99)</f>
        <v>50</v>
      </c>
      <c r="C61" s="167" t="str">
        <f>VLOOKUP(Data_Base[[#This Row],[Item Description]],Table2[[Item Name]:[Sub Category]],6,0)</f>
        <v>C.N.C. - 5</v>
      </c>
      <c r="D61" s="60" t="s">
        <v>893</v>
      </c>
      <c r="E61" s="60" t="s">
        <v>82</v>
      </c>
      <c r="F61" s="168" t="s">
        <v>1407</v>
      </c>
      <c r="G61" s="169" t="s">
        <v>1408</v>
      </c>
      <c r="H61" s="170" t="s">
        <v>1409</v>
      </c>
      <c r="I61" s="171" t="s">
        <v>980</v>
      </c>
      <c r="J61" s="172" t="s">
        <v>305</v>
      </c>
      <c r="K61" s="173" t="s">
        <v>306</v>
      </c>
      <c r="L61" s="174" t="s">
        <v>0</v>
      </c>
      <c r="M61" s="175" t="s">
        <v>148</v>
      </c>
      <c r="N61" s="176">
        <v>1433</v>
      </c>
      <c r="O61" s="177">
        <v>2350</v>
      </c>
      <c r="P61" s="178">
        <v>3783</v>
      </c>
      <c r="Q61" s="179">
        <v>1746</v>
      </c>
      <c r="R61" s="180">
        <v>2037</v>
      </c>
    </row>
    <row r="62" spans="1:18" ht="17">
      <c r="A62" s="60" t="str">
        <f>IFERROR(VLOOKUP(Data_Base[[#This Row],[Distributor Name]],Target[SS 2],1,FALSE),"Delete")</f>
        <v>SUNRISE ENTERPRISES</v>
      </c>
      <c r="B62" s="60">
        <f ca="1">IFERROR(VLOOKUP(Data_Base[[#This Row],[Item Sub Category]],Table2[[Sub Category]:[Billing Group]],3,0),99)</f>
        <v>62</v>
      </c>
      <c r="C62" s="167" t="str">
        <f>VLOOKUP(Data_Base[[#This Row],[Item Description]],Table2[[Item Name]:[Sub Category]],6,0)</f>
        <v>Cheese/ Top Cracker - 10</v>
      </c>
      <c r="D62" s="60" t="s">
        <v>893</v>
      </c>
      <c r="E62" s="60" t="s">
        <v>82</v>
      </c>
      <c r="F62" s="168" t="s">
        <v>1407</v>
      </c>
      <c r="G62" s="169" t="s">
        <v>1408</v>
      </c>
      <c r="H62" s="170" t="s">
        <v>1409</v>
      </c>
      <c r="I62" s="171" t="s">
        <v>980</v>
      </c>
      <c r="J62" s="172" t="s">
        <v>200</v>
      </c>
      <c r="K62" s="173" t="s">
        <v>201</v>
      </c>
      <c r="L62" s="174" t="s">
        <v>0</v>
      </c>
      <c r="M62" s="175" t="s">
        <v>202</v>
      </c>
      <c r="N62" s="176">
        <v>75</v>
      </c>
      <c r="O62" s="177">
        <v>63</v>
      </c>
      <c r="P62" s="178">
        <v>138</v>
      </c>
      <c r="Q62" s="179">
        <v>148</v>
      </c>
      <c r="R62" s="180">
        <v>3</v>
      </c>
    </row>
    <row r="63" spans="1:18" ht="17">
      <c r="A63" s="60" t="str">
        <f>IFERROR(VLOOKUP(Data_Base[[#This Row],[Distributor Name]],Target[SS 2],1,FALSE),"Delete")</f>
        <v>SUNRISE ENTERPRISES</v>
      </c>
      <c r="B63" s="60">
        <f ca="1">IFERROR(VLOOKUP(Data_Base[[#This Row],[Item Sub Category]],Table2[[Sub Category]:[Billing Group]],3,0),99)</f>
        <v>45</v>
      </c>
      <c r="C63" s="167" t="str">
        <f>VLOOKUP(Data_Base[[#This Row],[Item Description]],Table2[[Item Name]:[Sub Category]],6,0)</f>
        <v>Marie Lite -20</v>
      </c>
      <c r="D63" s="60" t="s">
        <v>893</v>
      </c>
      <c r="E63" s="60" t="s">
        <v>82</v>
      </c>
      <c r="F63" s="168" t="s">
        <v>1407</v>
      </c>
      <c r="G63" s="169" t="s">
        <v>1408</v>
      </c>
      <c r="H63" s="170" t="s">
        <v>1409</v>
      </c>
      <c r="I63" s="171" t="s">
        <v>980</v>
      </c>
      <c r="J63" s="172" t="s">
        <v>279</v>
      </c>
      <c r="K63" s="173" t="s">
        <v>280</v>
      </c>
      <c r="L63" s="174" t="s">
        <v>0</v>
      </c>
      <c r="M63" s="175" t="s">
        <v>281</v>
      </c>
      <c r="N63" s="176">
        <v>1498</v>
      </c>
      <c r="O63" s="177">
        <v>0</v>
      </c>
      <c r="P63" s="178">
        <v>1498</v>
      </c>
      <c r="Q63" s="179">
        <v>482</v>
      </c>
      <c r="R63" s="180">
        <v>1028</v>
      </c>
    </row>
    <row r="64" spans="1:18" ht="17">
      <c r="A64" s="60" t="str">
        <f>IFERROR(VLOOKUP(Data_Base[[#This Row],[Distributor Name]],Target[SS 2],1,FALSE),"Delete")</f>
        <v>SUNRISE ENTERPRISES</v>
      </c>
      <c r="B64" s="60">
        <f ca="1">IFERROR(VLOOKUP(Data_Base[[#This Row],[Item Sub Category]],Table2[[Sub Category]:[Billing Group]],3,0),99)</f>
        <v>43</v>
      </c>
      <c r="C64" s="167" t="str">
        <f>VLOOKUP(Data_Base[[#This Row],[Item Description]],Table2[[Item Name]:[Sub Category]],6,0)</f>
        <v>Marie Lite -5</v>
      </c>
      <c r="D64" s="60" t="s">
        <v>893</v>
      </c>
      <c r="E64" s="60" t="s">
        <v>82</v>
      </c>
      <c r="F64" s="168" t="s">
        <v>1407</v>
      </c>
      <c r="G64" s="169" t="s">
        <v>1408</v>
      </c>
      <c r="H64" s="170" t="s">
        <v>1409</v>
      </c>
      <c r="I64" s="171" t="s">
        <v>980</v>
      </c>
      <c r="J64" s="172" t="s">
        <v>203</v>
      </c>
      <c r="K64" s="173" t="s">
        <v>204</v>
      </c>
      <c r="L64" s="174" t="s">
        <v>0</v>
      </c>
      <c r="M64" s="175" t="s">
        <v>205</v>
      </c>
      <c r="N64" s="176">
        <v>1178</v>
      </c>
      <c r="O64" s="177">
        <v>0</v>
      </c>
      <c r="P64" s="178">
        <v>1178</v>
      </c>
      <c r="Q64" s="179">
        <v>189</v>
      </c>
      <c r="R64" s="180">
        <v>995</v>
      </c>
    </row>
    <row r="65" spans="1:18" ht="17">
      <c r="A65" s="60" t="str">
        <f>IFERROR(VLOOKUP(Data_Base[[#This Row],[Distributor Name]],Target[SS 2],1,FALSE),"Delete")</f>
        <v>SUNRISE ENTERPRISES</v>
      </c>
      <c r="B65" s="60">
        <f ca="1">IFERROR(VLOOKUP(Data_Base[[#This Row],[Item Sub Category]],Table2[[Sub Category]:[Billing Group]],3,0),99)</f>
        <v>44</v>
      </c>
      <c r="C65" s="167" t="str">
        <f>VLOOKUP(Data_Base[[#This Row],[Item Description]],Table2[[Item Name]:[Sub Category]],6,0)</f>
        <v>Marie Lite -10</v>
      </c>
      <c r="D65" s="60" t="s">
        <v>893</v>
      </c>
      <c r="E65" s="60" t="s">
        <v>82</v>
      </c>
      <c r="F65" s="168" t="s">
        <v>1407</v>
      </c>
      <c r="G65" s="169" t="s">
        <v>1408</v>
      </c>
      <c r="H65" s="170" t="s">
        <v>1409</v>
      </c>
      <c r="I65" s="171" t="s">
        <v>980</v>
      </c>
      <c r="J65" s="172" t="s">
        <v>206</v>
      </c>
      <c r="K65" s="173" t="s">
        <v>207</v>
      </c>
      <c r="L65" s="174" t="s">
        <v>0</v>
      </c>
      <c r="M65" s="175" t="s">
        <v>208</v>
      </c>
      <c r="N65" s="176">
        <v>1510</v>
      </c>
      <c r="O65" s="177">
        <v>0</v>
      </c>
      <c r="P65" s="178">
        <v>1510</v>
      </c>
      <c r="Q65" s="179">
        <v>290</v>
      </c>
      <c r="R65" s="180">
        <v>1244</v>
      </c>
    </row>
    <row r="66" spans="1:18" ht="17">
      <c r="A66" s="60" t="str">
        <f>IFERROR(VLOOKUP(Data_Base[[#This Row],[Distributor Name]],Target[SS 2],1,FALSE),"Delete")</f>
        <v>SUNRISE ENTERPRISES</v>
      </c>
      <c r="B66" s="60">
        <f ca="1">IFERROR(VLOOKUP(Data_Base[[#This Row],[Item Sub Category]],Table2[[Sub Category]:[Billing Group]],3,0),99)</f>
        <v>144</v>
      </c>
      <c r="C66" s="167" t="str">
        <f>VLOOKUP(Data_Base[[#This Row],[Item Description]],Table2[[Item Name]:[Sub Category]],6,0)</f>
        <v>Shokk Jar</v>
      </c>
      <c r="D66" s="60" t="s">
        <v>893</v>
      </c>
      <c r="E66" s="60" t="s">
        <v>82</v>
      </c>
      <c r="F66" s="168" t="s">
        <v>1407</v>
      </c>
      <c r="G66" s="169" t="s">
        <v>1408</v>
      </c>
      <c r="H66" s="170" t="s">
        <v>1409</v>
      </c>
      <c r="I66" s="171" t="s">
        <v>980</v>
      </c>
      <c r="J66" s="172" t="s">
        <v>341</v>
      </c>
      <c r="K66" s="173" t="s">
        <v>342</v>
      </c>
      <c r="L66" s="174" t="s">
        <v>16</v>
      </c>
      <c r="M66" s="175" t="s">
        <v>343</v>
      </c>
      <c r="N66" s="176">
        <v>26</v>
      </c>
      <c r="O66" s="177">
        <v>0</v>
      </c>
      <c r="P66" s="178">
        <v>26</v>
      </c>
      <c r="Q66" s="179">
        <v>1</v>
      </c>
      <c r="R66" s="180">
        <v>25</v>
      </c>
    </row>
    <row r="67" spans="1:18" ht="17">
      <c r="A67" s="60" t="str">
        <f>IFERROR(VLOOKUP(Data_Base[[#This Row],[Distributor Name]],Target[SS 2],1,FALSE),"Delete")</f>
        <v>SUNRISE ENTERPRISES</v>
      </c>
      <c r="B67" s="60">
        <f ca="1">IFERROR(VLOOKUP(Data_Base[[#This Row],[Item Sub Category]],Table2[[Sub Category]:[Billing Group]],3,0),99)</f>
        <v>48</v>
      </c>
      <c r="C67" s="167" t="str">
        <f>VLOOKUP(Data_Base[[#This Row],[Item Description]],Table2[[Item Name]:[Sub Category]],6,0)</f>
        <v>Snacks - 10</v>
      </c>
      <c r="D67" s="60" t="s">
        <v>893</v>
      </c>
      <c r="E67" s="60" t="s">
        <v>82</v>
      </c>
      <c r="F67" s="168" t="s">
        <v>1407</v>
      </c>
      <c r="G67" s="169" t="s">
        <v>1408</v>
      </c>
      <c r="H67" s="170" t="s">
        <v>1409</v>
      </c>
      <c r="I67" s="171" t="s">
        <v>980</v>
      </c>
      <c r="J67" s="172" t="s">
        <v>307</v>
      </c>
      <c r="K67" s="173" t="s">
        <v>308</v>
      </c>
      <c r="L67" s="174" t="s">
        <v>0</v>
      </c>
      <c r="M67" s="175" t="s">
        <v>284</v>
      </c>
      <c r="N67" s="176">
        <v>-165</v>
      </c>
      <c r="O67" s="177">
        <v>1908</v>
      </c>
      <c r="P67" s="178">
        <v>1743</v>
      </c>
      <c r="Q67" s="179">
        <v>1301</v>
      </c>
      <c r="R67" s="180">
        <v>466</v>
      </c>
    </row>
    <row r="68" spans="1:18" ht="17">
      <c r="A68" s="60" t="str">
        <f>IFERROR(VLOOKUP(Data_Base[[#This Row],[Distributor Name]],Target[SS 2],1,FALSE),"Delete")</f>
        <v>SUNRISE ENTERPRISES</v>
      </c>
      <c r="B68" s="60">
        <f ca="1">IFERROR(VLOOKUP(Data_Base[[#This Row],[Item Sub Category]],Table2[[Sub Category]:[Billing Group]],3,0),99)</f>
        <v>47</v>
      </c>
      <c r="C68" s="167" t="str">
        <f>VLOOKUP(Data_Base[[#This Row],[Item Description]],Table2[[Item Name]:[Sub Category]],6,0)</f>
        <v>Snacks - 5</v>
      </c>
      <c r="D68" s="60" t="s">
        <v>893</v>
      </c>
      <c r="E68" s="60" t="s">
        <v>82</v>
      </c>
      <c r="F68" s="168" t="s">
        <v>1407</v>
      </c>
      <c r="G68" s="169" t="s">
        <v>1408</v>
      </c>
      <c r="H68" s="170" t="s">
        <v>1409</v>
      </c>
      <c r="I68" s="171" t="s">
        <v>980</v>
      </c>
      <c r="J68" s="172" t="s">
        <v>209</v>
      </c>
      <c r="K68" s="173" t="s">
        <v>210</v>
      </c>
      <c r="L68" s="174" t="s">
        <v>0</v>
      </c>
      <c r="M68" s="175" t="s">
        <v>211</v>
      </c>
      <c r="N68" s="176">
        <v>1986</v>
      </c>
      <c r="O68" s="177">
        <v>1598</v>
      </c>
      <c r="P68" s="178">
        <v>3584</v>
      </c>
      <c r="Q68" s="179">
        <v>3471</v>
      </c>
      <c r="R68" s="180">
        <v>113</v>
      </c>
    </row>
    <row r="69" spans="1:18" ht="17">
      <c r="A69" s="60" t="str">
        <f>IFERROR(VLOOKUP(Data_Base[[#This Row],[Distributor Name]],Target[SS 2],1,FALSE),"Delete")</f>
        <v>SUNRISE ENTERPRISES</v>
      </c>
      <c r="B69" s="60">
        <f ca="1">IFERROR(VLOOKUP(Data_Base[[#This Row],[Item Sub Category]],Table2[[Sub Category]:[Billing Group]],3,0),99)</f>
        <v>150</v>
      </c>
      <c r="C69" s="167" t="str">
        <f>VLOOKUP(Data_Base[[#This Row],[Item Description]],Table2[[Item Name]:[Sub Category]],6,0)</f>
        <v>Snakker Minty Jar</v>
      </c>
      <c r="D69" s="60" t="s">
        <v>893</v>
      </c>
      <c r="E69" s="60" t="s">
        <v>82</v>
      </c>
      <c r="F69" s="168" t="s">
        <v>1407</v>
      </c>
      <c r="G69" s="169" t="s">
        <v>1408</v>
      </c>
      <c r="H69" s="170" t="s">
        <v>1409</v>
      </c>
      <c r="I69" s="171" t="s">
        <v>980</v>
      </c>
      <c r="J69" s="172" t="s">
        <v>344</v>
      </c>
      <c r="K69" s="173" t="s">
        <v>345</v>
      </c>
      <c r="L69" s="174" t="s">
        <v>16</v>
      </c>
      <c r="M69" s="175" t="s">
        <v>184</v>
      </c>
      <c r="N69" s="176">
        <v>3</v>
      </c>
      <c r="O69" s="177">
        <v>0</v>
      </c>
      <c r="P69" s="178">
        <v>3</v>
      </c>
      <c r="Q69" s="179">
        <v>1</v>
      </c>
      <c r="R69" s="180">
        <v>2</v>
      </c>
    </row>
    <row r="70" spans="1:18" ht="17">
      <c r="A70" s="60" t="str">
        <f>IFERROR(VLOOKUP(Data_Base[[#This Row],[Distributor Name]],Target[SS 2],1,FALSE),"Delete")</f>
        <v>SUNRISE ENTERPRISES</v>
      </c>
      <c r="B70" s="60">
        <f ca="1">IFERROR(VLOOKUP(Data_Base[[#This Row],[Item Sub Category]],Table2[[Sub Category]:[Billing Group]],3,0),99)</f>
        <v>148</v>
      </c>
      <c r="C70" s="167" t="str">
        <f>VLOOKUP(Data_Base[[#This Row],[Item Description]],Table2[[Item Name]:[Sub Category]],6,0)</f>
        <v>TOFFITO Jar</v>
      </c>
      <c r="D70" s="60" t="s">
        <v>893</v>
      </c>
      <c r="E70" s="60" t="s">
        <v>82</v>
      </c>
      <c r="F70" s="168" t="s">
        <v>1407</v>
      </c>
      <c r="G70" s="169" t="s">
        <v>1408</v>
      </c>
      <c r="H70" s="170" t="s">
        <v>1409</v>
      </c>
      <c r="I70" s="171" t="s">
        <v>980</v>
      </c>
      <c r="J70" s="172" t="s">
        <v>694</v>
      </c>
      <c r="K70" s="173" t="s">
        <v>695</v>
      </c>
      <c r="L70" s="174" t="s">
        <v>16</v>
      </c>
      <c r="M70" s="175" t="s">
        <v>472</v>
      </c>
      <c r="N70" s="176">
        <v>6</v>
      </c>
      <c r="O70" s="177">
        <v>0</v>
      </c>
      <c r="P70" s="178">
        <v>6</v>
      </c>
      <c r="Q70" s="179">
        <v>0</v>
      </c>
      <c r="R70" s="180">
        <v>6</v>
      </c>
    </row>
    <row r="71" spans="1:18" ht="17">
      <c r="A71" s="60" t="str">
        <f>IFERROR(VLOOKUP(Data_Base[[#This Row],[Distributor Name]],Target[SS 2],1,FALSE),"Delete")</f>
        <v>SUNRISE ENTERPRISES</v>
      </c>
      <c r="B71" s="60">
        <f>IFERROR(VLOOKUP(Data_Base[[#This Row],[Item Sub Category]],Table2[[Sub Category]:[Billing Group]],3,0),99)</f>
        <v>85</v>
      </c>
      <c r="C71" s="167" t="str">
        <f>VLOOKUP(Data_Base[[#This Row],[Item Description]],Table2[[Item Name]:[Sub Category]],6,0)</f>
        <v>Milky Brust-.5/-</v>
      </c>
      <c r="D71" s="60" t="s">
        <v>893</v>
      </c>
      <c r="E71" s="60" t="s">
        <v>82</v>
      </c>
      <c r="F71" s="168" t="s">
        <v>1407</v>
      </c>
      <c r="G71" s="169" t="s">
        <v>1408</v>
      </c>
      <c r="H71" s="170" t="s">
        <v>1409</v>
      </c>
      <c r="I71" s="171" t="s">
        <v>980</v>
      </c>
      <c r="J71" s="172" t="s">
        <v>956</v>
      </c>
      <c r="K71" s="173" t="s">
        <v>957</v>
      </c>
      <c r="L71" s="174" t="s">
        <v>0</v>
      </c>
      <c r="M71" s="175" t="s">
        <v>958</v>
      </c>
      <c r="N71" s="176">
        <v>1.24E-2</v>
      </c>
      <c r="O71" s="177">
        <v>0</v>
      </c>
      <c r="P71" s="178">
        <v>1.24E-2</v>
      </c>
      <c r="Q71" s="179">
        <v>1.6000000000000001E-3</v>
      </c>
      <c r="R71" s="180">
        <v>1.09E-2</v>
      </c>
    </row>
    <row r="72" spans="1:18" ht="17">
      <c r="A72" s="60" t="str">
        <f>IFERROR(VLOOKUP(Data_Base[[#This Row],[Distributor Name]],Target[SS 2],1,FALSE),"Delete")</f>
        <v>NIDHI SALES</v>
      </c>
      <c r="B72" s="60">
        <f ca="1">IFERROR(VLOOKUP(Data_Base[[#This Row],[Item Sub Category]],Table2[[Sub Category]:[Billing Group]],3,0),99)</f>
        <v>47</v>
      </c>
      <c r="C72" s="167" t="str">
        <f>VLOOKUP(Data_Base[[#This Row],[Item Description]],Table2[[Item Name]:[Sub Category]],6,0)</f>
        <v>Snacks - 5</v>
      </c>
      <c r="D72" s="60" t="s">
        <v>893</v>
      </c>
      <c r="E72" s="60" t="s">
        <v>82</v>
      </c>
      <c r="F72" s="168" t="s">
        <v>1727</v>
      </c>
      <c r="G72" s="169" t="s">
        <v>1728</v>
      </c>
      <c r="H72" s="170" t="s">
        <v>1729</v>
      </c>
      <c r="I72" s="171" t="s">
        <v>980</v>
      </c>
      <c r="J72" s="172" t="s">
        <v>349</v>
      </c>
      <c r="K72" s="173" t="s">
        <v>350</v>
      </c>
      <c r="L72" s="174" t="s">
        <v>0</v>
      </c>
      <c r="M72" s="175" t="s">
        <v>211</v>
      </c>
      <c r="N72" s="176">
        <v>625</v>
      </c>
      <c r="O72" s="177">
        <v>0</v>
      </c>
      <c r="P72" s="178">
        <v>625</v>
      </c>
      <c r="Q72" s="179">
        <v>525</v>
      </c>
      <c r="R72" s="180">
        <v>100</v>
      </c>
    </row>
    <row r="73" spans="1:18" ht="17">
      <c r="A73" s="60" t="str">
        <f>IFERROR(VLOOKUP(Data_Base[[#This Row],[Distributor Name]],Target[SS 2],1,FALSE),"Delete")</f>
        <v>NIDHI SALES</v>
      </c>
      <c r="B73" s="60">
        <f ca="1">IFERROR(VLOOKUP(Data_Base[[#This Row],[Item Sub Category]],Table2[[Sub Category]:[Billing Group]],3,0),99)</f>
        <v>39</v>
      </c>
      <c r="C73" s="167" t="str">
        <f>VLOOKUP(Data_Base[[#This Row],[Item Description]],Table2[[Item Name]:[Sub Category]],6,0)</f>
        <v>Puff Crme - Lemon -5</v>
      </c>
      <c r="D73" s="60" t="s">
        <v>893</v>
      </c>
      <c r="E73" s="60" t="s">
        <v>82</v>
      </c>
      <c r="F73" s="168" t="s">
        <v>1727</v>
      </c>
      <c r="G73" s="169" t="s">
        <v>1728</v>
      </c>
      <c r="H73" s="170" t="s">
        <v>1729</v>
      </c>
      <c r="I73" s="171" t="s">
        <v>980</v>
      </c>
      <c r="J73" s="172" t="s">
        <v>83</v>
      </c>
      <c r="K73" s="173" t="s">
        <v>84</v>
      </c>
      <c r="L73" s="174" t="s">
        <v>0</v>
      </c>
      <c r="M73" s="175" t="s">
        <v>85</v>
      </c>
      <c r="N73" s="176">
        <v>-20</v>
      </c>
      <c r="O73" s="177">
        <v>0</v>
      </c>
      <c r="P73" s="178">
        <v>-20</v>
      </c>
      <c r="Q73" s="179">
        <v>0</v>
      </c>
      <c r="R73" s="180">
        <v>-20</v>
      </c>
    </row>
    <row r="74" spans="1:18" ht="17">
      <c r="A74" s="60" t="str">
        <f>IFERROR(VLOOKUP(Data_Base[[#This Row],[Distributor Name]],Target[SS 2],1,FALSE),"Delete")</f>
        <v>NIDHI SALES</v>
      </c>
      <c r="B74" s="60">
        <f ca="1">IFERROR(VLOOKUP(Data_Base[[#This Row],[Item Sub Category]],Table2[[Sub Category]:[Billing Group]],3,0),99)</f>
        <v>66</v>
      </c>
      <c r="C74" s="167" t="str">
        <f>VLOOKUP(Data_Base[[#This Row],[Item Description]],Table2[[Item Name]:[Sub Category]],6,0)</f>
        <v>Cheez Bit - 50</v>
      </c>
      <c r="D74" s="60" t="s">
        <v>893</v>
      </c>
      <c r="E74" s="60" t="s">
        <v>82</v>
      </c>
      <c r="F74" s="168" t="s">
        <v>1727</v>
      </c>
      <c r="G74" s="169" t="s">
        <v>1728</v>
      </c>
      <c r="H74" s="170" t="s">
        <v>1729</v>
      </c>
      <c r="I74" s="171" t="s">
        <v>980</v>
      </c>
      <c r="J74" s="172" t="s">
        <v>760</v>
      </c>
      <c r="K74" s="173" t="s">
        <v>965</v>
      </c>
      <c r="L74" s="174" t="s">
        <v>0</v>
      </c>
      <c r="M74" s="175" t="s">
        <v>262</v>
      </c>
      <c r="N74" s="176">
        <v>100.9</v>
      </c>
      <c r="O74" s="177">
        <v>0</v>
      </c>
      <c r="P74" s="178">
        <v>190.9</v>
      </c>
      <c r="Q74" s="179">
        <v>70</v>
      </c>
      <c r="R74" s="180">
        <v>120.9</v>
      </c>
    </row>
    <row r="75" spans="1:18" ht="17">
      <c r="A75" s="60" t="str">
        <f>IFERROR(VLOOKUP(Data_Base[[#This Row],[Distributor Name]],Target[SS 2],1,FALSE),"Delete")</f>
        <v>NIDHI SALES</v>
      </c>
      <c r="B75" s="60">
        <f ca="1">IFERROR(VLOOKUP(Data_Base[[#This Row],[Item Sub Category]],Table2[[Sub Category]:[Billing Group]],3,0),99)</f>
        <v>81</v>
      </c>
      <c r="C75" s="167" t="str">
        <f>VLOOKUP(Data_Base[[#This Row],[Item Description]],Table2[[Item Name]:[Sub Category]],6,0)</f>
        <v>Trojan-ATC</v>
      </c>
      <c r="D75" s="60" t="s">
        <v>893</v>
      </c>
      <c r="E75" s="60" t="s">
        <v>82</v>
      </c>
      <c r="F75" s="168" t="s">
        <v>1727</v>
      </c>
      <c r="G75" s="169" t="s">
        <v>1728</v>
      </c>
      <c r="H75" s="170" t="s">
        <v>1729</v>
      </c>
      <c r="I75" s="171" t="s">
        <v>980</v>
      </c>
      <c r="J75" s="172" t="s">
        <v>86</v>
      </c>
      <c r="K75" s="173" t="s">
        <v>87</v>
      </c>
      <c r="L75" s="174" t="s">
        <v>0</v>
      </c>
      <c r="M75" s="175" t="s">
        <v>88</v>
      </c>
      <c r="N75" s="176">
        <v>13.316700000000001</v>
      </c>
      <c r="O75" s="177">
        <v>0</v>
      </c>
      <c r="P75" s="178">
        <v>13.316700000000001</v>
      </c>
      <c r="Q75" s="179">
        <v>0</v>
      </c>
      <c r="R75" s="180">
        <v>13.316700000000001</v>
      </c>
    </row>
    <row r="76" spans="1:18" ht="17">
      <c r="A76" s="60" t="str">
        <f>IFERROR(VLOOKUP(Data_Base[[#This Row],[Distributor Name]],Target[SS 2],1,FALSE),"Delete")</f>
        <v>NIDHI SALES</v>
      </c>
      <c r="B76" s="60">
        <f ca="1">IFERROR(VLOOKUP(Data_Base[[#This Row],[Item Sub Category]],Table2[[Sub Category]:[Billing Group]],3,0),99)</f>
        <v>99</v>
      </c>
      <c r="C76" s="167" t="str">
        <f>VLOOKUP(Data_Base[[#This Row],[Item Description]],Table2[[Item Name]:[Sub Category]],6,0)</f>
        <v>Big Gold-.5/-</v>
      </c>
      <c r="D76" s="60" t="s">
        <v>893</v>
      </c>
      <c r="E76" s="60" t="s">
        <v>82</v>
      </c>
      <c r="F76" s="168" t="s">
        <v>1727</v>
      </c>
      <c r="G76" s="169" t="s">
        <v>1728</v>
      </c>
      <c r="H76" s="170" t="s">
        <v>1729</v>
      </c>
      <c r="I76" s="171" t="s">
        <v>980</v>
      </c>
      <c r="J76" s="172" t="s">
        <v>217</v>
      </c>
      <c r="K76" s="173" t="s">
        <v>218</v>
      </c>
      <c r="L76" s="174" t="s">
        <v>0</v>
      </c>
      <c r="M76" s="175" t="s">
        <v>219</v>
      </c>
      <c r="N76" s="176">
        <v>12.991899999999999</v>
      </c>
      <c r="O76" s="177">
        <v>0</v>
      </c>
      <c r="P76" s="178">
        <v>12.991899999999999</v>
      </c>
      <c r="Q76" s="179">
        <v>0</v>
      </c>
      <c r="R76" s="180">
        <v>12.991899999999999</v>
      </c>
    </row>
    <row r="77" spans="1:18" ht="17">
      <c r="A77" s="60" t="str">
        <f>IFERROR(VLOOKUP(Data_Base[[#This Row],[Distributor Name]],Target[SS 2],1,FALSE),"Delete")</f>
        <v>NIDHI SALES</v>
      </c>
      <c r="B77" s="60">
        <f ca="1">IFERROR(VLOOKUP(Data_Base[[#This Row],[Item Sub Category]],Table2[[Sub Category]:[Billing Group]],3,0),99)</f>
        <v>50</v>
      </c>
      <c r="C77" s="167" t="str">
        <f>VLOOKUP(Data_Base[[#This Row],[Item Description]],Table2[[Item Name]:[Sub Category]],6,0)</f>
        <v>C.N.C. - 5</v>
      </c>
      <c r="D77" s="60" t="s">
        <v>893</v>
      </c>
      <c r="E77" s="60" t="s">
        <v>82</v>
      </c>
      <c r="F77" s="168" t="s">
        <v>1727</v>
      </c>
      <c r="G77" s="169" t="s">
        <v>1728</v>
      </c>
      <c r="H77" s="170" t="s">
        <v>1729</v>
      </c>
      <c r="I77" s="171" t="s">
        <v>980</v>
      </c>
      <c r="J77" s="172" t="s">
        <v>351</v>
      </c>
      <c r="K77" s="173" t="s">
        <v>352</v>
      </c>
      <c r="L77" s="174" t="s">
        <v>0</v>
      </c>
      <c r="M77" s="175" t="s">
        <v>148</v>
      </c>
      <c r="N77" s="176">
        <v>1225</v>
      </c>
      <c r="O77" s="177">
        <v>0</v>
      </c>
      <c r="P77" s="178">
        <v>1225</v>
      </c>
      <c r="Q77" s="179">
        <v>945</v>
      </c>
      <c r="R77" s="180">
        <v>280</v>
      </c>
    </row>
    <row r="78" spans="1:18" ht="17">
      <c r="A78" s="60" t="str">
        <f>IFERROR(VLOOKUP(Data_Base[[#This Row],[Distributor Name]],Target[SS 2],1,FALSE),"Delete")</f>
        <v>NIDHI SALES</v>
      </c>
      <c r="B78" s="60">
        <f ca="1">IFERROR(VLOOKUP(Data_Base[[#This Row],[Item Sub Category]],Table2[[Sub Category]:[Billing Group]],3,0),99)</f>
        <v>1</v>
      </c>
      <c r="C78" s="167" t="str">
        <f>VLOOKUP(Data_Base[[#This Row],[Item Description]],Table2[[Item Name]:[Sub Category]],6,0)</f>
        <v>Digestive</v>
      </c>
      <c r="D78" s="60" t="s">
        <v>893</v>
      </c>
      <c r="E78" s="60" t="s">
        <v>82</v>
      </c>
      <c r="F78" s="168" t="s">
        <v>1727</v>
      </c>
      <c r="G78" s="169" t="s">
        <v>1728</v>
      </c>
      <c r="H78" s="170" t="s">
        <v>1729</v>
      </c>
      <c r="I78" s="171" t="s">
        <v>980</v>
      </c>
      <c r="J78" s="172" t="s">
        <v>407</v>
      </c>
      <c r="K78" s="173" t="s">
        <v>408</v>
      </c>
      <c r="L78" s="174" t="s">
        <v>0</v>
      </c>
      <c r="M78" s="175" t="s">
        <v>9</v>
      </c>
      <c r="N78" s="176">
        <v>0.3</v>
      </c>
      <c r="O78" s="177">
        <v>0</v>
      </c>
      <c r="P78" s="178">
        <v>0.3</v>
      </c>
      <c r="Q78" s="179">
        <v>0</v>
      </c>
      <c r="R78" s="180">
        <v>0.3</v>
      </c>
    </row>
    <row r="79" spans="1:18" ht="17">
      <c r="A79" s="60" t="str">
        <f>IFERROR(VLOOKUP(Data_Base[[#This Row],[Distributor Name]],Target[SS 2],1,FALSE),"Delete")</f>
        <v>NIDHI SALES</v>
      </c>
      <c r="B79" s="60">
        <f ca="1">IFERROR(VLOOKUP(Data_Base[[#This Row],[Item Sub Category]],Table2[[Sub Category]:[Billing Group]],3,0),99)</f>
        <v>2</v>
      </c>
      <c r="C79" s="167" t="str">
        <f>VLOOKUP(Data_Base[[#This Row],[Item Description]],Table2[[Item Name]:[Sub Category]],6,0)</f>
        <v>Butter Bite -.5/-</v>
      </c>
      <c r="D79" s="60" t="s">
        <v>893</v>
      </c>
      <c r="E79" s="60" t="s">
        <v>82</v>
      </c>
      <c r="F79" s="168" t="s">
        <v>1727</v>
      </c>
      <c r="G79" s="169" t="s">
        <v>1728</v>
      </c>
      <c r="H79" s="170" t="s">
        <v>1729</v>
      </c>
      <c r="I79" s="171" t="s">
        <v>980</v>
      </c>
      <c r="J79" s="172" t="s">
        <v>220</v>
      </c>
      <c r="K79" s="173" t="s">
        <v>221</v>
      </c>
      <c r="L79" s="174" t="s">
        <v>0</v>
      </c>
      <c r="M79" s="175" t="s">
        <v>222</v>
      </c>
      <c r="N79" s="176">
        <v>20.2</v>
      </c>
      <c r="O79" s="177">
        <v>0</v>
      </c>
      <c r="P79" s="178">
        <v>20.2</v>
      </c>
      <c r="Q79" s="179">
        <v>6</v>
      </c>
      <c r="R79" s="180">
        <v>14.2</v>
      </c>
    </row>
    <row r="80" spans="1:18" ht="17">
      <c r="A80" s="60" t="str">
        <f>IFERROR(VLOOKUP(Data_Base[[#This Row],[Distributor Name]],Target[SS 2],1,FALSE),"Delete")</f>
        <v>NIDHI SALES</v>
      </c>
      <c r="B80" s="60">
        <f ca="1">IFERROR(VLOOKUP(Data_Base[[#This Row],[Item Sub Category]],Table2[[Sub Category]:[Billing Group]],3,0),99)</f>
        <v>3</v>
      </c>
      <c r="C80" s="167" t="str">
        <f>VLOOKUP(Data_Base[[#This Row],[Item Description]],Table2[[Item Name]:[Sub Category]],6,0)</f>
        <v>Butter Bite -.10/-</v>
      </c>
      <c r="D80" s="60" t="s">
        <v>893</v>
      </c>
      <c r="E80" s="60" t="s">
        <v>82</v>
      </c>
      <c r="F80" s="168" t="s">
        <v>1727</v>
      </c>
      <c r="G80" s="169" t="s">
        <v>1728</v>
      </c>
      <c r="H80" s="170" t="s">
        <v>1729</v>
      </c>
      <c r="I80" s="171" t="s">
        <v>980</v>
      </c>
      <c r="J80" s="172" t="s">
        <v>89</v>
      </c>
      <c r="K80" s="173" t="s">
        <v>90</v>
      </c>
      <c r="L80" s="174" t="s">
        <v>0</v>
      </c>
      <c r="M80" s="175" t="s">
        <v>91</v>
      </c>
      <c r="N80" s="176">
        <v>57</v>
      </c>
      <c r="O80" s="177">
        <v>0</v>
      </c>
      <c r="P80" s="178">
        <v>57</v>
      </c>
      <c r="Q80" s="179">
        <v>0</v>
      </c>
      <c r="R80" s="180">
        <v>57</v>
      </c>
    </row>
    <row r="81" spans="1:18" ht="17">
      <c r="A81" s="60" t="str">
        <f>IFERROR(VLOOKUP(Data_Base[[#This Row],[Distributor Name]],Target[SS 2],1,FALSE),"Delete")</f>
        <v>NIDHI SALES</v>
      </c>
      <c r="B81" s="60">
        <f ca="1">IFERROR(VLOOKUP(Data_Base[[#This Row],[Item Sub Category]],Table2[[Sub Category]:[Billing Group]],3,0),99)</f>
        <v>4</v>
      </c>
      <c r="C81" s="167" t="str">
        <f>VLOOKUP(Data_Base[[#This Row],[Item Description]],Table2[[Item Name]:[Sub Category]],6,0)</f>
        <v>Butter Bite -.20/-</v>
      </c>
      <c r="D81" s="60" t="s">
        <v>893</v>
      </c>
      <c r="E81" s="60" t="s">
        <v>82</v>
      </c>
      <c r="F81" s="168" t="s">
        <v>1727</v>
      </c>
      <c r="G81" s="169" t="s">
        <v>1728</v>
      </c>
      <c r="H81" s="170" t="s">
        <v>1729</v>
      </c>
      <c r="I81" s="171" t="s">
        <v>980</v>
      </c>
      <c r="J81" s="172" t="s">
        <v>92</v>
      </c>
      <c r="K81" s="173" t="s">
        <v>93</v>
      </c>
      <c r="L81" s="174" t="s">
        <v>0</v>
      </c>
      <c r="M81" s="175" t="s">
        <v>94</v>
      </c>
      <c r="N81" s="176">
        <v>32.366700000000002</v>
      </c>
      <c r="O81" s="177">
        <v>0</v>
      </c>
      <c r="P81" s="178">
        <v>112.36669999999999</v>
      </c>
      <c r="Q81" s="179">
        <v>60</v>
      </c>
      <c r="R81" s="180">
        <v>52.366700000000002</v>
      </c>
    </row>
    <row r="82" spans="1:18" ht="17">
      <c r="A82" s="60" t="str">
        <f>IFERROR(VLOOKUP(Data_Base[[#This Row],[Distributor Name]],Target[SS 2],1,FALSE),"Delete")</f>
        <v>NIDHI SALES</v>
      </c>
      <c r="B82" s="60">
        <f ca="1">IFERROR(VLOOKUP(Data_Base[[#This Row],[Item Sub Category]],Table2[[Sub Category]:[Billing Group]],3,0),99)</f>
        <v>6</v>
      </c>
      <c r="C82" s="167" t="str">
        <f>VLOOKUP(Data_Base[[#This Row],[Item Description]],Table2[[Item Name]:[Sub Category]],6,0)</f>
        <v>B.B. Pista</v>
      </c>
      <c r="D82" s="60" t="s">
        <v>893</v>
      </c>
      <c r="E82" s="60" t="s">
        <v>82</v>
      </c>
      <c r="F82" s="168" t="s">
        <v>1727</v>
      </c>
      <c r="G82" s="169" t="s">
        <v>1728</v>
      </c>
      <c r="H82" s="170" t="s">
        <v>1729</v>
      </c>
      <c r="I82" s="171" t="s">
        <v>980</v>
      </c>
      <c r="J82" s="172" t="s">
        <v>481</v>
      </c>
      <c r="K82" s="173" t="s">
        <v>482</v>
      </c>
      <c r="L82" s="174" t="s">
        <v>0</v>
      </c>
      <c r="M82" s="175" t="s">
        <v>10</v>
      </c>
      <c r="N82" s="176">
        <v>19</v>
      </c>
      <c r="O82" s="177">
        <v>0</v>
      </c>
      <c r="P82" s="178">
        <v>19</v>
      </c>
      <c r="Q82" s="179">
        <v>0</v>
      </c>
      <c r="R82" s="180">
        <v>19</v>
      </c>
    </row>
    <row r="83" spans="1:18" ht="17">
      <c r="A83" s="60" t="str">
        <f>IFERROR(VLOOKUP(Data_Base[[#This Row],[Distributor Name]],Target[SS 2],1,FALSE),"Delete")</f>
        <v>NIDHI SALES</v>
      </c>
      <c r="B83" s="60">
        <f ca="1">IFERROR(VLOOKUP(Data_Base[[#This Row],[Item Sub Category]],Table2[[Sub Category]:[Billing Group]],3,0),99)</f>
        <v>7</v>
      </c>
      <c r="C83" s="167" t="str">
        <f>VLOOKUP(Data_Base[[#This Row],[Item Description]],Table2[[Item Name]:[Sub Category]],6,0)</f>
        <v>B.B Cashew -10</v>
      </c>
      <c r="D83" s="60" t="s">
        <v>893</v>
      </c>
      <c r="E83" s="60" t="s">
        <v>82</v>
      </c>
      <c r="F83" s="168" t="s">
        <v>1727</v>
      </c>
      <c r="G83" s="169" t="s">
        <v>1728</v>
      </c>
      <c r="H83" s="170" t="s">
        <v>1729</v>
      </c>
      <c r="I83" s="171" t="s">
        <v>980</v>
      </c>
      <c r="J83" s="172" t="s">
        <v>95</v>
      </c>
      <c r="K83" s="173" t="s">
        <v>96</v>
      </c>
      <c r="L83" s="174" t="s">
        <v>0</v>
      </c>
      <c r="M83" s="175" t="s">
        <v>97</v>
      </c>
      <c r="N83" s="176">
        <v>5</v>
      </c>
      <c r="O83" s="177">
        <v>0</v>
      </c>
      <c r="P83" s="178">
        <v>5</v>
      </c>
      <c r="Q83" s="179">
        <v>0</v>
      </c>
      <c r="R83" s="180">
        <v>5</v>
      </c>
    </row>
    <row r="84" spans="1:18" ht="17">
      <c r="A84" s="60" t="str">
        <f>IFERROR(VLOOKUP(Data_Base[[#This Row],[Distributor Name]],Target[SS 2],1,FALSE),"Delete")</f>
        <v>NIDHI SALES</v>
      </c>
      <c r="B84" s="60">
        <f ca="1">IFERROR(VLOOKUP(Data_Base[[#This Row],[Item Sub Category]],Table2[[Sub Category]:[Billing Group]],3,0),99)</f>
        <v>8</v>
      </c>
      <c r="C84" s="167" t="str">
        <f>VLOOKUP(Data_Base[[#This Row],[Item Description]],Table2[[Item Name]:[Sub Category]],6,0)</f>
        <v>B.B Cashew -20</v>
      </c>
      <c r="D84" s="60" t="s">
        <v>893</v>
      </c>
      <c r="E84" s="60" t="s">
        <v>82</v>
      </c>
      <c r="F84" s="168" t="s">
        <v>1727</v>
      </c>
      <c r="G84" s="169" t="s">
        <v>1728</v>
      </c>
      <c r="H84" s="170" t="s">
        <v>1729</v>
      </c>
      <c r="I84" s="171" t="s">
        <v>980</v>
      </c>
      <c r="J84" s="172" t="s">
        <v>409</v>
      </c>
      <c r="K84" s="173" t="s">
        <v>410</v>
      </c>
      <c r="L84" s="174" t="s">
        <v>0</v>
      </c>
      <c r="M84" s="175" t="s">
        <v>411</v>
      </c>
      <c r="N84" s="176">
        <v>3.0421999999999998</v>
      </c>
      <c r="O84" s="177">
        <v>0</v>
      </c>
      <c r="P84" s="178">
        <v>3.0421999999999998</v>
      </c>
      <c r="Q84" s="179">
        <v>0</v>
      </c>
      <c r="R84" s="180">
        <v>3.0421999999999998</v>
      </c>
    </row>
    <row r="85" spans="1:18" ht="17">
      <c r="A85" s="60" t="str">
        <f>IFERROR(VLOOKUP(Data_Base[[#This Row],[Distributor Name]],Target[SS 2],1,FALSE),"Delete")</f>
        <v>NIDHI SALES</v>
      </c>
      <c r="B85" s="60">
        <f ca="1">IFERROR(VLOOKUP(Data_Base[[#This Row],[Item Sub Category]],Table2[[Sub Category]:[Billing Group]],3,0),99)</f>
        <v>10</v>
      </c>
      <c r="C85" s="167" t="str">
        <f>VLOOKUP(Data_Base[[#This Row],[Item Description]],Table2[[Item Name]:[Sub Category]],6,0)</f>
        <v>Butter Lite Jeera-.5/-</v>
      </c>
      <c r="D85" s="60" t="s">
        <v>893</v>
      </c>
      <c r="E85" s="60" t="s">
        <v>82</v>
      </c>
      <c r="F85" s="168" t="s">
        <v>1727</v>
      </c>
      <c r="G85" s="169" t="s">
        <v>1728</v>
      </c>
      <c r="H85" s="170" t="s">
        <v>1729</v>
      </c>
      <c r="I85" s="171" t="s">
        <v>980</v>
      </c>
      <c r="J85" s="172" t="s">
        <v>98</v>
      </c>
      <c r="K85" s="173" t="s">
        <v>99</v>
      </c>
      <c r="L85" s="174" t="s">
        <v>0</v>
      </c>
      <c r="M85" s="175" t="s">
        <v>100</v>
      </c>
      <c r="N85" s="176">
        <v>7</v>
      </c>
      <c r="O85" s="177">
        <v>0</v>
      </c>
      <c r="P85" s="178">
        <v>7</v>
      </c>
      <c r="Q85" s="179">
        <v>0</v>
      </c>
      <c r="R85" s="180">
        <v>7</v>
      </c>
    </row>
    <row r="86" spans="1:18" ht="17">
      <c r="A86" s="60" t="str">
        <f>IFERROR(VLOOKUP(Data_Base[[#This Row],[Distributor Name]],Target[SS 2],1,FALSE),"Delete")</f>
        <v>NIDHI SALES</v>
      </c>
      <c r="B86" s="60">
        <f ca="1">IFERROR(VLOOKUP(Data_Base[[#This Row],[Item Sub Category]],Table2[[Sub Category]:[Billing Group]],3,0),99)</f>
        <v>12</v>
      </c>
      <c r="C86" s="167" t="str">
        <f>VLOOKUP(Data_Base[[#This Row],[Item Description]],Table2[[Item Name]:[Sub Category]],6,0)</f>
        <v>Butter Lite Jeera-.20/-</v>
      </c>
      <c r="D86" s="60" t="s">
        <v>893</v>
      </c>
      <c r="E86" s="60" t="s">
        <v>82</v>
      </c>
      <c r="F86" s="168" t="s">
        <v>1727</v>
      </c>
      <c r="G86" s="169" t="s">
        <v>1728</v>
      </c>
      <c r="H86" s="170" t="s">
        <v>1729</v>
      </c>
      <c r="I86" s="171" t="s">
        <v>980</v>
      </c>
      <c r="J86" s="172" t="s">
        <v>311</v>
      </c>
      <c r="K86" s="173" t="s">
        <v>312</v>
      </c>
      <c r="L86" s="174" t="s">
        <v>0</v>
      </c>
      <c r="M86" s="175" t="s">
        <v>313</v>
      </c>
      <c r="N86" s="176">
        <v>4.3266999999999998</v>
      </c>
      <c r="O86" s="177">
        <v>0</v>
      </c>
      <c r="P86" s="178">
        <v>4.3266999999999998</v>
      </c>
      <c r="Q86" s="179">
        <v>0</v>
      </c>
      <c r="R86" s="180">
        <v>4.3266999999999998</v>
      </c>
    </row>
    <row r="87" spans="1:18" ht="17">
      <c r="A87" s="60" t="str">
        <f>IFERROR(VLOOKUP(Data_Base[[#This Row],[Distributor Name]],Target[SS 2],1,FALSE),"Delete")</f>
        <v>NIDHI SALES</v>
      </c>
      <c r="B87" s="60">
        <f ca="1">IFERROR(VLOOKUP(Data_Base[[#This Row],[Item Sub Category]],Table2[[Sub Category]:[Billing Group]],3,0),99)</f>
        <v>13</v>
      </c>
      <c r="C87" s="167" t="str">
        <f>VLOOKUP(Data_Base[[#This Row],[Item Description]],Table2[[Item Name]:[Sub Category]],6,0)</f>
        <v>Chooo Chekkers-.5/-</v>
      </c>
      <c r="D87" s="60" t="s">
        <v>893</v>
      </c>
      <c r="E87" s="60" t="s">
        <v>82</v>
      </c>
      <c r="F87" s="168" t="s">
        <v>1727</v>
      </c>
      <c r="G87" s="169" t="s">
        <v>1728</v>
      </c>
      <c r="H87" s="170" t="s">
        <v>1729</v>
      </c>
      <c r="I87" s="171" t="s">
        <v>980</v>
      </c>
      <c r="J87" s="172" t="s">
        <v>104</v>
      </c>
      <c r="K87" s="173" t="s">
        <v>105</v>
      </c>
      <c r="L87" s="174" t="s">
        <v>0</v>
      </c>
      <c r="M87" s="175" t="s">
        <v>106</v>
      </c>
      <c r="N87" s="176">
        <v>0.221</v>
      </c>
      <c r="O87" s="177">
        <v>0</v>
      </c>
      <c r="P87" s="178">
        <v>0.221</v>
      </c>
      <c r="Q87" s="179">
        <v>0</v>
      </c>
      <c r="R87" s="180">
        <v>0.221</v>
      </c>
    </row>
    <row r="88" spans="1:18" ht="17">
      <c r="A88" s="60" t="str">
        <f>IFERROR(VLOOKUP(Data_Base[[#This Row],[Distributor Name]],Target[SS 2],1,FALSE),"Delete")</f>
        <v>NIDHI SALES</v>
      </c>
      <c r="B88" s="60">
        <f ca="1">IFERROR(VLOOKUP(Data_Base[[#This Row],[Item Sub Category]],Table2[[Sub Category]:[Billing Group]],3,0),99)</f>
        <v>14</v>
      </c>
      <c r="C88" s="167" t="str">
        <f>VLOOKUP(Data_Base[[#This Row],[Item Description]],Table2[[Item Name]:[Sub Category]],6,0)</f>
        <v>Chooo Chekkers-.10/-</v>
      </c>
      <c r="D88" s="60" t="s">
        <v>893</v>
      </c>
      <c r="E88" s="60" t="s">
        <v>82</v>
      </c>
      <c r="F88" s="168" t="s">
        <v>1727</v>
      </c>
      <c r="G88" s="169" t="s">
        <v>1728</v>
      </c>
      <c r="H88" s="170" t="s">
        <v>1729</v>
      </c>
      <c r="I88" s="171" t="s">
        <v>980</v>
      </c>
      <c r="J88" s="172" t="s">
        <v>107</v>
      </c>
      <c r="K88" s="173" t="s">
        <v>108</v>
      </c>
      <c r="L88" s="174" t="s">
        <v>0</v>
      </c>
      <c r="M88" s="175" t="s">
        <v>109</v>
      </c>
      <c r="N88" s="176">
        <v>1.3010999999999999</v>
      </c>
      <c r="O88" s="177">
        <v>0</v>
      </c>
      <c r="P88" s="178">
        <v>1.3010999999999999</v>
      </c>
      <c r="Q88" s="179">
        <v>0</v>
      </c>
      <c r="R88" s="180">
        <v>1.3010999999999999</v>
      </c>
    </row>
    <row r="89" spans="1:18" ht="17">
      <c r="A89" s="60" t="str">
        <f>IFERROR(VLOOKUP(Data_Base[[#This Row],[Distributor Name]],Target[SS 2],1,FALSE),"Delete")</f>
        <v>NIDHI SALES</v>
      </c>
      <c r="B89" s="60">
        <f ca="1">IFERROR(VLOOKUP(Data_Base[[#This Row],[Item Sub Category]],Table2[[Sub Category]:[Billing Group]],3,0),99)</f>
        <v>15</v>
      </c>
      <c r="C89" s="167" t="str">
        <f>VLOOKUP(Data_Base[[#This Row],[Item Description]],Table2[[Item Name]:[Sub Category]],6,0)</f>
        <v>Chooo Chekkers-.20/-</v>
      </c>
      <c r="D89" s="60" t="s">
        <v>893</v>
      </c>
      <c r="E89" s="60" t="s">
        <v>82</v>
      </c>
      <c r="F89" s="168" t="s">
        <v>1727</v>
      </c>
      <c r="G89" s="169" t="s">
        <v>1728</v>
      </c>
      <c r="H89" s="170" t="s">
        <v>1729</v>
      </c>
      <c r="I89" s="171" t="s">
        <v>980</v>
      </c>
      <c r="J89" s="172" t="s">
        <v>353</v>
      </c>
      <c r="K89" s="173" t="s">
        <v>354</v>
      </c>
      <c r="L89" s="174" t="s">
        <v>0</v>
      </c>
      <c r="M89" s="175" t="s">
        <v>340</v>
      </c>
      <c r="N89" s="176">
        <v>1.2566999999999999</v>
      </c>
      <c r="O89" s="177">
        <v>0</v>
      </c>
      <c r="P89" s="178">
        <v>1.2566999999999999</v>
      </c>
      <c r="Q89" s="179">
        <v>0</v>
      </c>
      <c r="R89" s="180">
        <v>1.2566999999999999</v>
      </c>
    </row>
    <row r="90" spans="1:18" ht="17">
      <c r="A90" s="60" t="str">
        <f>IFERROR(VLOOKUP(Data_Base[[#This Row],[Distributor Name]],Target[SS 2],1,FALSE),"Delete")</f>
        <v>NIDHI SALES</v>
      </c>
      <c r="B90" s="60">
        <f ca="1">IFERROR(VLOOKUP(Data_Base[[#This Row],[Item Sub Category]],Table2[[Sub Category]:[Billing Group]],3,0),99)</f>
        <v>22</v>
      </c>
      <c r="C90" s="167" t="str">
        <f>VLOOKUP(Data_Base[[#This Row],[Item Description]],Table2[[Item Name]:[Sub Category]],6,0)</f>
        <v>Snakker Creme-.10/-</v>
      </c>
      <c r="D90" s="60" t="s">
        <v>893</v>
      </c>
      <c r="E90" s="60" t="s">
        <v>82</v>
      </c>
      <c r="F90" s="168" t="s">
        <v>1727</v>
      </c>
      <c r="G90" s="169" t="s">
        <v>1728</v>
      </c>
      <c r="H90" s="170" t="s">
        <v>1729</v>
      </c>
      <c r="I90" s="171" t="s">
        <v>980</v>
      </c>
      <c r="J90" s="172" t="s">
        <v>314</v>
      </c>
      <c r="K90" s="173" t="s">
        <v>315</v>
      </c>
      <c r="L90" s="174" t="s">
        <v>0</v>
      </c>
      <c r="M90" s="175" t="s">
        <v>316</v>
      </c>
      <c r="N90" s="176">
        <v>-1</v>
      </c>
      <c r="O90" s="177">
        <v>0</v>
      </c>
      <c r="P90" s="178">
        <v>-1</v>
      </c>
      <c r="Q90" s="179">
        <v>0</v>
      </c>
      <c r="R90" s="180">
        <v>-1</v>
      </c>
    </row>
    <row r="91" spans="1:18" ht="17">
      <c r="A91" s="60" t="str">
        <f>IFERROR(VLOOKUP(Data_Base[[#This Row],[Distributor Name]],Target[SS 2],1,FALSE),"Delete")</f>
        <v>NIDHI SALES</v>
      </c>
      <c r="B91" s="60">
        <f ca="1">IFERROR(VLOOKUP(Data_Base[[#This Row],[Item Sub Category]],Table2[[Sub Category]:[Billing Group]],3,0),99)</f>
        <v>24</v>
      </c>
      <c r="C91" s="167" t="str">
        <f>VLOOKUP(Data_Base[[#This Row],[Item Description]],Table2[[Item Name]:[Sub Category]],6,0)</f>
        <v>Bourbon-.10/-</v>
      </c>
      <c r="D91" s="60" t="s">
        <v>893</v>
      </c>
      <c r="E91" s="60" t="s">
        <v>82</v>
      </c>
      <c r="F91" s="168" t="s">
        <v>1727</v>
      </c>
      <c r="G91" s="169" t="s">
        <v>1728</v>
      </c>
      <c r="H91" s="170" t="s">
        <v>1729</v>
      </c>
      <c r="I91" s="171" t="s">
        <v>980</v>
      </c>
      <c r="J91" s="172" t="s">
        <v>110</v>
      </c>
      <c r="K91" s="173" t="s">
        <v>111</v>
      </c>
      <c r="L91" s="174" t="s">
        <v>0</v>
      </c>
      <c r="M91" s="175" t="s">
        <v>112</v>
      </c>
      <c r="N91" s="176">
        <v>53</v>
      </c>
      <c r="O91" s="177">
        <v>0</v>
      </c>
      <c r="P91" s="178">
        <v>53</v>
      </c>
      <c r="Q91" s="179">
        <v>0</v>
      </c>
      <c r="R91" s="180">
        <v>53</v>
      </c>
    </row>
    <row r="92" spans="1:18" ht="17">
      <c r="A92" s="60" t="str">
        <f>IFERROR(VLOOKUP(Data_Base[[#This Row],[Distributor Name]],Target[SS 2],1,FALSE),"Delete")</f>
        <v>NIDHI SALES</v>
      </c>
      <c r="B92" s="60">
        <f ca="1">IFERROR(VLOOKUP(Data_Base[[#This Row],[Item Sub Category]],Table2[[Sub Category]:[Billing Group]],3,0),99)</f>
        <v>26</v>
      </c>
      <c r="C92" s="167" t="str">
        <f>VLOOKUP(Data_Base[[#This Row],[Item Description]],Table2[[Item Name]:[Sub Category]],6,0)</f>
        <v>Classic Cream Choco -.5/-</v>
      </c>
      <c r="D92" s="60" t="s">
        <v>893</v>
      </c>
      <c r="E92" s="60" t="s">
        <v>82</v>
      </c>
      <c r="F92" s="168" t="s">
        <v>1727</v>
      </c>
      <c r="G92" s="169" t="s">
        <v>1728</v>
      </c>
      <c r="H92" s="170" t="s">
        <v>1729</v>
      </c>
      <c r="I92" s="171" t="s">
        <v>980</v>
      </c>
      <c r="J92" s="172" t="s">
        <v>564</v>
      </c>
      <c r="K92" s="173" t="s">
        <v>565</v>
      </c>
      <c r="L92" s="174" t="s">
        <v>0</v>
      </c>
      <c r="M92" s="175" t="s">
        <v>151</v>
      </c>
      <c r="N92" s="176">
        <v>30</v>
      </c>
      <c r="O92" s="177">
        <v>0</v>
      </c>
      <c r="P92" s="178">
        <v>30</v>
      </c>
      <c r="Q92" s="179">
        <v>18</v>
      </c>
      <c r="R92" s="180">
        <v>12</v>
      </c>
    </row>
    <row r="93" spans="1:18" ht="17">
      <c r="A93" s="60" t="str">
        <f>IFERROR(VLOOKUP(Data_Base[[#This Row],[Distributor Name]],Target[SS 2],1,FALSE),"Delete")</f>
        <v>NIDHI SALES</v>
      </c>
      <c r="B93" s="60">
        <f ca="1">IFERROR(VLOOKUP(Data_Base[[#This Row],[Item Sub Category]],Table2[[Sub Category]:[Billing Group]],3,0),99)</f>
        <v>35</v>
      </c>
      <c r="C93" s="167" t="str">
        <f>VLOOKUP(Data_Base[[#This Row],[Item Description]],Table2[[Item Name]:[Sub Category]],6,0)</f>
        <v>Puff Crme - Choco -5</v>
      </c>
      <c r="D93" s="60" t="s">
        <v>893</v>
      </c>
      <c r="E93" s="60" t="s">
        <v>82</v>
      </c>
      <c r="F93" s="168" t="s">
        <v>1727</v>
      </c>
      <c r="G93" s="169" t="s">
        <v>1728</v>
      </c>
      <c r="H93" s="170" t="s">
        <v>1729</v>
      </c>
      <c r="I93" s="171" t="s">
        <v>980</v>
      </c>
      <c r="J93" s="172" t="s">
        <v>113</v>
      </c>
      <c r="K93" s="173" t="s">
        <v>114</v>
      </c>
      <c r="L93" s="174" t="s">
        <v>0</v>
      </c>
      <c r="M93" s="175" t="s">
        <v>115</v>
      </c>
      <c r="N93" s="176">
        <v>250</v>
      </c>
      <c r="O93" s="177">
        <v>0</v>
      </c>
      <c r="P93" s="178">
        <v>250</v>
      </c>
      <c r="Q93" s="179">
        <v>20</v>
      </c>
      <c r="R93" s="180">
        <v>230</v>
      </c>
    </row>
    <row r="94" spans="1:18" ht="17">
      <c r="A94" s="60" t="str">
        <f>IFERROR(VLOOKUP(Data_Base[[#This Row],[Distributor Name]],Target[SS 2],1,FALSE),"Delete")</f>
        <v>NIDHI SALES</v>
      </c>
      <c r="B94" s="60">
        <f ca="1">IFERROR(VLOOKUP(Data_Base[[#This Row],[Item Sub Category]],Table2[[Sub Category]:[Billing Group]],3,0),99)</f>
        <v>36</v>
      </c>
      <c r="C94" s="167" t="str">
        <f>VLOOKUP(Data_Base[[#This Row],[Item Description]],Table2[[Item Name]:[Sub Category]],6,0)</f>
        <v>Puff Crme - Choco -10</v>
      </c>
      <c r="D94" s="60" t="s">
        <v>893</v>
      </c>
      <c r="E94" s="60" t="s">
        <v>82</v>
      </c>
      <c r="F94" s="168" t="s">
        <v>1727</v>
      </c>
      <c r="G94" s="169" t="s">
        <v>1728</v>
      </c>
      <c r="H94" s="170" t="s">
        <v>1729</v>
      </c>
      <c r="I94" s="171" t="s">
        <v>980</v>
      </c>
      <c r="J94" s="172" t="s">
        <v>223</v>
      </c>
      <c r="K94" s="173" t="s">
        <v>224</v>
      </c>
      <c r="L94" s="174" t="s">
        <v>0</v>
      </c>
      <c r="M94" s="175" t="s">
        <v>225</v>
      </c>
      <c r="N94" s="176">
        <v>45</v>
      </c>
      <c r="O94" s="177">
        <v>0</v>
      </c>
      <c r="P94" s="178">
        <v>133</v>
      </c>
      <c r="Q94" s="179">
        <v>55</v>
      </c>
      <c r="R94" s="180">
        <v>78</v>
      </c>
    </row>
    <row r="95" spans="1:18" ht="17">
      <c r="A95" s="60" t="str">
        <f>IFERROR(VLOOKUP(Data_Base[[#This Row],[Distributor Name]],Target[SS 2],1,FALSE),"Delete")</f>
        <v>NIDHI SALES</v>
      </c>
      <c r="B95" s="60">
        <f ca="1">IFERROR(VLOOKUP(Data_Base[[#This Row],[Item Sub Category]],Table2[[Sub Category]:[Billing Group]],3,0),99)</f>
        <v>37</v>
      </c>
      <c r="C95" s="167" t="str">
        <f>VLOOKUP(Data_Base[[#This Row],[Item Description]],Table2[[Item Name]:[Sub Category]],6,0)</f>
        <v>Puff Crme - Straw -5</v>
      </c>
      <c r="D95" s="60" t="s">
        <v>893</v>
      </c>
      <c r="E95" s="60" t="s">
        <v>82</v>
      </c>
      <c r="F95" s="168" t="s">
        <v>1727</v>
      </c>
      <c r="G95" s="169" t="s">
        <v>1728</v>
      </c>
      <c r="H95" s="170" t="s">
        <v>1729</v>
      </c>
      <c r="I95" s="171" t="s">
        <v>980</v>
      </c>
      <c r="J95" s="172" t="s">
        <v>116</v>
      </c>
      <c r="K95" s="173" t="s">
        <v>117</v>
      </c>
      <c r="L95" s="174" t="s">
        <v>0</v>
      </c>
      <c r="M95" s="175" t="s">
        <v>118</v>
      </c>
      <c r="N95" s="176">
        <v>0</v>
      </c>
      <c r="O95" s="177">
        <v>0</v>
      </c>
      <c r="P95" s="178">
        <v>190</v>
      </c>
      <c r="Q95" s="179">
        <v>45</v>
      </c>
      <c r="R95" s="180">
        <v>145</v>
      </c>
    </row>
    <row r="96" spans="1:18" ht="17">
      <c r="A96" s="60" t="str">
        <f>IFERROR(VLOOKUP(Data_Base[[#This Row],[Distributor Name]],Target[SS 2],1,FALSE),"Delete")</f>
        <v>NIDHI SALES</v>
      </c>
      <c r="B96" s="60">
        <f ca="1">IFERROR(VLOOKUP(Data_Base[[#This Row],[Item Sub Category]],Table2[[Sub Category]:[Billing Group]],3,0),99)</f>
        <v>38</v>
      </c>
      <c r="C96" s="167" t="str">
        <f>VLOOKUP(Data_Base[[#This Row],[Item Description]],Table2[[Item Name]:[Sub Category]],6,0)</f>
        <v>Puff Crme - Straw -10</v>
      </c>
      <c r="D96" s="60" t="s">
        <v>893</v>
      </c>
      <c r="E96" s="60" t="s">
        <v>82</v>
      </c>
      <c r="F96" s="168" t="s">
        <v>1727</v>
      </c>
      <c r="G96" s="169" t="s">
        <v>1728</v>
      </c>
      <c r="H96" s="170" t="s">
        <v>1729</v>
      </c>
      <c r="I96" s="171" t="s">
        <v>980</v>
      </c>
      <c r="J96" s="172" t="s">
        <v>226</v>
      </c>
      <c r="K96" s="173" t="s">
        <v>227</v>
      </c>
      <c r="L96" s="174" t="s">
        <v>0</v>
      </c>
      <c r="M96" s="175" t="s">
        <v>228</v>
      </c>
      <c r="N96" s="176">
        <v>89</v>
      </c>
      <c r="O96" s="177">
        <v>0</v>
      </c>
      <c r="P96" s="178">
        <v>121</v>
      </c>
      <c r="Q96" s="179">
        <v>38</v>
      </c>
      <c r="R96" s="180">
        <v>83</v>
      </c>
    </row>
    <row r="97" spans="1:18" ht="17">
      <c r="A97" s="60" t="str">
        <f>IFERROR(VLOOKUP(Data_Base[[#This Row],[Distributor Name]],Target[SS 2],1,FALSE),"Delete")</f>
        <v>NIDHI SALES</v>
      </c>
      <c r="B97" s="60">
        <f ca="1">IFERROR(VLOOKUP(Data_Base[[#This Row],[Item Sub Category]],Table2[[Sub Category]:[Billing Group]],3,0),99)</f>
        <v>40</v>
      </c>
      <c r="C97" s="167" t="str">
        <f>VLOOKUP(Data_Base[[#This Row],[Item Description]],Table2[[Item Name]:[Sub Category]],6,0)</f>
        <v>Puff Crme - Lemon -10</v>
      </c>
      <c r="D97" s="60" t="s">
        <v>893</v>
      </c>
      <c r="E97" s="60" t="s">
        <v>82</v>
      </c>
      <c r="F97" s="168" t="s">
        <v>1727</v>
      </c>
      <c r="G97" s="169" t="s">
        <v>1728</v>
      </c>
      <c r="H97" s="170" t="s">
        <v>1729</v>
      </c>
      <c r="I97" s="171" t="s">
        <v>980</v>
      </c>
      <c r="J97" s="172" t="s">
        <v>229</v>
      </c>
      <c r="K97" s="173" t="s">
        <v>230</v>
      </c>
      <c r="L97" s="174" t="s">
        <v>0</v>
      </c>
      <c r="M97" s="175" t="s">
        <v>231</v>
      </c>
      <c r="N97" s="176">
        <v>2</v>
      </c>
      <c r="O97" s="177">
        <v>0</v>
      </c>
      <c r="P97" s="178">
        <v>2</v>
      </c>
      <c r="Q97" s="179">
        <v>0</v>
      </c>
      <c r="R97" s="180">
        <v>2</v>
      </c>
    </row>
    <row r="98" spans="1:18" ht="17">
      <c r="A98" s="60" t="str">
        <f>IFERROR(VLOOKUP(Data_Base[[#This Row],[Distributor Name]],Target[SS 2],1,FALSE),"Delete")</f>
        <v>NIDHI SALES</v>
      </c>
      <c r="B98" s="60">
        <f ca="1">IFERROR(VLOOKUP(Data_Base[[#This Row],[Item Sub Category]],Table2[[Sub Category]:[Billing Group]],3,0),99)</f>
        <v>43</v>
      </c>
      <c r="C98" s="167" t="str">
        <f>VLOOKUP(Data_Base[[#This Row],[Item Description]],Table2[[Item Name]:[Sub Category]],6,0)</f>
        <v>Marie Lite -5</v>
      </c>
      <c r="D98" s="60" t="s">
        <v>893</v>
      </c>
      <c r="E98" s="60" t="s">
        <v>82</v>
      </c>
      <c r="F98" s="168" t="s">
        <v>1727</v>
      </c>
      <c r="G98" s="169" t="s">
        <v>1728</v>
      </c>
      <c r="H98" s="170" t="s">
        <v>1729</v>
      </c>
      <c r="I98" s="171" t="s">
        <v>980</v>
      </c>
      <c r="J98" s="172" t="s">
        <v>367</v>
      </c>
      <c r="K98" s="173" t="s">
        <v>368</v>
      </c>
      <c r="L98" s="174" t="s">
        <v>0</v>
      </c>
      <c r="M98" s="175" t="s">
        <v>205</v>
      </c>
      <c r="N98" s="176">
        <v>147</v>
      </c>
      <c r="O98" s="177">
        <v>0</v>
      </c>
      <c r="P98" s="178">
        <v>315</v>
      </c>
      <c r="Q98" s="179">
        <v>112</v>
      </c>
      <c r="R98" s="180">
        <v>203</v>
      </c>
    </row>
    <row r="99" spans="1:18" ht="17">
      <c r="A99" s="60" t="str">
        <f>IFERROR(VLOOKUP(Data_Base[[#This Row],[Distributor Name]],Target[SS 2],1,FALSE),"Delete")</f>
        <v>NIDHI SALES</v>
      </c>
      <c r="B99" s="60">
        <f ca="1">IFERROR(VLOOKUP(Data_Base[[#This Row],[Item Sub Category]],Table2[[Sub Category]:[Billing Group]],3,0),99)</f>
        <v>19</v>
      </c>
      <c r="C99" s="167" t="str">
        <f>VLOOKUP(Data_Base[[#This Row],[Item Description]],Table2[[Item Name]:[Sub Category]],6,0)</f>
        <v>Coconut Crunch-.5/-</v>
      </c>
      <c r="D99" s="60" t="s">
        <v>893</v>
      </c>
      <c r="E99" s="60" t="s">
        <v>82</v>
      </c>
      <c r="F99" s="168" t="s">
        <v>1727</v>
      </c>
      <c r="G99" s="169" t="s">
        <v>1728</v>
      </c>
      <c r="H99" s="170" t="s">
        <v>1729</v>
      </c>
      <c r="I99" s="171" t="s">
        <v>980</v>
      </c>
      <c r="J99" s="172" t="s">
        <v>119</v>
      </c>
      <c r="K99" s="173" t="s">
        <v>120</v>
      </c>
      <c r="L99" s="174" t="s">
        <v>0</v>
      </c>
      <c r="M99" s="175" t="s">
        <v>121</v>
      </c>
      <c r="N99" s="176">
        <v>2.9916999999999998</v>
      </c>
      <c r="O99" s="177">
        <v>0</v>
      </c>
      <c r="P99" s="178">
        <v>2.9916999999999998</v>
      </c>
      <c r="Q99" s="179">
        <v>3</v>
      </c>
      <c r="R99" s="180">
        <v>-8.3000000000000001E-3</v>
      </c>
    </row>
    <row r="100" spans="1:18" ht="17">
      <c r="A100" s="60" t="str">
        <f>IFERROR(VLOOKUP(Data_Base[[#This Row],[Distributor Name]],Target[SS 2],1,FALSE),"Delete")</f>
        <v>NIDHI SALES</v>
      </c>
      <c r="B100" s="60">
        <f ca="1">IFERROR(VLOOKUP(Data_Base[[#This Row],[Item Sub Category]],Table2[[Sub Category]:[Billing Group]],3,0),99)</f>
        <v>20</v>
      </c>
      <c r="C100" s="167" t="str">
        <f>VLOOKUP(Data_Base[[#This Row],[Item Description]],Table2[[Item Name]:[Sub Category]],6,0)</f>
        <v>Coconut Crunch-.10/-</v>
      </c>
      <c r="D100" s="60" t="s">
        <v>893</v>
      </c>
      <c r="E100" s="60" t="s">
        <v>82</v>
      </c>
      <c r="F100" s="168" t="s">
        <v>1727</v>
      </c>
      <c r="G100" s="169" t="s">
        <v>1728</v>
      </c>
      <c r="H100" s="170" t="s">
        <v>1729</v>
      </c>
      <c r="I100" s="171" t="s">
        <v>980</v>
      </c>
      <c r="J100" s="172" t="s">
        <v>122</v>
      </c>
      <c r="K100" s="173" t="s">
        <v>123</v>
      </c>
      <c r="L100" s="174" t="s">
        <v>0</v>
      </c>
      <c r="M100" s="175" t="s">
        <v>124</v>
      </c>
      <c r="N100" s="176">
        <v>0.1167</v>
      </c>
      <c r="O100" s="177">
        <v>0</v>
      </c>
      <c r="P100" s="178">
        <v>0.1167</v>
      </c>
      <c r="Q100" s="179">
        <v>0</v>
      </c>
      <c r="R100" s="180">
        <v>0.1167</v>
      </c>
    </row>
    <row r="101" spans="1:18" ht="17">
      <c r="A101" s="60" t="str">
        <f>IFERROR(VLOOKUP(Data_Base[[#This Row],[Distributor Name]],Target[SS 2],1,FALSE),"Delete")</f>
        <v>NIDHI SALES</v>
      </c>
      <c r="B101" s="60">
        <f ca="1">IFERROR(VLOOKUP(Data_Base[[#This Row],[Item Sub Category]],Table2[[Sub Category]:[Billing Group]],3,0),99)</f>
        <v>57</v>
      </c>
      <c r="C101" s="167" t="str">
        <f>VLOOKUP(Data_Base[[#This Row],[Item Description]],Table2[[Item Name]:[Sub Category]],6,0)</f>
        <v>Butter Delite - 5</v>
      </c>
      <c r="D101" s="60" t="s">
        <v>893</v>
      </c>
      <c r="E101" s="60" t="s">
        <v>82</v>
      </c>
      <c r="F101" s="168" t="s">
        <v>1727</v>
      </c>
      <c r="G101" s="169" t="s">
        <v>1728</v>
      </c>
      <c r="H101" s="170" t="s">
        <v>1729</v>
      </c>
      <c r="I101" s="171" t="s">
        <v>980</v>
      </c>
      <c r="J101" s="172" t="s">
        <v>125</v>
      </c>
      <c r="K101" s="173" t="s">
        <v>126</v>
      </c>
      <c r="L101" s="174" t="s">
        <v>0</v>
      </c>
      <c r="M101" s="175" t="s">
        <v>127</v>
      </c>
      <c r="N101" s="176">
        <v>2239</v>
      </c>
      <c r="O101" s="177">
        <v>0</v>
      </c>
      <c r="P101" s="178">
        <v>2743</v>
      </c>
      <c r="Q101" s="179">
        <v>569</v>
      </c>
      <c r="R101" s="180">
        <v>2174</v>
      </c>
    </row>
    <row r="102" spans="1:18" ht="17">
      <c r="A102" s="60" t="str">
        <f>IFERROR(VLOOKUP(Data_Base[[#This Row],[Distributor Name]],Target[SS 2],1,FALSE),"Delete")</f>
        <v>NIDHI SALES</v>
      </c>
      <c r="B102" s="60">
        <f ca="1">IFERROR(VLOOKUP(Data_Base[[#This Row],[Item Sub Category]],Table2[[Sub Category]:[Billing Group]],3,0),99)</f>
        <v>59</v>
      </c>
      <c r="C102" s="167" t="str">
        <f>VLOOKUP(Data_Base[[#This Row],[Item Description]],Table2[[Item Name]:[Sub Category]],6,0)</f>
        <v>Butter Delite - 20</v>
      </c>
      <c r="D102" s="60" t="s">
        <v>893</v>
      </c>
      <c r="E102" s="60" t="s">
        <v>82</v>
      </c>
      <c r="F102" s="168" t="s">
        <v>1727</v>
      </c>
      <c r="G102" s="169" t="s">
        <v>1728</v>
      </c>
      <c r="H102" s="170" t="s">
        <v>1729</v>
      </c>
      <c r="I102" s="171" t="s">
        <v>980</v>
      </c>
      <c r="J102" s="172" t="s">
        <v>373</v>
      </c>
      <c r="K102" s="173" t="s">
        <v>374</v>
      </c>
      <c r="L102" s="174" t="s">
        <v>0</v>
      </c>
      <c r="M102" s="175" t="s">
        <v>190</v>
      </c>
      <c r="N102" s="176">
        <v>25</v>
      </c>
      <c r="O102" s="177">
        <v>0</v>
      </c>
      <c r="P102" s="178">
        <v>25</v>
      </c>
      <c r="Q102" s="179">
        <v>0</v>
      </c>
      <c r="R102" s="180">
        <v>25</v>
      </c>
    </row>
    <row r="103" spans="1:18" ht="17">
      <c r="A103" s="60" t="str">
        <f>IFERROR(VLOOKUP(Data_Base[[#This Row],[Distributor Name]],Target[SS 2],1,FALSE),"Delete")</f>
        <v>NIDHI SALES</v>
      </c>
      <c r="B103" s="60">
        <f ca="1">IFERROR(VLOOKUP(Data_Base[[#This Row],[Item Sub Category]],Table2[[Sub Category]:[Billing Group]],3,0),99)</f>
        <v>99</v>
      </c>
      <c r="C103" s="167" t="str">
        <f>VLOOKUP(Data_Base[[#This Row],[Item Description]],Table2[[Item Name]:[Sub Category]],6,0)</f>
        <v>Big Gold - 10</v>
      </c>
      <c r="D103" s="60" t="s">
        <v>893</v>
      </c>
      <c r="E103" s="60" t="s">
        <v>82</v>
      </c>
      <c r="F103" s="168" t="s">
        <v>1727</v>
      </c>
      <c r="G103" s="169" t="s">
        <v>1728</v>
      </c>
      <c r="H103" s="170" t="s">
        <v>1729</v>
      </c>
      <c r="I103" s="171" t="s">
        <v>980</v>
      </c>
      <c r="J103" s="172" t="s">
        <v>128</v>
      </c>
      <c r="K103" s="173" t="s">
        <v>129</v>
      </c>
      <c r="L103" s="174" t="s">
        <v>0</v>
      </c>
      <c r="M103" s="175" t="s">
        <v>130</v>
      </c>
      <c r="N103" s="176">
        <v>13.1008</v>
      </c>
      <c r="O103" s="177">
        <v>0</v>
      </c>
      <c r="P103" s="178">
        <v>13.1008</v>
      </c>
      <c r="Q103" s="179">
        <v>0</v>
      </c>
      <c r="R103" s="180">
        <v>13.1008</v>
      </c>
    </row>
    <row r="104" spans="1:18" ht="17">
      <c r="A104" s="60" t="str">
        <f>IFERROR(VLOOKUP(Data_Base[[#This Row],[Distributor Name]],Target[SS 2],1,FALSE),"Delete")</f>
        <v>NIDHI SALES</v>
      </c>
      <c r="B104" s="60">
        <f ca="1">IFERROR(VLOOKUP(Data_Base[[#This Row],[Item Sub Category]],Table2[[Sub Category]:[Billing Group]],3,0),99)</f>
        <v>51</v>
      </c>
      <c r="C104" s="167" t="str">
        <f>VLOOKUP(Data_Base[[#This Row],[Item Description]],Table2[[Item Name]:[Sub Category]],6,0)</f>
        <v>C.N.C. - 10</v>
      </c>
      <c r="D104" s="60" t="s">
        <v>893</v>
      </c>
      <c r="E104" s="60" t="s">
        <v>82</v>
      </c>
      <c r="F104" s="168" t="s">
        <v>1727</v>
      </c>
      <c r="G104" s="169" t="s">
        <v>1728</v>
      </c>
      <c r="H104" s="170" t="s">
        <v>1729</v>
      </c>
      <c r="I104" s="171" t="s">
        <v>980</v>
      </c>
      <c r="J104" s="172" t="s">
        <v>383</v>
      </c>
      <c r="K104" s="173" t="s">
        <v>384</v>
      </c>
      <c r="L104" s="174" t="s">
        <v>0</v>
      </c>
      <c r="M104" s="175" t="s">
        <v>193</v>
      </c>
      <c r="N104" s="176">
        <v>3.8792</v>
      </c>
      <c r="O104" s="177">
        <v>0</v>
      </c>
      <c r="P104" s="178">
        <v>3.8792</v>
      </c>
      <c r="Q104" s="179">
        <v>0</v>
      </c>
      <c r="R104" s="180">
        <v>3.8792</v>
      </c>
    </row>
    <row r="105" spans="1:18" ht="17">
      <c r="A105" s="60" t="str">
        <f>IFERROR(VLOOKUP(Data_Base[[#This Row],[Distributor Name]],Target[SS 2],1,FALSE),"Delete")</f>
        <v>NIDHI SALES</v>
      </c>
      <c r="B105" s="60">
        <f ca="1">IFERROR(VLOOKUP(Data_Base[[#This Row],[Item Sub Category]],Table2[[Sub Category]:[Billing Group]],3,0),99)</f>
        <v>61</v>
      </c>
      <c r="C105" s="167" t="str">
        <f>VLOOKUP(Data_Base[[#This Row],[Item Description]],Table2[[Item Name]:[Sub Category]],6,0)</f>
        <v>Cheese/ Top Cracker - 5</v>
      </c>
      <c r="D105" s="60" t="s">
        <v>893</v>
      </c>
      <c r="E105" s="60" t="s">
        <v>82</v>
      </c>
      <c r="F105" s="168" t="s">
        <v>1727</v>
      </c>
      <c r="G105" s="169" t="s">
        <v>1728</v>
      </c>
      <c r="H105" s="170" t="s">
        <v>1729</v>
      </c>
      <c r="I105" s="171" t="s">
        <v>980</v>
      </c>
      <c r="J105" s="172" t="s">
        <v>285</v>
      </c>
      <c r="K105" s="173" t="s">
        <v>286</v>
      </c>
      <c r="L105" s="174" t="s">
        <v>0</v>
      </c>
      <c r="M105" s="175" t="s">
        <v>199</v>
      </c>
      <c r="N105" s="176">
        <v>461.4341</v>
      </c>
      <c r="O105" s="177">
        <v>0</v>
      </c>
      <c r="P105" s="178">
        <v>461.4341</v>
      </c>
      <c r="Q105" s="179">
        <v>60</v>
      </c>
      <c r="R105" s="180">
        <v>401.4341</v>
      </c>
    </row>
    <row r="106" spans="1:18" ht="17">
      <c r="A106" s="60" t="str">
        <f>IFERROR(VLOOKUP(Data_Base[[#This Row],[Distributor Name]],Target[SS 2],1,FALSE),"Delete")</f>
        <v>NIDHI SALES</v>
      </c>
      <c r="B106" s="60">
        <f ca="1">IFERROR(VLOOKUP(Data_Base[[#This Row],[Item Sub Category]],Table2[[Sub Category]:[Billing Group]],3,0),99)</f>
        <v>63</v>
      </c>
      <c r="C106" s="167" t="str">
        <f>VLOOKUP(Data_Base[[#This Row],[Item Description]],Table2[[Item Name]:[Sub Category]],6,0)</f>
        <v>Cheese/ Top Cracker - 20</v>
      </c>
      <c r="D106" s="60" t="s">
        <v>893</v>
      </c>
      <c r="E106" s="60" t="s">
        <v>82</v>
      </c>
      <c r="F106" s="168" t="s">
        <v>1727</v>
      </c>
      <c r="G106" s="169" t="s">
        <v>1728</v>
      </c>
      <c r="H106" s="170" t="s">
        <v>1729</v>
      </c>
      <c r="I106" s="171" t="s">
        <v>980</v>
      </c>
      <c r="J106" s="172" t="s">
        <v>287</v>
      </c>
      <c r="K106" s="173" t="s">
        <v>288</v>
      </c>
      <c r="L106" s="174" t="s">
        <v>0</v>
      </c>
      <c r="M106" s="175" t="s">
        <v>214</v>
      </c>
      <c r="N106" s="176">
        <v>-0.1</v>
      </c>
      <c r="O106" s="177">
        <v>0</v>
      </c>
      <c r="P106" s="178">
        <v>-0.1</v>
      </c>
      <c r="Q106" s="179">
        <v>0</v>
      </c>
      <c r="R106" s="180">
        <v>-0.1</v>
      </c>
    </row>
    <row r="107" spans="1:18" ht="17">
      <c r="A107" s="60" t="str">
        <f>IFERROR(VLOOKUP(Data_Base[[#This Row],[Distributor Name]],Target[SS 2],1,FALSE),"Delete")</f>
        <v>NIDHI SALES</v>
      </c>
      <c r="B107" s="60">
        <f ca="1">IFERROR(VLOOKUP(Data_Base[[#This Row],[Item Sub Category]],Table2[[Sub Category]:[Billing Group]],3,0),99)</f>
        <v>110</v>
      </c>
      <c r="C107" s="167" t="str">
        <f>VLOOKUP(Data_Base[[#This Row],[Item Description]],Table2[[Item Name]:[Sub Category]],6,0)</f>
        <v>Treat-160 ML</v>
      </c>
      <c r="D107" s="60" t="s">
        <v>893</v>
      </c>
      <c r="E107" s="60" t="s">
        <v>82</v>
      </c>
      <c r="F107" s="168" t="s">
        <v>1727</v>
      </c>
      <c r="G107" s="169" t="s">
        <v>1728</v>
      </c>
      <c r="H107" s="170" t="s">
        <v>1729</v>
      </c>
      <c r="I107" s="171" t="s">
        <v>980</v>
      </c>
      <c r="J107" s="172" t="s">
        <v>599</v>
      </c>
      <c r="K107" s="173" t="s">
        <v>600</v>
      </c>
      <c r="L107" s="174" t="s">
        <v>16</v>
      </c>
      <c r="M107" s="175" t="s">
        <v>324</v>
      </c>
      <c r="N107" s="176">
        <v>1474.8094000000001</v>
      </c>
      <c r="O107" s="177">
        <v>0</v>
      </c>
      <c r="P107" s="178">
        <v>1474.8094000000001</v>
      </c>
      <c r="Q107" s="179">
        <v>850</v>
      </c>
      <c r="R107" s="180">
        <v>624.80939999999998</v>
      </c>
    </row>
    <row r="108" spans="1:18" ht="17">
      <c r="A108" s="60" t="str">
        <f>IFERROR(VLOOKUP(Data_Base[[#This Row],[Distributor Name]],Target[SS 2],1,FALSE),"Delete")</f>
        <v>NIDHI SALES</v>
      </c>
      <c r="B108" s="60">
        <f ca="1">IFERROR(VLOOKUP(Data_Base[[#This Row],[Item Sub Category]],Table2[[Sub Category]:[Billing Group]],3,0),99)</f>
        <v>129</v>
      </c>
      <c r="C108" s="167" t="str">
        <f>VLOOKUP(Data_Base[[#This Row],[Item Description]],Table2[[Item Name]:[Sub Category]],6,0)</f>
        <v>Snakker- 2/-</v>
      </c>
      <c r="D108" s="60" t="s">
        <v>893</v>
      </c>
      <c r="E108" s="60" t="s">
        <v>82</v>
      </c>
      <c r="F108" s="168" t="s">
        <v>1727</v>
      </c>
      <c r="G108" s="169" t="s">
        <v>1728</v>
      </c>
      <c r="H108" s="170" t="s">
        <v>1729</v>
      </c>
      <c r="I108" s="171" t="s">
        <v>980</v>
      </c>
      <c r="J108" s="172" t="s">
        <v>235</v>
      </c>
      <c r="K108" s="173" t="s">
        <v>236</v>
      </c>
      <c r="L108" s="174" t="s">
        <v>16</v>
      </c>
      <c r="M108" s="175" t="s">
        <v>237</v>
      </c>
      <c r="N108" s="176">
        <v>2757</v>
      </c>
      <c r="O108" s="177">
        <v>0</v>
      </c>
      <c r="P108" s="178">
        <v>2757</v>
      </c>
      <c r="Q108" s="179">
        <v>0</v>
      </c>
      <c r="R108" s="180">
        <v>2757</v>
      </c>
    </row>
    <row r="109" spans="1:18" ht="17">
      <c r="A109" s="60" t="str">
        <f>IFERROR(VLOOKUP(Data_Base[[#This Row],[Distributor Name]],Target[SS 2],1,FALSE),"Delete")</f>
        <v>NIDHI SALES</v>
      </c>
      <c r="B109" s="60">
        <f ca="1">IFERROR(VLOOKUP(Data_Base[[#This Row],[Item Sub Category]],Table2[[Sub Category]:[Billing Group]],3,0),99)</f>
        <v>131</v>
      </c>
      <c r="C109" s="167" t="str">
        <f>VLOOKUP(Data_Base[[#This Row],[Item Description]],Table2[[Item Name]:[Sub Category]],6,0)</f>
        <v>HUNK - 5</v>
      </c>
      <c r="D109" s="60" t="s">
        <v>893</v>
      </c>
      <c r="E109" s="60" t="s">
        <v>82</v>
      </c>
      <c r="F109" s="168" t="s">
        <v>1727</v>
      </c>
      <c r="G109" s="169" t="s">
        <v>1728</v>
      </c>
      <c r="H109" s="170" t="s">
        <v>1729</v>
      </c>
      <c r="I109" s="171" t="s">
        <v>980</v>
      </c>
      <c r="J109" s="172" t="s">
        <v>131</v>
      </c>
      <c r="K109" s="173" t="s">
        <v>132</v>
      </c>
      <c r="L109" s="174" t="s">
        <v>16</v>
      </c>
      <c r="M109" s="175" t="s">
        <v>133</v>
      </c>
      <c r="N109" s="176">
        <v>47</v>
      </c>
      <c r="O109" s="177">
        <v>0</v>
      </c>
      <c r="P109" s="178">
        <v>47</v>
      </c>
      <c r="Q109" s="179">
        <v>0</v>
      </c>
      <c r="R109" s="180">
        <v>47</v>
      </c>
    </row>
    <row r="110" spans="1:18" ht="17">
      <c r="A110" s="60" t="str">
        <f>IFERROR(VLOOKUP(Data_Base[[#This Row],[Distributor Name]],Target[SS 2],1,FALSE),"Delete")</f>
        <v>NIDHI SALES</v>
      </c>
      <c r="B110" s="60">
        <f ca="1">IFERROR(VLOOKUP(Data_Base[[#This Row],[Item Sub Category]],Table2[[Sub Category]:[Billing Group]],3,0),99)</f>
        <v>127</v>
      </c>
      <c r="C110" s="167" t="str">
        <f>VLOOKUP(Data_Base[[#This Row],[Item Description]],Table2[[Item Name]:[Sub Category]],6,0)</f>
        <v>Chocogold- 5/-</v>
      </c>
      <c r="D110" s="60" t="s">
        <v>893</v>
      </c>
      <c r="E110" s="60" t="s">
        <v>82</v>
      </c>
      <c r="F110" s="168" t="s">
        <v>1727</v>
      </c>
      <c r="G110" s="169" t="s">
        <v>1728</v>
      </c>
      <c r="H110" s="170" t="s">
        <v>1729</v>
      </c>
      <c r="I110" s="171" t="s">
        <v>980</v>
      </c>
      <c r="J110" s="172" t="s">
        <v>238</v>
      </c>
      <c r="K110" s="173" t="s">
        <v>239</v>
      </c>
      <c r="L110" s="174" t="s">
        <v>16</v>
      </c>
      <c r="M110" s="175" t="s">
        <v>240</v>
      </c>
      <c r="N110" s="176">
        <v>121</v>
      </c>
      <c r="O110" s="177">
        <v>0</v>
      </c>
      <c r="P110" s="178">
        <v>121</v>
      </c>
      <c r="Q110" s="179">
        <v>9</v>
      </c>
      <c r="R110" s="180">
        <v>112</v>
      </c>
    </row>
    <row r="111" spans="1:18" ht="17">
      <c r="A111" s="60" t="str">
        <f>IFERROR(VLOOKUP(Data_Base[[#This Row],[Distributor Name]],Target[SS 2],1,FALSE),"Delete")</f>
        <v>NIDHI SALES</v>
      </c>
      <c r="B111" s="60">
        <f ca="1">IFERROR(VLOOKUP(Data_Base[[#This Row],[Item Sub Category]],Table2[[Sub Category]:[Billing Group]],3,0),99)</f>
        <v>128</v>
      </c>
      <c r="C111" s="167" t="str">
        <f>VLOOKUP(Data_Base[[#This Row],[Item Description]],Table2[[Item Name]:[Sub Category]],6,0)</f>
        <v>Chocogold- 10/-</v>
      </c>
      <c r="D111" s="60" t="s">
        <v>893</v>
      </c>
      <c r="E111" s="60" t="s">
        <v>82</v>
      </c>
      <c r="F111" s="168" t="s">
        <v>1727</v>
      </c>
      <c r="G111" s="169" t="s">
        <v>1728</v>
      </c>
      <c r="H111" s="170" t="s">
        <v>1729</v>
      </c>
      <c r="I111" s="171" t="s">
        <v>980</v>
      </c>
      <c r="J111" s="172" t="s">
        <v>241</v>
      </c>
      <c r="K111" s="173" t="s">
        <v>242</v>
      </c>
      <c r="L111" s="174" t="s">
        <v>16</v>
      </c>
      <c r="M111" s="175" t="s">
        <v>243</v>
      </c>
      <c r="N111" s="176">
        <v>29.5</v>
      </c>
      <c r="O111" s="177">
        <v>0</v>
      </c>
      <c r="P111" s="178">
        <v>69.5</v>
      </c>
      <c r="Q111" s="179">
        <v>26</v>
      </c>
      <c r="R111" s="180">
        <v>43.5</v>
      </c>
    </row>
    <row r="112" spans="1:18" ht="17">
      <c r="A112" s="60" t="str">
        <f>IFERROR(VLOOKUP(Data_Base[[#This Row],[Distributor Name]],Target[SS 2],1,FALSE),"Delete")</f>
        <v>NIDHI SALES</v>
      </c>
      <c r="B112" s="60">
        <f ca="1">IFERROR(VLOOKUP(Data_Base[[#This Row],[Item Sub Category]],Table2[[Sub Category]:[Billing Group]],3,0),99)</f>
        <v>136</v>
      </c>
      <c r="C112" s="167" t="str">
        <f>VLOOKUP(Data_Base[[#This Row],[Item Description]],Table2[[Item Name]:[Sub Category]],6,0)</f>
        <v>Partner Choco</v>
      </c>
      <c r="D112" s="60" t="s">
        <v>893</v>
      </c>
      <c r="E112" s="60" t="s">
        <v>82</v>
      </c>
      <c r="F112" s="168" t="s">
        <v>1727</v>
      </c>
      <c r="G112" s="169" t="s">
        <v>1728</v>
      </c>
      <c r="H112" s="170" t="s">
        <v>1729</v>
      </c>
      <c r="I112" s="171" t="s">
        <v>980</v>
      </c>
      <c r="J112" s="172" t="s">
        <v>244</v>
      </c>
      <c r="K112" s="173" t="s">
        <v>245</v>
      </c>
      <c r="L112" s="174" t="s">
        <v>16</v>
      </c>
      <c r="M112" s="175" t="s">
        <v>246</v>
      </c>
      <c r="N112" s="176">
        <v>3</v>
      </c>
      <c r="O112" s="177">
        <v>0</v>
      </c>
      <c r="P112" s="178">
        <v>13</v>
      </c>
      <c r="Q112" s="179">
        <v>2</v>
      </c>
      <c r="R112" s="180">
        <v>11</v>
      </c>
    </row>
    <row r="113" spans="1:18" ht="17">
      <c r="A113" s="60" t="str">
        <f>IFERROR(VLOOKUP(Data_Base[[#This Row],[Distributor Name]],Target[SS 2],1,FALSE),"Delete")</f>
        <v>NIDHI SALES</v>
      </c>
      <c r="B113" s="60">
        <f ca="1">IFERROR(VLOOKUP(Data_Base[[#This Row],[Item Sub Category]],Table2[[Sub Category]:[Billing Group]],3,0),99)</f>
        <v>137</v>
      </c>
      <c r="C113" s="167" t="str">
        <f>VLOOKUP(Data_Base[[#This Row],[Item Description]],Table2[[Item Name]:[Sub Category]],6,0)</f>
        <v>Partner Orange</v>
      </c>
      <c r="D113" s="60" t="s">
        <v>893</v>
      </c>
      <c r="E113" s="60" t="s">
        <v>82</v>
      </c>
      <c r="F113" s="168" t="s">
        <v>1727</v>
      </c>
      <c r="G113" s="169" t="s">
        <v>1728</v>
      </c>
      <c r="H113" s="170" t="s">
        <v>1729</v>
      </c>
      <c r="I113" s="171" t="s">
        <v>980</v>
      </c>
      <c r="J113" s="172" t="s">
        <v>247</v>
      </c>
      <c r="K113" s="173" t="s">
        <v>248</v>
      </c>
      <c r="L113" s="174" t="s">
        <v>16</v>
      </c>
      <c r="M113" s="175" t="s">
        <v>249</v>
      </c>
      <c r="N113" s="176">
        <v>21</v>
      </c>
      <c r="O113" s="177">
        <v>0</v>
      </c>
      <c r="P113" s="178">
        <v>31</v>
      </c>
      <c r="Q113" s="179">
        <v>3</v>
      </c>
      <c r="R113" s="180">
        <v>28</v>
      </c>
    </row>
    <row r="114" spans="1:18" ht="17">
      <c r="A114" s="60" t="str">
        <f>IFERROR(VLOOKUP(Data_Base[[#This Row],[Distributor Name]],Target[SS 2],1,FALSE),"Delete")</f>
        <v>NIDHI SALES</v>
      </c>
      <c r="B114" s="60">
        <f ca="1">IFERROR(VLOOKUP(Data_Base[[#This Row],[Item Sub Category]],Table2[[Sub Category]:[Billing Group]],3,0),99)</f>
        <v>138</v>
      </c>
      <c r="C114" s="167" t="str">
        <f>VLOOKUP(Data_Base[[#This Row],[Item Description]],Table2[[Item Name]:[Sub Category]],6,0)</f>
        <v>Partner Straw.</v>
      </c>
      <c r="D114" s="60" t="s">
        <v>893</v>
      </c>
      <c r="E114" s="60" t="s">
        <v>82</v>
      </c>
      <c r="F114" s="168" t="s">
        <v>1727</v>
      </c>
      <c r="G114" s="169" t="s">
        <v>1728</v>
      </c>
      <c r="H114" s="170" t="s">
        <v>1729</v>
      </c>
      <c r="I114" s="171" t="s">
        <v>980</v>
      </c>
      <c r="J114" s="172" t="s">
        <v>250</v>
      </c>
      <c r="K114" s="173" t="s">
        <v>251</v>
      </c>
      <c r="L114" s="174" t="s">
        <v>16</v>
      </c>
      <c r="M114" s="175" t="s">
        <v>252</v>
      </c>
      <c r="N114" s="176">
        <v>17</v>
      </c>
      <c r="O114" s="177">
        <v>0</v>
      </c>
      <c r="P114" s="178">
        <v>27</v>
      </c>
      <c r="Q114" s="179">
        <v>1</v>
      </c>
      <c r="R114" s="180">
        <v>26</v>
      </c>
    </row>
    <row r="115" spans="1:18" ht="17">
      <c r="A115" s="60" t="str">
        <f>IFERROR(VLOOKUP(Data_Base[[#This Row],[Distributor Name]],Target[SS 2],1,FALSE),"Delete")</f>
        <v>NIDHI SALES</v>
      </c>
      <c r="B115" s="60">
        <f ca="1">IFERROR(VLOOKUP(Data_Base[[#This Row],[Item Sub Category]],Table2[[Sub Category]:[Billing Group]],3,0),99)</f>
        <v>153</v>
      </c>
      <c r="C115" s="167" t="str">
        <f>VLOOKUP(Data_Base[[#This Row],[Item Description]],Table2[[Item Name]:[Sub Category]],6,0)</f>
        <v>Eclair-Pouch  10/-</v>
      </c>
      <c r="D115" s="60" t="s">
        <v>893</v>
      </c>
      <c r="E115" s="60" t="s">
        <v>82</v>
      </c>
      <c r="F115" s="168" t="s">
        <v>1727</v>
      </c>
      <c r="G115" s="169" t="s">
        <v>1728</v>
      </c>
      <c r="H115" s="170" t="s">
        <v>1729</v>
      </c>
      <c r="I115" s="171" t="s">
        <v>980</v>
      </c>
      <c r="J115" s="172" t="s">
        <v>134</v>
      </c>
      <c r="K115" s="173" t="s">
        <v>135</v>
      </c>
      <c r="L115" s="174" t="s">
        <v>16</v>
      </c>
      <c r="M115" s="175" t="s">
        <v>136</v>
      </c>
      <c r="N115" s="176">
        <v>17.0001</v>
      </c>
      <c r="O115" s="177">
        <v>0</v>
      </c>
      <c r="P115" s="178">
        <v>17.0001</v>
      </c>
      <c r="Q115" s="179">
        <v>0</v>
      </c>
      <c r="R115" s="180">
        <v>17.0001</v>
      </c>
    </row>
    <row r="116" spans="1:18" ht="17">
      <c r="A116" s="60" t="str">
        <f>IFERROR(VLOOKUP(Data_Base[[#This Row],[Distributor Name]],Target[SS 2],1,FALSE),"Delete")</f>
        <v>NIDHI SALES</v>
      </c>
      <c r="B116" s="60">
        <f ca="1">IFERROR(VLOOKUP(Data_Base[[#This Row],[Item Sub Category]],Table2[[Sub Category]:[Billing Group]],3,0),99)</f>
        <v>140</v>
      </c>
      <c r="C116" s="167" t="str">
        <f>VLOOKUP(Data_Base[[#This Row],[Item Description]],Table2[[Item Name]:[Sub Category]],6,0)</f>
        <v>Eclair-Pouch  50/-</v>
      </c>
      <c r="D116" s="60" t="s">
        <v>893</v>
      </c>
      <c r="E116" s="60" t="s">
        <v>82</v>
      </c>
      <c r="F116" s="168" t="s">
        <v>1727</v>
      </c>
      <c r="G116" s="169" t="s">
        <v>1728</v>
      </c>
      <c r="H116" s="170" t="s">
        <v>1729</v>
      </c>
      <c r="I116" s="171" t="s">
        <v>980</v>
      </c>
      <c r="J116" s="172" t="s">
        <v>253</v>
      </c>
      <c r="K116" s="173" t="s">
        <v>254</v>
      </c>
      <c r="L116" s="174" t="s">
        <v>16</v>
      </c>
      <c r="M116" s="175" t="s">
        <v>178</v>
      </c>
      <c r="N116" s="176">
        <v>19</v>
      </c>
      <c r="O116" s="177">
        <v>0</v>
      </c>
      <c r="P116" s="178">
        <v>19</v>
      </c>
      <c r="Q116" s="179">
        <v>0</v>
      </c>
      <c r="R116" s="180">
        <v>19</v>
      </c>
    </row>
    <row r="117" spans="1:18" ht="17">
      <c r="A117" s="60" t="str">
        <f>IFERROR(VLOOKUP(Data_Base[[#This Row],[Distributor Name]],Target[SS 2],1,FALSE),"Delete")</f>
        <v>NIDHI SALES</v>
      </c>
      <c r="B117" s="60">
        <f ca="1">IFERROR(VLOOKUP(Data_Base[[#This Row],[Item Sub Category]],Table2[[Sub Category]:[Billing Group]],3,0),99)</f>
        <v>141</v>
      </c>
      <c r="C117" s="167" t="str">
        <f>VLOOKUP(Data_Base[[#This Row],[Item Description]],Table2[[Item Name]:[Sub Category]],6,0)</f>
        <v>clair-Mini Jar</v>
      </c>
      <c r="D117" s="60" t="s">
        <v>893</v>
      </c>
      <c r="E117" s="60" t="s">
        <v>82</v>
      </c>
      <c r="F117" s="168" t="s">
        <v>1727</v>
      </c>
      <c r="G117" s="169" t="s">
        <v>1728</v>
      </c>
      <c r="H117" s="170" t="s">
        <v>1729</v>
      </c>
      <c r="I117" s="171" t="s">
        <v>980</v>
      </c>
      <c r="J117" s="172" t="s">
        <v>255</v>
      </c>
      <c r="K117" s="173" t="s">
        <v>256</v>
      </c>
      <c r="L117" s="174" t="s">
        <v>16</v>
      </c>
      <c r="M117" s="175" t="s">
        <v>257</v>
      </c>
      <c r="N117" s="176">
        <v>11</v>
      </c>
      <c r="O117" s="177">
        <v>0</v>
      </c>
      <c r="P117" s="178">
        <v>11</v>
      </c>
      <c r="Q117" s="179">
        <v>3</v>
      </c>
      <c r="R117" s="180">
        <v>8</v>
      </c>
    </row>
    <row r="118" spans="1:18" ht="17">
      <c r="A118" s="60" t="str">
        <f>IFERROR(VLOOKUP(Data_Base[[#This Row],[Distributor Name]],Target[SS 2],1,FALSE),"Delete")</f>
        <v>NIDHI SALES</v>
      </c>
      <c r="B118" s="60">
        <f ca="1">IFERROR(VLOOKUP(Data_Base[[#This Row],[Item Sub Category]],Table2[[Sub Category]:[Billing Group]],3,0),99)</f>
        <v>143</v>
      </c>
      <c r="C118" s="167" t="str">
        <f>VLOOKUP(Data_Base[[#This Row],[Item Description]],Table2[[Item Name]:[Sub Category]],6,0)</f>
        <v>Shokk Pouch</v>
      </c>
      <c r="D118" s="60" t="s">
        <v>893</v>
      </c>
      <c r="E118" s="60" t="s">
        <v>82</v>
      </c>
      <c r="F118" s="168" t="s">
        <v>1727</v>
      </c>
      <c r="G118" s="169" t="s">
        <v>1728</v>
      </c>
      <c r="H118" s="170" t="s">
        <v>1729</v>
      </c>
      <c r="I118" s="171" t="s">
        <v>980</v>
      </c>
      <c r="J118" s="172" t="s">
        <v>289</v>
      </c>
      <c r="K118" s="173" t="s">
        <v>290</v>
      </c>
      <c r="L118" s="174" t="s">
        <v>16</v>
      </c>
      <c r="M118" s="175" t="s">
        <v>291</v>
      </c>
      <c r="N118" s="176">
        <v>6</v>
      </c>
      <c r="O118" s="177">
        <v>0</v>
      </c>
      <c r="P118" s="178">
        <v>6</v>
      </c>
      <c r="Q118" s="179">
        <v>0</v>
      </c>
      <c r="R118" s="180">
        <v>6</v>
      </c>
    </row>
    <row r="119" spans="1:18" ht="17">
      <c r="A119" s="60" t="str">
        <f>IFERROR(VLOOKUP(Data_Base[[#This Row],[Distributor Name]],Target[SS 2],1,FALSE),"Delete")</f>
        <v>NIDHI SALES</v>
      </c>
      <c r="B119" s="60">
        <f ca="1">IFERROR(VLOOKUP(Data_Base[[#This Row],[Item Sub Category]],Table2[[Sub Category]:[Billing Group]],3,0),99)</f>
        <v>144</v>
      </c>
      <c r="C119" s="167" t="str">
        <f>VLOOKUP(Data_Base[[#This Row],[Item Description]],Table2[[Item Name]:[Sub Category]],6,0)</f>
        <v>Shokk Jar</v>
      </c>
      <c r="D119" s="60" t="s">
        <v>893</v>
      </c>
      <c r="E119" s="60" t="s">
        <v>82</v>
      </c>
      <c r="F119" s="168" t="s">
        <v>1727</v>
      </c>
      <c r="G119" s="169" t="s">
        <v>1728</v>
      </c>
      <c r="H119" s="170" t="s">
        <v>1729</v>
      </c>
      <c r="I119" s="171" t="s">
        <v>980</v>
      </c>
      <c r="J119" s="172" t="s">
        <v>418</v>
      </c>
      <c r="K119" s="173" t="s">
        <v>419</v>
      </c>
      <c r="L119" s="174" t="s">
        <v>16</v>
      </c>
      <c r="M119" s="175" t="s">
        <v>343</v>
      </c>
      <c r="N119" s="176">
        <v>9</v>
      </c>
      <c r="O119" s="177">
        <v>0</v>
      </c>
      <c r="P119" s="178">
        <v>9</v>
      </c>
      <c r="Q119" s="179">
        <v>0</v>
      </c>
      <c r="R119" s="180">
        <v>9</v>
      </c>
    </row>
    <row r="120" spans="1:18" ht="17">
      <c r="A120" s="60" t="str">
        <f>IFERROR(VLOOKUP(Data_Base[[#This Row],[Distributor Name]],Target[SS 2],1,FALSE),"Delete")</f>
        <v>NIDHI SALES</v>
      </c>
      <c r="B120" s="60">
        <f ca="1">IFERROR(VLOOKUP(Data_Base[[#This Row],[Item Sub Category]],Table2[[Sub Category]:[Billing Group]],3,0),99)</f>
        <v>147</v>
      </c>
      <c r="C120" s="167" t="str">
        <f>VLOOKUP(Data_Base[[#This Row],[Item Description]],Table2[[Item Name]:[Sub Category]],6,0)</f>
        <v>TOFFITO Pouch</v>
      </c>
      <c r="D120" s="60" t="s">
        <v>893</v>
      </c>
      <c r="E120" s="60" t="s">
        <v>82</v>
      </c>
      <c r="F120" s="168" t="s">
        <v>1727</v>
      </c>
      <c r="G120" s="169" t="s">
        <v>1728</v>
      </c>
      <c r="H120" s="170" t="s">
        <v>1729</v>
      </c>
      <c r="I120" s="171" t="s">
        <v>980</v>
      </c>
      <c r="J120" s="172" t="s">
        <v>292</v>
      </c>
      <c r="K120" s="173" t="s">
        <v>293</v>
      </c>
      <c r="L120" s="174" t="s">
        <v>16</v>
      </c>
      <c r="M120" s="175" t="s">
        <v>294</v>
      </c>
      <c r="N120" s="176">
        <v>15.0023</v>
      </c>
      <c r="O120" s="177">
        <v>0</v>
      </c>
      <c r="P120" s="178">
        <v>15.0023</v>
      </c>
      <c r="Q120" s="179">
        <v>0</v>
      </c>
      <c r="R120" s="180">
        <v>15.0023</v>
      </c>
    </row>
    <row r="121" spans="1:18" ht="17">
      <c r="A121" s="60" t="str">
        <f>IFERROR(VLOOKUP(Data_Base[[#This Row],[Distributor Name]],Target[SS 2],1,FALSE),"Delete")</f>
        <v>NIDHI SALES</v>
      </c>
      <c r="B121" s="60">
        <f ca="1">IFERROR(VLOOKUP(Data_Base[[#This Row],[Item Sub Category]],Table2[[Sub Category]:[Billing Group]],3,0),99)</f>
        <v>148</v>
      </c>
      <c r="C121" s="167" t="str">
        <f>VLOOKUP(Data_Base[[#This Row],[Item Description]],Table2[[Item Name]:[Sub Category]],6,0)</f>
        <v>TOFFITO Jar</v>
      </c>
      <c r="D121" s="60" t="s">
        <v>893</v>
      </c>
      <c r="E121" s="60" t="s">
        <v>82</v>
      </c>
      <c r="F121" s="168" t="s">
        <v>1727</v>
      </c>
      <c r="G121" s="169" t="s">
        <v>1728</v>
      </c>
      <c r="H121" s="170" t="s">
        <v>1729</v>
      </c>
      <c r="I121" s="171" t="s">
        <v>980</v>
      </c>
      <c r="J121" s="172" t="s">
        <v>473</v>
      </c>
      <c r="K121" s="173" t="s">
        <v>474</v>
      </c>
      <c r="L121" s="174" t="s">
        <v>16</v>
      </c>
      <c r="M121" s="175" t="s">
        <v>472</v>
      </c>
      <c r="N121" s="176">
        <v>1.1667000000000001</v>
      </c>
      <c r="O121" s="177">
        <v>0</v>
      </c>
      <c r="P121" s="178">
        <v>1.1667000000000001</v>
      </c>
      <c r="Q121" s="179">
        <v>0</v>
      </c>
      <c r="R121" s="180">
        <v>1.1667000000000001</v>
      </c>
    </row>
    <row r="122" spans="1:18" ht="17">
      <c r="A122" s="60" t="str">
        <f>IFERROR(VLOOKUP(Data_Base[[#This Row],[Distributor Name]],Target[SS 2],1,FALSE),"Delete")</f>
        <v>NIDHI SALES</v>
      </c>
      <c r="B122" s="60">
        <f ca="1">IFERROR(VLOOKUP(Data_Base[[#This Row],[Item Sub Category]],Table2[[Sub Category]:[Billing Group]],3,0),99)</f>
        <v>59</v>
      </c>
      <c r="C122" s="167" t="str">
        <f>VLOOKUP(Data_Base[[#This Row],[Item Description]],Table2[[Item Name]:[Sub Category]],6,0)</f>
        <v>Butter Delite - 20</v>
      </c>
      <c r="D122" s="60" t="s">
        <v>893</v>
      </c>
      <c r="E122" s="60" t="s">
        <v>82</v>
      </c>
      <c r="F122" s="168" t="s">
        <v>1727</v>
      </c>
      <c r="G122" s="169" t="s">
        <v>1728</v>
      </c>
      <c r="H122" s="170" t="s">
        <v>1729</v>
      </c>
      <c r="I122" s="171" t="s">
        <v>980</v>
      </c>
      <c r="J122" s="172" t="s">
        <v>301</v>
      </c>
      <c r="K122" s="173" t="s">
        <v>302</v>
      </c>
      <c r="L122" s="174" t="s">
        <v>0</v>
      </c>
      <c r="M122" s="175" t="s">
        <v>190</v>
      </c>
      <c r="N122" s="176">
        <v>0.4622</v>
      </c>
      <c r="O122" s="177">
        <v>0</v>
      </c>
      <c r="P122" s="178">
        <v>0.4622</v>
      </c>
      <c r="Q122" s="179">
        <v>0</v>
      </c>
      <c r="R122" s="180">
        <v>0.4622</v>
      </c>
    </row>
    <row r="123" spans="1:18" ht="17">
      <c r="A123" s="60" t="str">
        <f>IFERROR(VLOOKUP(Data_Base[[#This Row],[Distributor Name]],Target[SS 2],1,FALSE),"Delete")</f>
        <v>NIDHI SALES</v>
      </c>
      <c r="B123" s="60">
        <f ca="1">IFERROR(VLOOKUP(Data_Base[[#This Row],[Item Sub Category]],Table2[[Sub Category]:[Billing Group]],3,0),99)</f>
        <v>131</v>
      </c>
      <c r="C123" s="167" t="str">
        <f>VLOOKUP(Data_Base[[#This Row],[Item Description]],Table2[[Item Name]:[Sub Category]],6,0)</f>
        <v>HUNK - 5</v>
      </c>
      <c r="D123" s="60" t="s">
        <v>893</v>
      </c>
      <c r="E123" s="60" t="s">
        <v>82</v>
      </c>
      <c r="F123" s="168" t="s">
        <v>1727</v>
      </c>
      <c r="G123" s="169" t="s">
        <v>1728</v>
      </c>
      <c r="H123" s="170" t="s">
        <v>1729</v>
      </c>
      <c r="I123" s="171" t="s">
        <v>980</v>
      </c>
      <c r="J123" s="172" t="s">
        <v>258</v>
      </c>
      <c r="K123" s="173" t="s">
        <v>259</v>
      </c>
      <c r="L123" s="174" t="s">
        <v>16</v>
      </c>
      <c r="M123" s="175" t="s">
        <v>133</v>
      </c>
      <c r="N123" s="176">
        <v>132.29859999999999</v>
      </c>
      <c r="O123" s="177">
        <v>0</v>
      </c>
      <c r="P123" s="178">
        <v>332.29860000000002</v>
      </c>
      <c r="Q123" s="179">
        <v>75</v>
      </c>
      <c r="R123" s="180">
        <v>257.29860000000002</v>
      </c>
    </row>
    <row r="124" spans="1:18" ht="17">
      <c r="A124" s="60" t="str">
        <f>IFERROR(VLOOKUP(Data_Base[[#This Row],[Distributor Name]],Target[SS 2],1,FALSE),"Delete")</f>
        <v>NIDHI SALES</v>
      </c>
      <c r="B124" s="60">
        <f ca="1">IFERROR(VLOOKUP(Data_Base[[#This Row],[Item Sub Category]],Table2[[Sub Category]:[Billing Group]],3,0),99)</f>
        <v>66</v>
      </c>
      <c r="C124" s="167" t="str">
        <f>VLOOKUP(Data_Base[[#This Row],[Item Description]],Table2[[Item Name]:[Sub Category]],6,0)</f>
        <v>Cheez Bit - 50</v>
      </c>
      <c r="D124" s="60" t="s">
        <v>893</v>
      </c>
      <c r="E124" s="60" t="s">
        <v>82</v>
      </c>
      <c r="F124" s="168" t="s">
        <v>1727</v>
      </c>
      <c r="G124" s="169" t="s">
        <v>1728</v>
      </c>
      <c r="H124" s="170" t="s">
        <v>1729</v>
      </c>
      <c r="I124" s="171" t="s">
        <v>980</v>
      </c>
      <c r="J124" s="172" t="s">
        <v>260</v>
      </c>
      <c r="K124" s="173" t="s">
        <v>261</v>
      </c>
      <c r="L124" s="174" t="s">
        <v>0</v>
      </c>
      <c r="M124" s="175" t="s">
        <v>262</v>
      </c>
      <c r="N124" s="176">
        <v>45</v>
      </c>
      <c r="O124" s="177">
        <v>0</v>
      </c>
      <c r="P124" s="178">
        <v>45</v>
      </c>
      <c r="Q124" s="179">
        <v>0</v>
      </c>
      <c r="R124" s="180">
        <v>45</v>
      </c>
    </row>
    <row r="125" spans="1:18" ht="17">
      <c r="A125" s="60" t="str">
        <f>IFERROR(VLOOKUP(Data_Base[[#This Row],[Distributor Name]],Target[SS 2],1,FALSE),"Delete")</f>
        <v>NIDHI SALES</v>
      </c>
      <c r="B125" s="60">
        <f ca="1">IFERROR(VLOOKUP(Data_Base[[#This Row],[Item Sub Category]],Table2[[Sub Category]:[Billing Group]],3,0),99)</f>
        <v>99</v>
      </c>
      <c r="C125" s="167" t="str">
        <f>VLOOKUP(Data_Base[[#This Row],[Item Description]],Table2[[Item Name]:[Sub Category]],6,0)</f>
        <v>Big Gold - 20</v>
      </c>
      <c r="D125" s="60" t="s">
        <v>893</v>
      </c>
      <c r="E125" s="60" t="s">
        <v>82</v>
      </c>
      <c r="F125" s="168" t="s">
        <v>1727</v>
      </c>
      <c r="G125" s="169" t="s">
        <v>1728</v>
      </c>
      <c r="H125" s="170" t="s">
        <v>1729</v>
      </c>
      <c r="I125" s="171" t="s">
        <v>980</v>
      </c>
      <c r="J125" s="172" t="s">
        <v>331</v>
      </c>
      <c r="K125" s="173" t="s">
        <v>332</v>
      </c>
      <c r="L125" s="174" t="s">
        <v>0</v>
      </c>
      <c r="M125" s="175" t="s">
        <v>234</v>
      </c>
      <c r="N125" s="176">
        <v>-0.1</v>
      </c>
      <c r="O125" s="177">
        <v>0</v>
      </c>
      <c r="P125" s="178">
        <v>-0.1</v>
      </c>
      <c r="Q125" s="179">
        <v>0</v>
      </c>
      <c r="R125" s="180">
        <v>-0.1</v>
      </c>
    </row>
    <row r="126" spans="1:18" ht="17">
      <c r="A126" s="60" t="str">
        <f>IFERROR(VLOOKUP(Data_Base[[#This Row],[Distributor Name]],Target[SS 2],1,FALSE),"Delete")</f>
        <v>NIDHI SALES</v>
      </c>
      <c r="B126" s="60">
        <f ca="1">IFERROR(VLOOKUP(Data_Base[[#This Row],[Item Sub Category]],Table2[[Sub Category]:[Billing Group]],3,0),99)</f>
        <v>25</v>
      </c>
      <c r="C126" s="167" t="str">
        <f>VLOOKUP(Data_Base[[#This Row],[Item Description]],Table2[[Item Name]:[Sub Category]],6,0)</f>
        <v>Bourbon-.20/-</v>
      </c>
      <c r="D126" s="60" t="s">
        <v>893</v>
      </c>
      <c r="E126" s="60" t="s">
        <v>82</v>
      </c>
      <c r="F126" s="168" t="s">
        <v>1727</v>
      </c>
      <c r="G126" s="169" t="s">
        <v>1728</v>
      </c>
      <c r="H126" s="170" t="s">
        <v>1729</v>
      </c>
      <c r="I126" s="171" t="s">
        <v>980</v>
      </c>
      <c r="J126" s="172" t="s">
        <v>580</v>
      </c>
      <c r="K126" s="173" t="s">
        <v>581</v>
      </c>
      <c r="L126" s="174" t="s">
        <v>0</v>
      </c>
      <c r="M126" s="175" t="s">
        <v>142</v>
      </c>
      <c r="N126" s="176">
        <v>-8.8900000000000007E-2</v>
      </c>
      <c r="O126" s="177">
        <v>0</v>
      </c>
      <c r="P126" s="178">
        <v>-8.8900000000000007E-2</v>
      </c>
      <c r="Q126" s="179">
        <v>0</v>
      </c>
      <c r="R126" s="180">
        <v>-8.8900000000000007E-2</v>
      </c>
    </row>
    <row r="127" spans="1:18" ht="17">
      <c r="A127" s="60" t="str">
        <f>IFERROR(VLOOKUP(Data_Base[[#This Row],[Distributor Name]],Target[SS 2],1,FALSE),"Delete")</f>
        <v>NIDHI SALES</v>
      </c>
      <c r="B127" s="60">
        <f ca="1">IFERROR(VLOOKUP(Data_Base[[#This Row],[Item Sub Category]],Table2[[Sub Category]:[Billing Group]],3,0),99)</f>
        <v>25</v>
      </c>
      <c r="C127" s="167" t="str">
        <f>VLOOKUP(Data_Base[[#This Row],[Item Description]],Table2[[Item Name]:[Sub Category]],6,0)</f>
        <v>Bourbon-.20/-</v>
      </c>
      <c r="D127" s="60" t="s">
        <v>893</v>
      </c>
      <c r="E127" s="60" t="s">
        <v>82</v>
      </c>
      <c r="F127" s="168" t="s">
        <v>1727</v>
      </c>
      <c r="G127" s="169" t="s">
        <v>1728</v>
      </c>
      <c r="H127" s="170" t="s">
        <v>1729</v>
      </c>
      <c r="I127" s="171" t="s">
        <v>980</v>
      </c>
      <c r="J127" s="172" t="s">
        <v>140</v>
      </c>
      <c r="K127" s="173" t="s">
        <v>141</v>
      </c>
      <c r="L127" s="174" t="s">
        <v>0</v>
      </c>
      <c r="M127" s="175" t="s">
        <v>142</v>
      </c>
      <c r="N127" s="176">
        <v>0.23330000000000001</v>
      </c>
      <c r="O127" s="177">
        <v>0</v>
      </c>
      <c r="P127" s="178">
        <v>0.23330000000000001</v>
      </c>
      <c r="Q127" s="179">
        <v>0</v>
      </c>
      <c r="R127" s="180">
        <v>0.23330000000000001</v>
      </c>
    </row>
    <row r="128" spans="1:18" ht="17">
      <c r="A128" s="60" t="str">
        <f>IFERROR(VLOOKUP(Data_Base[[#This Row],[Distributor Name]],Target[SS 2],1,FALSE),"Delete")</f>
        <v>NIDHI SALES</v>
      </c>
      <c r="B128" s="60">
        <f ca="1">IFERROR(VLOOKUP(Data_Base[[#This Row],[Item Sub Category]],Table2[[Sub Category]:[Billing Group]],3,0),99)</f>
        <v>6</v>
      </c>
      <c r="C128" s="167" t="str">
        <f>VLOOKUP(Data_Base[[#This Row],[Item Description]],Table2[[Item Name]:[Sub Category]],6,0)</f>
        <v>B.B. Pista</v>
      </c>
      <c r="D128" s="60" t="s">
        <v>893</v>
      </c>
      <c r="E128" s="60" t="s">
        <v>82</v>
      </c>
      <c r="F128" s="168" t="s">
        <v>1727</v>
      </c>
      <c r="G128" s="169" t="s">
        <v>1728</v>
      </c>
      <c r="H128" s="170" t="s">
        <v>1729</v>
      </c>
      <c r="I128" s="171" t="s">
        <v>980</v>
      </c>
      <c r="J128" s="172" t="s">
        <v>263</v>
      </c>
      <c r="K128" s="173" t="s">
        <v>264</v>
      </c>
      <c r="L128" s="174" t="s">
        <v>0</v>
      </c>
      <c r="M128" s="175" t="s">
        <v>10</v>
      </c>
      <c r="N128" s="176">
        <v>2</v>
      </c>
      <c r="O128" s="177">
        <v>0</v>
      </c>
      <c r="P128" s="178">
        <v>2</v>
      </c>
      <c r="Q128" s="179">
        <v>0</v>
      </c>
      <c r="R128" s="180">
        <v>2</v>
      </c>
    </row>
    <row r="129" spans="1:18" ht="17">
      <c r="A129" s="60" t="str">
        <f>IFERROR(VLOOKUP(Data_Base[[#This Row],[Distributor Name]],Target[SS 2],1,FALSE),"Delete")</f>
        <v>NIDHI SALES</v>
      </c>
      <c r="B129" s="60">
        <f ca="1">IFERROR(VLOOKUP(Data_Base[[#This Row],[Item Sub Category]],Table2[[Sub Category]:[Billing Group]],3,0),99)</f>
        <v>99</v>
      </c>
      <c r="C129" s="167" t="str">
        <f>VLOOKUP(Data_Base[[#This Row],[Item Description]],Table2[[Item Name]:[Sub Category]],6,0)</f>
        <v>CSD</v>
      </c>
      <c r="D129" s="60" t="s">
        <v>893</v>
      </c>
      <c r="E129" s="60" t="s">
        <v>82</v>
      </c>
      <c r="F129" s="168" t="s">
        <v>1727</v>
      </c>
      <c r="G129" s="169" t="s">
        <v>1728</v>
      </c>
      <c r="H129" s="170" t="s">
        <v>1729</v>
      </c>
      <c r="I129" s="171" t="s">
        <v>980</v>
      </c>
      <c r="J129" s="172" t="s">
        <v>873</v>
      </c>
      <c r="K129" s="173" t="s">
        <v>874</v>
      </c>
      <c r="L129" s="174" t="s">
        <v>978</v>
      </c>
      <c r="M129" s="175" t="s">
        <v>584</v>
      </c>
      <c r="N129" s="176">
        <v>-11.875</v>
      </c>
      <c r="O129" s="177">
        <v>0</v>
      </c>
      <c r="P129" s="178">
        <v>-11.875</v>
      </c>
      <c r="Q129" s="179">
        <v>0</v>
      </c>
      <c r="R129" s="180">
        <v>-11.875</v>
      </c>
    </row>
    <row r="130" spans="1:18" ht="17">
      <c r="A130" s="60" t="str">
        <f>IFERROR(VLOOKUP(Data_Base[[#This Row],[Distributor Name]],Target[SS 2],1,FALSE),"Delete")</f>
        <v>NIDHI SALES</v>
      </c>
      <c r="B130" s="60">
        <f ca="1">IFERROR(VLOOKUP(Data_Base[[#This Row],[Item Sub Category]],Table2[[Sub Category]:[Billing Group]],3,0),99)</f>
        <v>9</v>
      </c>
      <c r="C130" s="167" t="str">
        <f>VLOOKUP(Data_Base[[#This Row],[Item Description]],Table2[[Item Name]:[Sub Category]],6,0)</f>
        <v>B.B Cashew -45</v>
      </c>
      <c r="D130" s="60" t="s">
        <v>893</v>
      </c>
      <c r="E130" s="60" t="s">
        <v>82</v>
      </c>
      <c r="F130" s="168" t="s">
        <v>1727</v>
      </c>
      <c r="G130" s="169" t="s">
        <v>1728</v>
      </c>
      <c r="H130" s="170" t="s">
        <v>1729</v>
      </c>
      <c r="I130" s="171" t="s">
        <v>980</v>
      </c>
      <c r="J130" s="172" t="s">
        <v>265</v>
      </c>
      <c r="K130" s="173" t="s">
        <v>266</v>
      </c>
      <c r="L130" s="174" t="s">
        <v>0</v>
      </c>
      <c r="M130" s="175" t="s">
        <v>267</v>
      </c>
      <c r="N130" s="176">
        <v>0.45829999999999999</v>
      </c>
      <c r="O130" s="177">
        <v>0</v>
      </c>
      <c r="P130" s="178">
        <v>0.45829999999999999</v>
      </c>
      <c r="Q130" s="179">
        <v>0</v>
      </c>
      <c r="R130" s="180">
        <v>0.45829999999999999</v>
      </c>
    </row>
    <row r="131" spans="1:18" ht="17">
      <c r="A131" s="60" t="str">
        <f>IFERROR(VLOOKUP(Data_Base[[#This Row],[Distributor Name]],Target[SS 2],1,FALSE),"Delete")</f>
        <v>NIDHI SALES</v>
      </c>
      <c r="B131" s="60">
        <f ca="1">IFERROR(VLOOKUP(Data_Base[[#This Row],[Item Sub Category]],Table2[[Sub Category]:[Billing Group]],3,0),99)</f>
        <v>7</v>
      </c>
      <c r="C131" s="167" t="str">
        <f>VLOOKUP(Data_Base[[#This Row],[Item Description]],Table2[[Item Name]:[Sub Category]],6,0)</f>
        <v>B.B Cashew -10</v>
      </c>
      <c r="D131" s="60" t="s">
        <v>893</v>
      </c>
      <c r="E131" s="60" t="s">
        <v>82</v>
      </c>
      <c r="F131" s="168" t="s">
        <v>1727</v>
      </c>
      <c r="G131" s="169" t="s">
        <v>1728</v>
      </c>
      <c r="H131" s="170" t="s">
        <v>1729</v>
      </c>
      <c r="I131" s="171" t="s">
        <v>980</v>
      </c>
      <c r="J131" s="172" t="s">
        <v>389</v>
      </c>
      <c r="K131" s="173" t="s">
        <v>390</v>
      </c>
      <c r="L131" s="174" t="s">
        <v>0</v>
      </c>
      <c r="M131" s="175" t="s">
        <v>97</v>
      </c>
      <c r="N131" s="176">
        <v>15.487500000000001</v>
      </c>
      <c r="O131" s="177">
        <v>0</v>
      </c>
      <c r="P131" s="178">
        <v>15.487500000000001</v>
      </c>
      <c r="Q131" s="179">
        <v>0</v>
      </c>
      <c r="R131" s="180">
        <v>15.487500000000001</v>
      </c>
    </row>
    <row r="132" spans="1:18" ht="17">
      <c r="A132" s="60" t="str">
        <f>IFERROR(VLOOKUP(Data_Base[[#This Row],[Distributor Name]],Target[SS 2],1,FALSE),"Delete")</f>
        <v>NIDHI SALES</v>
      </c>
      <c r="B132" s="60">
        <f ca="1">IFERROR(VLOOKUP(Data_Base[[#This Row],[Item Sub Category]],Table2[[Sub Category]:[Billing Group]],3,0),99)</f>
        <v>10</v>
      </c>
      <c r="C132" s="167" t="str">
        <f>VLOOKUP(Data_Base[[#This Row],[Item Description]],Table2[[Item Name]:[Sub Category]],6,0)</f>
        <v>Butter Lite Jeera-.5/-</v>
      </c>
      <c r="D132" s="60" t="s">
        <v>893</v>
      </c>
      <c r="E132" s="60" t="s">
        <v>82</v>
      </c>
      <c r="F132" s="168" t="s">
        <v>1727</v>
      </c>
      <c r="G132" s="169" t="s">
        <v>1728</v>
      </c>
      <c r="H132" s="170" t="s">
        <v>1729</v>
      </c>
      <c r="I132" s="171" t="s">
        <v>980</v>
      </c>
      <c r="J132" s="172" t="s">
        <v>560</v>
      </c>
      <c r="K132" s="173" t="s">
        <v>561</v>
      </c>
      <c r="L132" s="174" t="s">
        <v>0</v>
      </c>
      <c r="M132" s="175" t="s">
        <v>100</v>
      </c>
      <c r="N132" s="176">
        <v>5</v>
      </c>
      <c r="O132" s="177">
        <v>0</v>
      </c>
      <c r="P132" s="178">
        <v>5</v>
      </c>
      <c r="Q132" s="179">
        <v>0</v>
      </c>
      <c r="R132" s="180">
        <v>5</v>
      </c>
    </row>
    <row r="133" spans="1:18" ht="17">
      <c r="A133" s="60" t="str">
        <f>IFERROR(VLOOKUP(Data_Base[[#This Row],[Distributor Name]],Target[SS 2],1,FALSE),"Delete")</f>
        <v>NIDHI SALES</v>
      </c>
      <c r="B133" s="60">
        <f ca="1">IFERROR(VLOOKUP(Data_Base[[#This Row],[Item Sub Category]],Table2[[Sub Category]:[Billing Group]],3,0),99)</f>
        <v>11</v>
      </c>
      <c r="C133" s="167" t="str">
        <f>VLOOKUP(Data_Base[[#This Row],[Item Description]],Table2[[Item Name]:[Sub Category]],6,0)</f>
        <v>Butter Lite Jeera-.10/-</v>
      </c>
      <c r="D133" s="60" t="s">
        <v>893</v>
      </c>
      <c r="E133" s="60" t="s">
        <v>82</v>
      </c>
      <c r="F133" s="168" t="s">
        <v>1727</v>
      </c>
      <c r="G133" s="169" t="s">
        <v>1728</v>
      </c>
      <c r="H133" s="170" t="s">
        <v>1729</v>
      </c>
      <c r="I133" s="171" t="s">
        <v>980</v>
      </c>
      <c r="J133" s="172" t="s">
        <v>746</v>
      </c>
      <c r="K133" s="173" t="s">
        <v>747</v>
      </c>
      <c r="L133" s="174" t="s">
        <v>0</v>
      </c>
      <c r="M133" s="175" t="s">
        <v>103</v>
      </c>
      <c r="N133" s="176">
        <v>9.3799999999999994E-2</v>
      </c>
      <c r="O133" s="177">
        <v>0</v>
      </c>
      <c r="P133" s="178">
        <v>9.3799999999999994E-2</v>
      </c>
      <c r="Q133" s="179">
        <v>0</v>
      </c>
      <c r="R133" s="180">
        <v>9.3799999999999994E-2</v>
      </c>
    </row>
    <row r="134" spans="1:18" ht="17">
      <c r="A134" s="60" t="str">
        <f>IFERROR(VLOOKUP(Data_Base[[#This Row],[Distributor Name]],Target[SS 2],1,FALSE),"Delete")</f>
        <v>NIDHI SALES</v>
      </c>
      <c r="B134" s="60">
        <f ca="1">IFERROR(VLOOKUP(Data_Base[[#This Row],[Item Sub Category]],Table2[[Sub Category]:[Billing Group]],3,0),99)</f>
        <v>28</v>
      </c>
      <c r="C134" s="167" t="str">
        <f>VLOOKUP(Data_Base[[#This Row],[Item Description]],Table2[[Item Name]:[Sub Category]],6,0)</f>
        <v>Classic Cream Choco -.20/-</v>
      </c>
      <c r="D134" s="60" t="s">
        <v>893</v>
      </c>
      <c r="E134" s="60" t="s">
        <v>82</v>
      </c>
      <c r="F134" s="168" t="s">
        <v>1727</v>
      </c>
      <c r="G134" s="169" t="s">
        <v>1728</v>
      </c>
      <c r="H134" s="170" t="s">
        <v>1729</v>
      </c>
      <c r="I134" s="171" t="s">
        <v>980</v>
      </c>
      <c r="J134" s="172" t="s">
        <v>143</v>
      </c>
      <c r="K134" s="173" t="s">
        <v>144</v>
      </c>
      <c r="L134" s="174" t="s">
        <v>0</v>
      </c>
      <c r="M134" s="175" t="s">
        <v>145</v>
      </c>
      <c r="N134" s="176">
        <v>1</v>
      </c>
      <c r="O134" s="177">
        <v>0</v>
      </c>
      <c r="P134" s="178">
        <v>1</v>
      </c>
      <c r="Q134" s="179">
        <v>1</v>
      </c>
      <c r="R134" s="180">
        <v>0</v>
      </c>
    </row>
    <row r="135" spans="1:18" ht="17">
      <c r="A135" s="60" t="str">
        <f>IFERROR(VLOOKUP(Data_Base[[#This Row],[Distributor Name]],Target[SS 2],1,FALSE),"Delete")</f>
        <v>NIDHI SALES</v>
      </c>
      <c r="B135" s="60">
        <f ca="1">IFERROR(VLOOKUP(Data_Base[[#This Row],[Item Sub Category]],Table2[[Sub Category]:[Billing Group]],3,0),99)</f>
        <v>27</v>
      </c>
      <c r="C135" s="167" t="str">
        <f>VLOOKUP(Data_Base[[#This Row],[Item Description]],Table2[[Item Name]:[Sub Category]],6,0)</f>
        <v>Classic Cream Choco -.10/-</v>
      </c>
      <c r="D135" s="60" t="s">
        <v>893</v>
      </c>
      <c r="E135" s="60" t="s">
        <v>82</v>
      </c>
      <c r="F135" s="168" t="s">
        <v>1727</v>
      </c>
      <c r="G135" s="169" t="s">
        <v>1728</v>
      </c>
      <c r="H135" s="170" t="s">
        <v>1729</v>
      </c>
      <c r="I135" s="171" t="s">
        <v>980</v>
      </c>
      <c r="J135" s="172" t="s">
        <v>493</v>
      </c>
      <c r="K135" s="173" t="s">
        <v>494</v>
      </c>
      <c r="L135" s="174" t="s">
        <v>0</v>
      </c>
      <c r="M135" s="175" t="s">
        <v>154</v>
      </c>
      <c r="N135" s="176">
        <v>15</v>
      </c>
      <c r="O135" s="177">
        <v>0</v>
      </c>
      <c r="P135" s="178">
        <v>15</v>
      </c>
      <c r="Q135" s="179">
        <v>13</v>
      </c>
      <c r="R135" s="180">
        <v>2</v>
      </c>
    </row>
    <row r="136" spans="1:18" ht="17">
      <c r="A136" s="60" t="str">
        <f>IFERROR(VLOOKUP(Data_Base[[#This Row],[Distributor Name]],Target[SS 2],1,FALSE),"Delete")</f>
        <v>NIDHI SALES</v>
      </c>
      <c r="B136" s="60">
        <f ca="1">IFERROR(VLOOKUP(Data_Base[[#This Row],[Item Sub Category]],Table2[[Sub Category]:[Billing Group]],3,0),99)</f>
        <v>33</v>
      </c>
      <c r="C136" s="167" t="str">
        <f>VLOOKUP(Data_Base[[#This Row],[Item Description]],Table2[[Item Name]:[Sub Category]],6,0)</f>
        <v>Classic Cream Elaichi -.10/-</v>
      </c>
      <c r="D136" s="60" t="s">
        <v>893</v>
      </c>
      <c r="E136" s="60" t="s">
        <v>82</v>
      </c>
      <c r="F136" s="168" t="s">
        <v>1727</v>
      </c>
      <c r="G136" s="169" t="s">
        <v>1728</v>
      </c>
      <c r="H136" s="170" t="s">
        <v>1729</v>
      </c>
      <c r="I136" s="171" t="s">
        <v>980</v>
      </c>
      <c r="J136" s="172" t="s">
        <v>706</v>
      </c>
      <c r="K136" s="173" t="s">
        <v>707</v>
      </c>
      <c r="L136" s="174" t="s">
        <v>0</v>
      </c>
      <c r="M136" s="175" t="s">
        <v>163</v>
      </c>
      <c r="N136" s="176">
        <v>3</v>
      </c>
      <c r="O136" s="177">
        <v>0</v>
      </c>
      <c r="P136" s="178">
        <v>3</v>
      </c>
      <c r="Q136" s="179">
        <v>0</v>
      </c>
      <c r="R136" s="180">
        <v>3</v>
      </c>
    </row>
    <row r="137" spans="1:18" ht="17">
      <c r="A137" s="60" t="str">
        <f>IFERROR(VLOOKUP(Data_Base[[#This Row],[Distributor Name]],Target[SS 2],1,FALSE),"Delete")</f>
        <v>NIDHI SALES</v>
      </c>
      <c r="B137" s="60">
        <f ca="1">IFERROR(VLOOKUP(Data_Base[[#This Row],[Item Sub Category]],Table2[[Sub Category]:[Billing Group]],3,0),99)</f>
        <v>29</v>
      </c>
      <c r="C137" s="167" t="str">
        <f>VLOOKUP(Data_Base[[#This Row],[Item Description]],Table2[[Item Name]:[Sub Category]],6,0)</f>
        <v>Classic Cream Orange -.5/-</v>
      </c>
      <c r="D137" s="60" t="s">
        <v>893</v>
      </c>
      <c r="E137" s="60" t="s">
        <v>82</v>
      </c>
      <c r="F137" s="168" t="s">
        <v>1727</v>
      </c>
      <c r="G137" s="169" t="s">
        <v>1728</v>
      </c>
      <c r="H137" s="170" t="s">
        <v>1729</v>
      </c>
      <c r="I137" s="171" t="s">
        <v>980</v>
      </c>
      <c r="J137" s="172" t="s">
        <v>603</v>
      </c>
      <c r="K137" s="173" t="s">
        <v>604</v>
      </c>
      <c r="L137" s="174" t="s">
        <v>0</v>
      </c>
      <c r="M137" s="175" t="s">
        <v>169</v>
      </c>
      <c r="N137" s="176">
        <v>94</v>
      </c>
      <c r="O137" s="177">
        <v>0</v>
      </c>
      <c r="P137" s="178">
        <v>94</v>
      </c>
      <c r="Q137" s="179">
        <v>0</v>
      </c>
      <c r="R137" s="180">
        <v>94</v>
      </c>
    </row>
    <row r="138" spans="1:18" ht="17">
      <c r="A138" s="60" t="str">
        <f>IFERROR(VLOOKUP(Data_Base[[#This Row],[Distributor Name]],Target[SS 2],1,FALSE),"Delete")</f>
        <v>NIDHI SALES</v>
      </c>
      <c r="B138" s="60">
        <f ca="1">IFERROR(VLOOKUP(Data_Base[[#This Row],[Item Sub Category]],Table2[[Sub Category]:[Billing Group]],3,0),99)</f>
        <v>30</v>
      </c>
      <c r="C138" s="167" t="str">
        <f>VLOOKUP(Data_Base[[#This Row],[Item Description]],Table2[[Item Name]:[Sub Category]],6,0)</f>
        <v>Classic Cream Orange -.10/-</v>
      </c>
      <c r="D138" s="60" t="s">
        <v>893</v>
      </c>
      <c r="E138" s="60" t="s">
        <v>82</v>
      </c>
      <c r="F138" s="168" t="s">
        <v>1727</v>
      </c>
      <c r="G138" s="169" t="s">
        <v>1728</v>
      </c>
      <c r="H138" s="170" t="s">
        <v>1729</v>
      </c>
      <c r="I138" s="171" t="s">
        <v>980</v>
      </c>
      <c r="J138" s="172" t="s">
        <v>495</v>
      </c>
      <c r="K138" s="173" t="s">
        <v>496</v>
      </c>
      <c r="L138" s="174" t="s">
        <v>0</v>
      </c>
      <c r="M138" s="175" t="s">
        <v>172</v>
      </c>
      <c r="N138" s="176">
        <v>8</v>
      </c>
      <c r="O138" s="177">
        <v>0</v>
      </c>
      <c r="P138" s="178">
        <v>8</v>
      </c>
      <c r="Q138" s="179">
        <v>0</v>
      </c>
      <c r="R138" s="180">
        <v>8</v>
      </c>
    </row>
    <row r="139" spans="1:18" ht="17">
      <c r="A139" s="60" t="str">
        <f>IFERROR(VLOOKUP(Data_Base[[#This Row],[Distributor Name]],Target[SS 2],1,FALSE),"Delete")</f>
        <v>NIDHI SALES</v>
      </c>
      <c r="B139" s="60">
        <f ca="1">IFERROR(VLOOKUP(Data_Base[[#This Row],[Item Sub Category]],Table2[[Sub Category]:[Billing Group]],3,0),99)</f>
        <v>50</v>
      </c>
      <c r="C139" s="167" t="str">
        <f>VLOOKUP(Data_Base[[#This Row],[Item Description]],Table2[[Item Name]:[Sub Category]],6,0)</f>
        <v>C.N.C. - 5</v>
      </c>
      <c r="D139" s="60" t="s">
        <v>893</v>
      </c>
      <c r="E139" s="60" t="s">
        <v>82</v>
      </c>
      <c r="F139" s="168" t="s">
        <v>1727</v>
      </c>
      <c r="G139" s="169" t="s">
        <v>1728</v>
      </c>
      <c r="H139" s="170" t="s">
        <v>1729</v>
      </c>
      <c r="I139" s="171" t="s">
        <v>980</v>
      </c>
      <c r="J139" s="172" t="s">
        <v>146</v>
      </c>
      <c r="K139" s="173" t="s">
        <v>147</v>
      </c>
      <c r="L139" s="174" t="s">
        <v>0</v>
      </c>
      <c r="M139" s="175" t="s">
        <v>148</v>
      </c>
      <c r="N139" s="176">
        <v>284.8279</v>
      </c>
      <c r="O139" s="177">
        <v>0</v>
      </c>
      <c r="P139" s="178">
        <v>884.8279</v>
      </c>
      <c r="Q139" s="179">
        <v>435</v>
      </c>
      <c r="R139" s="180">
        <v>449.8279</v>
      </c>
    </row>
    <row r="140" spans="1:18" ht="17">
      <c r="A140" s="60" t="str">
        <f>IFERROR(VLOOKUP(Data_Base[[#This Row],[Distributor Name]],Target[SS 2],1,FALSE),"Delete")</f>
        <v>NIDHI SALES</v>
      </c>
      <c r="B140" s="60">
        <f>IFERROR(VLOOKUP(Data_Base[[#This Row],[Item Sub Category]],Table2[[Sub Category]:[Billing Group]],3,0),99)</f>
        <v>99</v>
      </c>
      <c r="C140" s="167" t="str">
        <f>VLOOKUP(Data_Base[[#This Row],[Item Description]],Table2[[Item Name]:[Sub Category]],6,0)</f>
        <v>Chatpata Zeera - 50</v>
      </c>
      <c r="D140" s="60" t="s">
        <v>893</v>
      </c>
      <c r="E140" s="60" t="s">
        <v>82</v>
      </c>
      <c r="F140" s="168" t="s">
        <v>1727</v>
      </c>
      <c r="G140" s="169" t="s">
        <v>1728</v>
      </c>
      <c r="H140" s="170" t="s">
        <v>1729</v>
      </c>
      <c r="I140" s="171" t="s">
        <v>980</v>
      </c>
      <c r="J140" s="172" t="s">
        <v>752</v>
      </c>
      <c r="K140" s="173" t="s">
        <v>753</v>
      </c>
      <c r="L140" s="174" t="s">
        <v>0</v>
      </c>
      <c r="M140" s="175" t="s">
        <v>952</v>
      </c>
      <c r="N140" s="176">
        <v>1.0667</v>
      </c>
      <c r="O140" s="177">
        <v>0</v>
      </c>
      <c r="P140" s="178">
        <v>1.0667</v>
      </c>
      <c r="Q140" s="179">
        <v>0</v>
      </c>
      <c r="R140" s="180">
        <v>1.0667</v>
      </c>
    </row>
    <row r="141" spans="1:18" ht="17">
      <c r="A141" s="60" t="str">
        <f>IFERROR(VLOOKUP(Data_Base[[#This Row],[Distributor Name]],Target[SS 2],1,FALSE),"Delete")</f>
        <v>NIDHI SALES</v>
      </c>
      <c r="B141" s="60">
        <f ca="1">IFERROR(VLOOKUP(Data_Base[[#This Row],[Item Sub Category]],Table2[[Sub Category]:[Billing Group]],3,0),99)</f>
        <v>62</v>
      </c>
      <c r="C141" s="167" t="str">
        <f>VLOOKUP(Data_Base[[#This Row],[Item Description]],Table2[[Item Name]:[Sub Category]],6,0)</f>
        <v>Cheese/ Top Cracker - 10</v>
      </c>
      <c r="D141" s="60" t="s">
        <v>893</v>
      </c>
      <c r="E141" s="60" t="s">
        <v>82</v>
      </c>
      <c r="F141" s="168" t="s">
        <v>1727</v>
      </c>
      <c r="G141" s="169" t="s">
        <v>1728</v>
      </c>
      <c r="H141" s="170" t="s">
        <v>1729</v>
      </c>
      <c r="I141" s="171" t="s">
        <v>980</v>
      </c>
      <c r="J141" s="172" t="s">
        <v>545</v>
      </c>
      <c r="K141" s="173" t="s">
        <v>546</v>
      </c>
      <c r="L141" s="174" t="s">
        <v>0</v>
      </c>
      <c r="M141" s="175" t="s">
        <v>202</v>
      </c>
      <c r="N141" s="176">
        <v>459</v>
      </c>
      <c r="O141" s="177">
        <v>0</v>
      </c>
      <c r="P141" s="178">
        <v>459</v>
      </c>
      <c r="Q141" s="179">
        <v>0</v>
      </c>
      <c r="R141" s="180">
        <v>459</v>
      </c>
    </row>
    <row r="142" spans="1:18" ht="17">
      <c r="A142" s="60" t="str">
        <f>IFERROR(VLOOKUP(Data_Base[[#This Row],[Distributor Name]],Target[SS 2],1,FALSE),"Delete")</f>
        <v>NIDHI SALES</v>
      </c>
      <c r="B142" s="60">
        <f ca="1">IFERROR(VLOOKUP(Data_Base[[#This Row],[Item Sub Category]],Table2[[Sub Category]:[Billing Group]],3,0),99)</f>
        <v>14</v>
      </c>
      <c r="C142" s="167" t="str">
        <f>VLOOKUP(Data_Base[[#This Row],[Item Description]],Table2[[Item Name]:[Sub Category]],6,0)</f>
        <v>Chooo Chekkers-.10/-</v>
      </c>
      <c r="D142" s="60" t="s">
        <v>893</v>
      </c>
      <c r="E142" s="60" t="s">
        <v>82</v>
      </c>
      <c r="F142" s="168" t="s">
        <v>1727</v>
      </c>
      <c r="G142" s="169" t="s">
        <v>1728</v>
      </c>
      <c r="H142" s="170" t="s">
        <v>1729</v>
      </c>
      <c r="I142" s="171" t="s">
        <v>980</v>
      </c>
      <c r="J142" s="172" t="s">
        <v>570</v>
      </c>
      <c r="K142" s="173" t="s">
        <v>571</v>
      </c>
      <c r="L142" s="174" t="s">
        <v>0</v>
      </c>
      <c r="M142" s="175" t="s">
        <v>109</v>
      </c>
      <c r="N142" s="176">
        <v>35</v>
      </c>
      <c r="O142" s="177">
        <v>0</v>
      </c>
      <c r="P142" s="178">
        <v>35</v>
      </c>
      <c r="Q142" s="179">
        <v>5</v>
      </c>
      <c r="R142" s="180">
        <v>30</v>
      </c>
    </row>
    <row r="143" spans="1:18" ht="17">
      <c r="A143" s="60" t="str">
        <f>IFERROR(VLOOKUP(Data_Base[[#This Row],[Distributor Name]],Target[SS 2],1,FALSE),"Delete")</f>
        <v>NIDHI SALES</v>
      </c>
      <c r="B143" s="60">
        <f ca="1">IFERROR(VLOOKUP(Data_Base[[#This Row],[Item Sub Category]],Table2[[Sub Category]:[Billing Group]],3,0),99)</f>
        <v>28</v>
      </c>
      <c r="C143" s="167" t="str">
        <f>VLOOKUP(Data_Base[[#This Row],[Item Description]],Table2[[Item Name]:[Sub Category]],6,0)</f>
        <v>Classic Cream Choco -.20/-</v>
      </c>
      <c r="D143" s="60" t="s">
        <v>893</v>
      </c>
      <c r="E143" s="60" t="s">
        <v>82</v>
      </c>
      <c r="F143" s="168" t="s">
        <v>1727</v>
      </c>
      <c r="G143" s="169" t="s">
        <v>1728</v>
      </c>
      <c r="H143" s="170" t="s">
        <v>1729</v>
      </c>
      <c r="I143" s="171" t="s">
        <v>980</v>
      </c>
      <c r="J143" s="172" t="s">
        <v>272</v>
      </c>
      <c r="K143" s="173" t="s">
        <v>273</v>
      </c>
      <c r="L143" s="174" t="s">
        <v>0</v>
      </c>
      <c r="M143" s="175" t="s">
        <v>145</v>
      </c>
      <c r="N143" s="176">
        <v>15.3611</v>
      </c>
      <c r="O143" s="177">
        <v>0</v>
      </c>
      <c r="P143" s="178">
        <v>15.3611</v>
      </c>
      <c r="Q143" s="179">
        <v>0</v>
      </c>
      <c r="R143" s="180">
        <v>15.3611</v>
      </c>
    </row>
    <row r="144" spans="1:18" ht="17">
      <c r="A144" s="60" t="str">
        <f>IFERROR(VLOOKUP(Data_Base[[#This Row],[Distributor Name]],Target[SS 2],1,FALSE),"Delete")</f>
        <v>NIDHI SALES</v>
      </c>
      <c r="B144" s="60">
        <f ca="1">IFERROR(VLOOKUP(Data_Base[[#This Row],[Item Sub Category]],Table2[[Sub Category]:[Billing Group]],3,0),99)</f>
        <v>26</v>
      </c>
      <c r="C144" s="167" t="str">
        <f>VLOOKUP(Data_Base[[#This Row],[Item Description]],Table2[[Item Name]:[Sub Category]],6,0)</f>
        <v>Classic Cream Choco -.5/-</v>
      </c>
      <c r="D144" s="60" t="s">
        <v>893</v>
      </c>
      <c r="E144" s="60" t="s">
        <v>82</v>
      </c>
      <c r="F144" s="168" t="s">
        <v>1727</v>
      </c>
      <c r="G144" s="169" t="s">
        <v>1728</v>
      </c>
      <c r="H144" s="170" t="s">
        <v>1729</v>
      </c>
      <c r="I144" s="171" t="s">
        <v>980</v>
      </c>
      <c r="J144" s="172" t="s">
        <v>149</v>
      </c>
      <c r="K144" s="173" t="s">
        <v>150</v>
      </c>
      <c r="L144" s="174" t="s">
        <v>0</v>
      </c>
      <c r="M144" s="175" t="s">
        <v>151</v>
      </c>
      <c r="N144" s="176">
        <v>270.267</v>
      </c>
      <c r="O144" s="177">
        <v>0</v>
      </c>
      <c r="P144" s="178">
        <v>270.267</v>
      </c>
      <c r="Q144" s="179">
        <v>35</v>
      </c>
      <c r="R144" s="180">
        <v>235.267</v>
      </c>
    </row>
    <row r="145" spans="1:18" ht="17">
      <c r="A145" s="60" t="str">
        <f>IFERROR(VLOOKUP(Data_Base[[#This Row],[Distributor Name]],Target[SS 2],1,FALSE),"Delete")</f>
        <v>NIDHI SALES</v>
      </c>
      <c r="B145" s="60">
        <f ca="1">IFERROR(VLOOKUP(Data_Base[[#This Row],[Item Sub Category]],Table2[[Sub Category]:[Billing Group]],3,0),99)</f>
        <v>27</v>
      </c>
      <c r="C145" s="167" t="str">
        <f>VLOOKUP(Data_Base[[#This Row],[Item Description]],Table2[[Item Name]:[Sub Category]],6,0)</f>
        <v>Classic Cream Choco -.10/-</v>
      </c>
      <c r="D145" s="60" t="s">
        <v>893</v>
      </c>
      <c r="E145" s="60" t="s">
        <v>82</v>
      </c>
      <c r="F145" s="168" t="s">
        <v>1727</v>
      </c>
      <c r="G145" s="169" t="s">
        <v>1728</v>
      </c>
      <c r="H145" s="170" t="s">
        <v>1729</v>
      </c>
      <c r="I145" s="171" t="s">
        <v>980</v>
      </c>
      <c r="J145" s="172" t="s">
        <v>152</v>
      </c>
      <c r="K145" s="173" t="s">
        <v>153</v>
      </c>
      <c r="L145" s="174" t="s">
        <v>0</v>
      </c>
      <c r="M145" s="175" t="s">
        <v>154</v>
      </c>
      <c r="N145" s="176">
        <v>104.5908</v>
      </c>
      <c r="O145" s="177">
        <v>0</v>
      </c>
      <c r="P145" s="178">
        <v>104.5908</v>
      </c>
      <c r="Q145" s="179">
        <v>0</v>
      </c>
      <c r="R145" s="180">
        <v>104.5908</v>
      </c>
    </row>
    <row r="146" spans="1:18" ht="17">
      <c r="A146" s="60" t="str">
        <f>IFERROR(VLOOKUP(Data_Base[[#This Row],[Distributor Name]],Target[SS 2],1,FALSE),"Delete")</f>
        <v>NIDHI SALES</v>
      </c>
      <c r="B146" s="60">
        <f ca="1">IFERROR(VLOOKUP(Data_Base[[#This Row],[Item Sub Category]],Table2[[Sub Category]:[Billing Group]],3,0),99)</f>
        <v>34</v>
      </c>
      <c r="C146" s="167" t="str">
        <f>VLOOKUP(Data_Base[[#This Row],[Item Description]],Table2[[Item Name]:[Sub Category]],6,0)</f>
        <v>Classic Cream Elaichi -.20/-</v>
      </c>
      <c r="D146" s="60" t="s">
        <v>893</v>
      </c>
      <c r="E146" s="60" t="s">
        <v>82</v>
      </c>
      <c r="F146" s="168" t="s">
        <v>1727</v>
      </c>
      <c r="G146" s="169" t="s">
        <v>1728</v>
      </c>
      <c r="H146" s="170" t="s">
        <v>1729</v>
      </c>
      <c r="I146" s="171" t="s">
        <v>980</v>
      </c>
      <c r="J146" s="172" t="s">
        <v>155</v>
      </c>
      <c r="K146" s="173" t="s">
        <v>156</v>
      </c>
      <c r="L146" s="174" t="s">
        <v>0</v>
      </c>
      <c r="M146" s="175" t="s">
        <v>157</v>
      </c>
      <c r="N146" s="176">
        <v>15.646699999999999</v>
      </c>
      <c r="O146" s="177">
        <v>0</v>
      </c>
      <c r="P146" s="178">
        <v>15.646699999999999</v>
      </c>
      <c r="Q146" s="179">
        <v>0</v>
      </c>
      <c r="R146" s="180">
        <v>15.646699999999999</v>
      </c>
    </row>
    <row r="147" spans="1:18" ht="17">
      <c r="A147" s="60" t="str">
        <f>IFERROR(VLOOKUP(Data_Base[[#This Row],[Distributor Name]],Target[SS 2],1,FALSE),"Delete")</f>
        <v>NIDHI SALES</v>
      </c>
      <c r="B147" s="60">
        <f ca="1">IFERROR(VLOOKUP(Data_Base[[#This Row],[Item Sub Category]],Table2[[Sub Category]:[Billing Group]],3,0),99)</f>
        <v>32</v>
      </c>
      <c r="C147" s="167" t="str">
        <f>VLOOKUP(Data_Base[[#This Row],[Item Description]],Table2[[Item Name]:[Sub Category]],6,0)</f>
        <v>Classic Cream Elaichi -.5/-</v>
      </c>
      <c r="D147" s="60" t="s">
        <v>893</v>
      </c>
      <c r="E147" s="60" t="s">
        <v>82</v>
      </c>
      <c r="F147" s="168" t="s">
        <v>1727</v>
      </c>
      <c r="G147" s="169" t="s">
        <v>1728</v>
      </c>
      <c r="H147" s="170" t="s">
        <v>1729</v>
      </c>
      <c r="I147" s="171" t="s">
        <v>980</v>
      </c>
      <c r="J147" s="172" t="s">
        <v>158</v>
      </c>
      <c r="K147" s="173" t="s">
        <v>159</v>
      </c>
      <c r="L147" s="174" t="s">
        <v>0</v>
      </c>
      <c r="M147" s="175" t="s">
        <v>160</v>
      </c>
      <c r="N147" s="176">
        <v>232</v>
      </c>
      <c r="O147" s="177">
        <v>0</v>
      </c>
      <c r="P147" s="178">
        <v>232</v>
      </c>
      <c r="Q147" s="179">
        <v>20</v>
      </c>
      <c r="R147" s="180">
        <v>212</v>
      </c>
    </row>
    <row r="148" spans="1:18" ht="17">
      <c r="A148" s="60" t="str">
        <f>IFERROR(VLOOKUP(Data_Base[[#This Row],[Distributor Name]],Target[SS 2],1,FALSE),"Delete")</f>
        <v>NIDHI SALES</v>
      </c>
      <c r="B148" s="60">
        <f ca="1">IFERROR(VLOOKUP(Data_Base[[#This Row],[Item Sub Category]],Table2[[Sub Category]:[Billing Group]],3,0),99)</f>
        <v>33</v>
      </c>
      <c r="C148" s="167" t="str">
        <f>VLOOKUP(Data_Base[[#This Row],[Item Description]],Table2[[Item Name]:[Sub Category]],6,0)</f>
        <v>Classic Cream Elaichi -.10/-</v>
      </c>
      <c r="D148" s="60" t="s">
        <v>893</v>
      </c>
      <c r="E148" s="60" t="s">
        <v>82</v>
      </c>
      <c r="F148" s="168" t="s">
        <v>1727</v>
      </c>
      <c r="G148" s="169" t="s">
        <v>1728</v>
      </c>
      <c r="H148" s="170" t="s">
        <v>1729</v>
      </c>
      <c r="I148" s="171" t="s">
        <v>980</v>
      </c>
      <c r="J148" s="172" t="s">
        <v>161</v>
      </c>
      <c r="K148" s="173" t="s">
        <v>162</v>
      </c>
      <c r="L148" s="174" t="s">
        <v>0</v>
      </c>
      <c r="M148" s="175" t="s">
        <v>163</v>
      </c>
      <c r="N148" s="176">
        <v>174</v>
      </c>
      <c r="O148" s="177">
        <v>0</v>
      </c>
      <c r="P148" s="178">
        <v>174</v>
      </c>
      <c r="Q148" s="179">
        <v>0</v>
      </c>
      <c r="R148" s="180">
        <v>174</v>
      </c>
    </row>
    <row r="149" spans="1:18" ht="17">
      <c r="A149" s="60" t="str">
        <f>IFERROR(VLOOKUP(Data_Base[[#This Row],[Distributor Name]],Target[SS 2],1,FALSE),"Delete")</f>
        <v>NIDHI SALES</v>
      </c>
      <c r="B149" s="60">
        <f ca="1">IFERROR(VLOOKUP(Data_Base[[#This Row],[Item Sub Category]],Table2[[Sub Category]:[Billing Group]],3,0),99)</f>
        <v>31</v>
      </c>
      <c r="C149" s="167" t="str">
        <f>VLOOKUP(Data_Base[[#This Row],[Item Description]],Table2[[Item Name]:[Sub Category]],6,0)</f>
        <v>Classic Cream Orange -.20/-</v>
      </c>
      <c r="D149" s="60" t="s">
        <v>893</v>
      </c>
      <c r="E149" s="60" t="s">
        <v>82</v>
      </c>
      <c r="F149" s="168" t="s">
        <v>1727</v>
      </c>
      <c r="G149" s="169" t="s">
        <v>1728</v>
      </c>
      <c r="H149" s="170" t="s">
        <v>1729</v>
      </c>
      <c r="I149" s="171" t="s">
        <v>980</v>
      </c>
      <c r="J149" s="172" t="s">
        <v>164</v>
      </c>
      <c r="K149" s="173" t="s">
        <v>165</v>
      </c>
      <c r="L149" s="174" t="s">
        <v>0</v>
      </c>
      <c r="M149" s="175" t="s">
        <v>166</v>
      </c>
      <c r="N149" s="176">
        <v>0.1333</v>
      </c>
      <c r="O149" s="177">
        <v>0</v>
      </c>
      <c r="P149" s="178">
        <v>0.1333</v>
      </c>
      <c r="Q149" s="179">
        <v>0</v>
      </c>
      <c r="R149" s="180">
        <v>0.1333</v>
      </c>
    </row>
    <row r="150" spans="1:18" ht="17">
      <c r="A150" s="60" t="str">
        <f>IFERROR(VLOOKUP(Data_Base[[#This Row],[Distributor Name]],Target[SS 2],1,FALSE),"Delete")</f>
        <v>NIDHI SALES</v>
      </c>
      <c r="B150" s="60">
        <f ca="1">IFERROR(VLOOKUP(Data_Base[[#This Row],[Item Sub Category]],Table2[[Sub Category]:[Billing Group]],3,0),99)</f>
        <v>30</v>
      </c>
      <c r="C150" s="167" t="str">
        <f>VLOOKUP(Data_Base[[#This Row],[Item Description]],Table2[[Item Name]:[Sub Category]],6,0)</f>
        <v>Classic Cream Orange -.10/-</v>
      </c>
      <c r="D150" s="60" t="s">
        <v>893</v>
      </c>
      <c r="E150" s="60" t="s">
        <v>82</v>
      </c>
      <c r="F150" s="168" t="s">
        <v>1727</v>
      </c>
      <c r="G150" s="169" t="s">
        <v>1728</v>
      </c>
      <c r="H150" s="170" t="s">
        <v>1729</v>
      </c>
      <c r="I150" s="171" t="s">
        <v>980</v>
      </c>
      <c r="J150" s="172" t="s">
        <v>170</v>
      </c>
      <c r="K150" s="173" t="s">
        <v>171</v>
      </c>
      <c r="L150" s="174" t="s">
        <v>0</v>
      </c>
      <c r="M150" s="175" t="s">
        <v>172</v>
      </c>
      <c r="N150" s="176">
        <v>1.36</v>
      </c>
      <c r="O150" s="177">
        <v>0</v>
      </c>
      <c r="P150" s="178">
        <v>1.36</v>
      </c>
      <c r="Q150" s="179">
        <v>0</v>
      </c>
      <c r="R150" s="180">
        <v>1.36</v>
      </c>
    </row>
    <row r="151" spans="1:18" ht="17">
      <c r="A151" s="60" t="str">
        <f>IFERROR(VLOOKUP(Data_Base[[#This Row],[Distributor Name]],Target[SS 2],1,FALSE),"Delete")</f>
        <v>NIDHI SALES</v>
      </c>
      <c r="B151" s="60">
        <f ca="1">IFERROR(VLOOKUP(Data_Base[[#This Row],[Item Sub Category]],Table2[[Sub Category]:[Billing Group]],3,0),99)</f>
        <v>99</v>
      </c>
      <c r="C151" s="167" t="str">
        <f>VLOOKUP(Data_Base[[#This Row],[Item Description]],Table2[[Item Name]:[Sub Category]],6,0)</f>
        <v>INST</v>
      </c>
      <c r="D151" s="60" t="s">
        <v>893</v>
      </c>
      <c r="E151" s="60" t="s">
        <v>82</v>
      </c>
      <c r="F151" s="168" t="s">
        <v>1727</v>
      </c>
      <c r="G151" s="169" t="s">
        <v>1728</v>
      </c>
      <c r="H151" s="170" t="s">
        <v>1729</v>
      </c>
      <c r="I151" s="171" t="s">
        <v>980</v>
      </c>
      <c r="J151" s="172" t="s">
        <v>686</v>
      </c>
      <c r="K151" s="173" t="s">
        <v>687</v>
      </c>
      <c r="L151" s="174" t="s">
        <v>978</v>
      </c>
      <c r="M151" s="175" t="s">
        <v>181</v>
      </c>
      <c r="N151" s="176">
        <v>43</v>
      </c>
      <c r="O151" s="177">
        <v>0</v>
      </c>
      <c r="P151" s="178">
        <v>114</v>
      </c>
      <c r="Q151" s="179">
        <v>40</v>
      </c>
      <c r="R151" s="180">
        <v>74</v>
      </c>
    </row>
    <row r="152" spans="1:18" ht="17">
      <c r="A152" s="60" t="str">
        <f>IFERROR(VLOOKUP(Data_Base[[#This Row],[Distributor Name]],Target[SS 2],1,FALSE),"Delete")</f>
        <v>NIDHI SALES</v>
      </c>
      <c r="B152" s="60">
        <f ca="1">IFERROR(VLOOKUP(Data_Base[[#This Row],[Item Sub Category]],Table2[[Sub Category]:[Billing Group]],3,0),99)</f>
        <v>99</v>
      </c>
      <c r="C152" s="167" t="str">
        <f>VLOOKUP(Data_Base[[#This Row],[Item Description]],Table2[[Item Name]:[Sub Category]],6,0)</f>
        <v>INST</v>
      </c>
      <c r="D152" s="60" t="s">
        <v>893</v>
      </c>
      <c r="E152" s="60" t="s">
        <v>82</v>
      </c>
      <c r="F152" s="168" t="s">
        <v>1727</v>
      </c>
      <c r="G152" s="169" t="s">
        <v>1728</v>
      </c>
      <c r="H152" s="170" t="s">
        <v>1729</v>
      </c>
      <c r="I152" s="171" t="s">
        <v>980</v>
      </c>
      <c r="J152" s="172" t="s">
        <v>688</v>
      </c>
      <c r="K152" s="173" t="s">
        <v>689</v>
      </c>
      <c r="L152" s="174" t="s">
        <v>978</v>
      </c>
      <c r="M152" s="175" t="s">
        <v>181</v>
      </c>
      <c r="N152" s="176">
        <v>121</v>
      </c>
      <c r="O152" s="177">
        <v>0</v>
      </c>
      <c r="P152" s="178">
        <v>201</v>
      </c>
      <c r="Q152" s="179">
        <v>45</v>
      </c>
      <c r="R152" s="180">
        <v>156</v>
      </c>
    </row>
    <row r="153" spans="1:18" ht="17">
      <c r="A153" s="60" t="str">
        <f>IFERROR(VLOOKUP(Data_Base[[#This Row],[Distributor Name]],Target[SS 2],1,FALSE),"Delete")</f>
        <v>NIDHI SALES</v>
      </c>
      <c r="B153" s="60">
        <f ca="1">IFERROR(VLOOKUP(Data_Base[[#This Row],[Item Sub Category]],Table2[[Sub Category]:[Billing Group]],3,0),99)</f>
        <v>99</v>
      </c>
      <c r="C153" s="167" t="str">
        <f>VLOOKUP(Data_Base[[#This Row],[Item Description]],Table2[[Item Name]:[Sub Category]],6,0)</f>
        <v>INST</v>
      </c>
      <c r="D153" s="60" t="s">
        <v>893</v>
      </c>
      <c r="E153" s="60" t="s">
        <v>82</v>
      </c>
      <c r="F153" s="168" t="s">
        <v>1727</v>
      </c>
      <c r="G153" s="169" t="s">
        <v>1728</v>
      </c>
      <c r="H153" s="170" t="s">
        <v>1729</v>
      </c>
      <c r="I153" s="171" t="s">
        <v>980</v>
      </c>
      <c r="J153" s="172" t="s">
        <v>690</v>
      </c>
      <c r="K153" s="173" t="s">
        <v>691</v>
      </c>
      <c r="L153" s="174" t="s">
        <v>978</v>
      </c>
      <c r="M153" s="175" t="s">
        <v>181</v>
      </c>
      <c r="N153" s="176">
        <v>2</v>
      </c>
      <c r="O153" s="177">
        <v>0</v>
      </c>
      <c r="P153" s="178">
        <v>72</v>
      </c>
      <c r="Q153" s="179">
        <v>20</v>
      </c>
      <c r="R153" s="180">
        <v>52</v>
      </c>
    </row>
    <row r="154" spans="1:18" ht="17">
      <c r="A154" s="60" t="str">
        <f>IFERROR(VLOOKUP(Data_Base[[#This Row],[Distributor Name]],Target[SS 2],1,FALSE),"Delete")</f>
        <v>NIDHI SALES</v>
      </c>
      <c r="B154" s="60">
        <f ca="1">IFERROR(VLOOKUP(Data_Base[[#This Row],[Item Sub Category]],Table2[[Sub Category]:[Billing Group]],3,0),99)</f>
        <v>21</v>
      </c>
      <c r="C154" s="167" t="str">
        <f>VLOOKUP(Data_Base[[#This Row],[Item Description]],Table2[[Item Name]:[Sub Category]],6,0)</f>
        <v>Coconut Crunch-.20/-</v>
      </c>
      <c r="D154" s="60" t="s">
        <v>893</v>
      </c>
      <c r="E154" s="60" t="s">
        <v>82</v>
      </c>
      <c r="F154" s="168" t="s">
        <v>1727</v>
      </c>
      <c r="G154" s="169" t="s">
        <v>1728</v>
      </c>
      <c r="H154" s="170" t="s">
        <v>1729</v>
      </c>
      <c r="I154" s="171" t="s">
        <v>980</v>
      </c>
      <c r="J154" s="172" t="s">
        <v>593</v>
      </c>
      <c r="K154" s="173" t="s">
        <v>594</v>
      </c>
      <c r="L154" s="174" t="s">
        <v>0</v>
      </c>
      <c r="M154" s="175" t="s">
        <v>175</v>
      </c>
      <c r="N154" s="176">
        <v>-5.21E-2</v>
      </c>
      <c r="O154" s="177">
        <v>0</v>
      </c>
      <c r="P154" s="178">
        <v>-5.21E-2</v>
      </c>
      <c r="Q154" s="179">
        <v>0</v>
      </c>
      <c r="R154" s="180">
        <v>-5.21E-2</v>
      </c>
    </row>
    <row r="155" spans="1:18" ht="17">
      <c r="A155" s="60" t="str">
        <f>IFERROR(VLOOKUP(Data_Base[[#This Row],[Distributor Name]],Target[SS 2],1,FALSE),"Delete")</f>
        <v>NIDHI SALES</v>
      </c>
      <c r="B155" s="60">
        <f ca="1">IFERROR(VLOOKUP(Data_Base[[#This Row],[Item Sub Category]],Table2[[Sub Category]:[Billing Group]],3,0),99)</f>
        <v>140</v>
      </c>
      <c r="C155" s="167" t="str">
        <f>VLOOKUP(Data_Base[[#This Row],[Item Description]],Table2[[Item Name]:[Sub Category]],6,0)</f>
        <v>Eclair-Pouch  50/-</v>
      </c>
      <c r="D155" s="60" t="s">
        <v>893</v>
      </c>
      <c r="E155" s="60" t="s">
        <v>82</v>
      </c>
      <c r="F155" s="168" t="s">
        <v>1727</v>
      </c>
      <c r="G155" s="169" t="s">
        <v>1728</v>
      </c>
      <c r="H155" s="170" t="s">
        <v>1729</v>
      </c>
      <c r="I155" s="171" t="s">
        <v>980</v>
      </c>
      <c r="J155" s="172" t="s">
        <v>176</v>
      </c>
      <c r="K155" s="173" t="s">
        <v>177</v>
      </c>
      <c r="L155" s="174" t="s">
        <v>16</v>
      </c>
      <c r="M155" s="175" t="s">
        <v>178</v>
      </c>
      <c r="N155" s="176">
        <v>7.7999999999999996E-3</v>
      </c>
      <c r="O155" s="177">
        <v>0</v>
      </c>
      <c r="P155" s="178">
        <v>7.7999999999999996E-3</v>
      </c>
      <c r="Q155" s="179">
        <v>0</v>
      </c>
      <c r="R155" s="180">
        <v>7.7999999999999996E-3</v>
      </c>
    </row>
    <row r="156" spans="1:18" ht="17">
      <c r="A156" s="60" t="str">
        <f>IFERROR(VLOOKUP(Data_Base[[#This Row],[Distributor Name]],Target[SS 2],1,FALSE),"Delete")</f>
        <v>NIDHI SALES</v>
      </c>
      <c r="B156" s="60">
        <f ca="1">IFERROR(VLOOKUP(Data_Base[[#This Row],[Item Sub Category]],Table2[[Sub Category]:[Billing Group]],3,0),99)</f>
        <v>36</v>
      </c>
      <c r="C156" s="167" t="str">
        <f>VLOOKUP(Data_Base[[#This Row],[Item Description]],Table2[[Item Name]:[Sub Category]],6,0)</f>
        <v>Puff Crme - Choco -10</v>
      </c>
      <c r="D156" s="60" t="s">
        <v>893</v>
      </c>
      <c r="E156" s="60" t="s">
        <v>82</v>
      </c>
      <c r="F156" s="168" t="s">
        <v>1727</v>
      </c>
      <c r="G156" s="169" t="s">
        <v>1728</v>
      </c>
      <c r="H156" s="170" t="s">
        <v>1729</v>
      </c>
      <c r="I156" s="171" t="s">
        <v>980</v>
      </c>
      <c r="J156" s="172" t="s">
        <v>795</v>
      </c>
      <c r="K156" s="173" t="s">
        <v>796</v>
      </c>
      <c r="L156" s="174" t="s">
        <v>0</v>
      </c>
      <c r="M156" s="175" t="s">
        <v>225</v>
      </c>
      <c r="N156" s="176">
        <v>48</v>
      </c>
      <c r="O156" s="177">
        <v>0</v>
      </c>
      <c r="P156" s="178">
        <v>48</v>
      </c>
      <c r="Q156" s="179">
        <v>20</v>
      </c>
      <c r="R156" s="180">
        <v>28</v>
      </c>
    </row>
    <row r="157" spans="1:18" ht="17">
      <c r="A157" s="60" t="str">
        <f>IFERROR(VLOOKUP(Data_Base[[#This Row],[Distributor Name]],Target[SS 2],1,FALSE),"Delete")</f>
        <v>NIDHI SALES</v>
      </c>
      <c r="B157" s="60">
        <f ca="1">IFERROR(VLOOKUP(Data_Base[[#This Row],[Item Sub Category]],Table2[[Sub Category]:[Billing Group]],3,0),99)</f>
        <v>99</v>
      </c>
      <c r="C157" s="167" t="str">
        <f>VLOOKUP(Data_Base[[#This Row],[Item Description]],Table2[[Item Name]:[Sub Category]],6,0)</f>
        <v>INST</v>
      </c>
      <c r="D157" s="60" t="s">
        <v>893</v>
      </c>
      <c r="E157" s="60" t="s">
        <v>82</v>
      </c>
      <c r="F157" s="168" t="s">
        <v>1727</v>
      </c>
      <c r="G157" s="169" t="s">
        <v>1728</v>
      </c>
      <c r="H157" s="170" t="s">
        <v>1729</v>
      </c>
      <c r="I157" s="171" t="s">
        <v>980</v>
      </c>
      <c r="J157" s="172" t="s">
        <v>486</v>
      </c>
      <c r="K157" s="173" t="s">
        <v>487</v>
      </c>
      <c r="L157" s="174" t="s">
        <v>978</v>
      </c>
      <c r="M157" s="175" t="s">
        <v>181</v>
      </c>
      <c r="N157" s="176">
        <v>972.96529999999996</v>
      </c>
      <c r="O157" s="177">
        <v>0</v>
      </c>
      <c r="P157" s="178">
        <v>972.96529999999996</v>
      </c>
      <c r="Q157" s="179">
        <v>0</v>
      </c>
      <c r="R157" s="180">
        <v>972.96529999999996</v>
      </c>
    </row>
    <row r="158" spans="1:18" ht="17">
      <c r="A158" s="60" t="str">
        <f>IFERROR(VLOOKUP(Data_Base[[#This Row],[Distributor Name]],Target[SS 2],1,FALSE),"Delete")</f>
        <v>NIDHI SALES</v>
      </c>
      <c r="B158" s="60">
        <f ca="1">IFERROR(VLOOKUP(Data_Base[[#This Row],[Item Sub Category]],Table2[[Sub Category]:[Billing Group]],3,0),99)</f>
        <v>48</v>
      </c>
      <c r="C158" s="167" t="str">
        <f>VLOOKUP(Data_Base[[#This Row],[Item Description]],Table2[[Item Name]:[Sub Category]],6,0)</f>
        <v>Snacks - 10</v>
      </c>
      <c r="D158" s="60" t="s">
        <v>893</v>
      </c>
      <c r="E158" s="60" t="s">
        <v>82</v>
      </c>
      <c r="F158" s="168" t="s">
        <v>1727</v>
      </c>
      <c r="G158" s="169" t="s">
        <v>1728</v>
      </c>
      <c r="H158" s="170" t="s">
        <v>1729</v>
      </c>
      <c r="I158" s="171" t="s">
        <v>980</v>
      </c>
      <c r="J158" s="172" t="s">
        <v>800</v>
      </c>
      <c r="K158" s="173" t="s">
        <v>801</v>
      </c>
      <c r="L158" s="174" t="s">
        <v>0</v>
      </c>
      <c r="M158" s="175" t="s">
        <v>284</v>
      </c>
      <c r="N158" s="176">
        <v>418.09609999999998</v>
      </c>
      <c r="O158" s="177">
        <v>0</v>
      </c>
      <c r="P158" s="178">
        <v>1594.0961</v>
      </c>
      <c r="Q158" s="179">
        <v>1344</v>
      </c>
      <c r="R158" s="180">
        <v>250.09610000000001</v>
      </c>
    </row>
    <row r="159" spans="1:18" ht="17">
      <c r="A159" s="60" t="str">
        <f>IFERROR(VLOOKUP(Data_Base[[#This Row],[Distributor Name]],Target[SS 2],1,FALSE),"Delete")</f>
        <v>NIDHI SALES</v>
      </c>
      <c r="B159" s="60">
        <f ca="1">IFERROR(VLOOKUP(Data_Base[[#This Row],[Item Sub Category]],Table2[[Sub Category]:[Billing Group]],3,0),99)</f>
        <v>130</v>
      </c>
      <c r="C159" s="167" t="str">
        <f>VLOOKUP(Data_Base[[#This Row],[Item Description]],Table2[[Item Name]:[Sub Category]],6,0)</f>
        <v>Snakker- 5/-</v>
      </c>
      <c r="D159" s="60" t="s">
        <v>893</v>
      </c>
      <c r="E159" s="60" t="s">
        <v>82</v>
      </c>
      <c r="F159" s="168" t="s">
        <v>1727</v>
      </c>
      <c r="G159" s="169" t="s">
        <v>1728</v>
      </c>
      <c r="H159" s="170" t="s">
        <v>1729</v>
      </c>
      <c r="I159" s="171" t="s">
        <v>980</v>
      </c>
      <c r="J159" s="172" t="s">
        <v>537</v>
      </c>
      <c r="K159" s="173" t="s">
        <v>538</v>
      </c>
      <c r="L159" s="174" t="s">
        <v>16</v>
      </c>
      <c r="M159" s="175" t="s">
        <v>187</v>
      </c>
      <c r="N159" s="176">
        <v>309</v>
      </c>
      <c r="O159" s="177">
        <v>0</v>
      </c>
      <c r="P159" s="178">
        <v>929</v>
      </c>
      <c r="Q159" s="179">
        <v>495</v>
      </c>
      <c r="R159" s="180">
        <v>434</v>
      </c>
    </row>
    <row r="160" spans="1:18" ht="17">
      <c r="A160" s="60" t="str">
        <f>IFERROR(VLOOKUP(Data_Base[[#This Row],[Distributor Name]],Target[SS 2],1,FALSE),"Delete")</f>
        <v>NIDHI SALES</v>
      </c>
      <c r="B160" s="60">
        <f ca="1">IFERROR(VLOOKUP(Data_Base[[#This Row],[Item Sub Category]],Table2[[Sub Category]:[Billing Group]],3,0),99)</f>
        <v>147</v>
      </c>
      <c r="C160" s="167" t="str">
        <f>VLOOKUP(Data_Base[[#This Row],[Item Description]],Table2[[Item Name]:[Sub Category]],6,0)</f>
        <v>TOFFITO Pouch</v>
      </c>
      <c r="D160" s="60" t="s">
        <v>893</v>
      </c>
      <c r="E160" s="60" t="s">
        <v>82</v>
      </c>
      <c r="F160" s="168" t="s">
        <v>1727</v>
      </c>
      <c r="G160" s="169" t="s">
        <v>1728</v>
      </c>
      <c r="H160" s="170" t="s">
        <v>1729</v>
      </c>
      <c r="I160" s="171" t="s">
        <v>980</v>
      </c>
      <c r="J160" s="172" t="s">
        <v>475</v>
      </c>
      <c r="K160" s="173" t="s">
        <v>476</v>
      </c>
      <c r="L160" s="174" t="s">
        <v>16</v>
      </c>
      <c r="M160" s="175" t="s">
        <v>294</v>
      </c>
      <c r="N160" s="176">
        <v>3.8999999999999998E-3</v>
      </c>
      <c r="O160" s="177">
        <v>0</v>
      </c>
      <c r="P160" s="178">
        <v>3.8999999999999998E-3</v>
      </c>
      <c r="Q160" s="179">
        <v>0</v>
      </c>
      <c r="R160" s="180">
        <v>3.8999999999999998E-3</v>
      </c>
    </row>
    <row r="161" spans="1:18" ht="17">
      <c r="A161" s="60" t="str">
        <f>IFERROR(VLOOKUP(Data_Base[[#This Row],[Distributor Name]],Target[SS 2],1,FALSE),"Delete")</f>
        <v>NIDHI SALES</v>
      </c>
      <c r="B161" s="60">
        <f>IFERROR(VLOOKUP(Data_Base[[#This Row],[Item Sub Category]],Table2[[Sub Category]:[Billing Group]],3,0),99)</f>
        <v>99</v>
      </c>
      <c r="C161" s="167" t="str">
        <f>VLOOKUP(Data_Base[[#This Row],[Item Description]],Table2[[Item Name]:[Sub Category]],6,0)</f>
        <v>Other-Other</v>
      </c>
      <c r="D161" s="60" t="s">
        <v>893</v>
      </c>
      <c r="E161" s="60" t="s">
        <v>82</v>
      </c>
      <c r="F161" s="168" t="s">
        <v>1727</v>
      </c>
      <c r="G161" s="169" t="s">
        <v>1728</v>
      </c>
      <c r="H161" s="170" t="s">
        <v>1729</v>
      </c>
      <c r="I161" s="171" t="s">
        <v>980</v>
      </c>
      <c r="J161" s="172" t="s">
        <v>823</v>
      </c>
      <c r="K161" s="173" t="s">
        <v>824</v>
      </c>
      <c r="L161" s="174" t="s">
        <v>16</v>
      </c>
      <c r="M161" s="175" t="s">
        <v>139</v>
      </c>
      <c r="N161" s="176">
        <v>54</v>
      </c>
      <c r="O161" s="177">
        <v>0</v>
      </c>
      <c r="P161" s="178">
        <v>214</v>
      </c>
      <c r="Q161" s="179">
        <v>30</v>
      </c>
      <c r="R161" s="180">
        <v>184</v>
      </c>
    </row>
    <row r="162" spans="1:18" ht="17">
      <c r="A162" s="60" t="str">
        <f>IFERROR(VLOOKUP(Data_Base[[#This Row],[Distributor Name]],Target[SS 2],1,FALSE),"Delete")</f>
        <v>NIDHI SALES</v>
      </c>
      <c r="B162" s="60">
        <f ca="1">IFERROR(VLOOKUP(Data_Base[[#This Row],[Item Sub Category]],Table2[[Sub Category]:[Billing Group]],3,0),99)</f>
        <v>199</v>
      </c>
      <c r="C162" s="167" t="str">
        <f>VLOOKUP(Data_Base[[#This Row],[Item Description]],Table2[[Item Name]:[Sub Category]],6,0)</f>
        <v>NARIYAL BARFI - Jar</v>
      </c>
      <c r="D162" s="60" t="s">
        <v>893</v>
      </c>
      <c r="E162" s="60" t="s">
        <v>82</v>
      </c>
      <c r="F162" s="168" t="s">
        <v>1727</v>
      </c>
      <c r="G162" s="169" t="s">
        <v>1728</v>
      </c>
      <c r="H162" s="170" t="s">
        <v>1729</v>
      </c>
      <c r="I162" s="171" t="s">
        <v>980</v>
      </c>
      <c r="J162" s="172" t="s">
        <v>430</v>
      </c>
      <c r="K162" s="173" t="s">
        <v>431</v>
      </c>
      <c r="L162" s="174" t="s">
        <v>16</v>
      </c>
      <c r="M162" s="175" t="s">
        <v>432</v>
      </c>
      <c r="N162" s="176">
        <v>36</v>
      </c>
      <c r="O162" s="177">
        <v>0</v>
      </c>
      <c r="P162" s="178">
        <v>36</v>
      </c>
      <c r="Q162" s="179">
        <v>0</v>
      </c>
      <c r="R162" s="180">
        <v>36</v>
      </c>
    </row>
    <row r="163" spans="1:18" ht="17">
      <c r="A163" s="60" t="str">
        <f>IFERROR(VLOOKUP(Data_Base[[#This Row],[Distributor Name]],Target[SS 2],1,FALSE),"Delete")</f>
        <v>NIDHI SALES</v>
      </c>
      <c r="B163" s="60">
        <f ca="1">IFERROR(VLOOKUP(Data_Base[[#This Row],[Item Sub Category]],Table2[[Sub Category]:[Billing Group]],3,0),99)</f>
        <v>150</v>
      </c>
      <c r="C163" s="167" t="str">
        <f>VLOOKUP(Data_Base[[#This Row],[Item Description]],Table2[[Item Name]:[Sub Category]],6,0)</f>
        <v>Snakker Minty Jar</v>
      </c>
      <c r="D163" s="60" t="s">
        <v>893</v>
      </c>
      <c r="E163" s="60" t="s">
        <v>82</v>
      </c>
      <c r="F163" s="168" t="s">
        <v>1727</v>
      </c>
      <c r="G163" s="169" t="s">
        <v>1728</v>
      </c>
      <c r="H163" s="170" t="s">
        <v>1729</v>
      </c>
      <c r="I163" s="171" t="s">
        <v>980</v>
      </c>
      <c r="J163" s="172" t="s">
        <v>182</v>
      </c>
      <c r="K163" s="173" t="s">
        <v>183</v>
      </c>
      <c r="L163" s="174" t="s">
        <v>16</v>
      </c>
      <c r="M163" s="175" t="s">
        <v>184</v>
      </c>
      <c r="N163" s="176">
        <v>2</v>
      </c>
      <c r="O163" s="177">
        <v>0</v>
      </c>
      <c r="P163" s="178">
        <v>7</v>
      </c>
      <c r="Q163" s="179">
        <v>0</v>
      </c>
      <c r="R163" s="180">
        <v>7</v>
      </c>
    </row>
    <row r="164" spans="1:18" ht="17">
      <c r="A164" s="60" t="str">
        <f>IFERROR(VLOOKUP(Data_Base[[#This Row],[Distributor Name]],Target[SS 2],1,FALSE),"Delete")</f>
        <v>NIDHI SALES</v>
      </c>
      <c r="B164" s="60">
        <f ca="1">IFERROR(VLOOKUP(Data_Base[[#This Row],[Item Sub Category]],Table2[[Sub Category]:[Billing Group]],3,0),99)</f>
        <v>149</v>
      </c>
      <c r="C164" s="167" t="str">
        <f>VLOOKUP(Data_Base[[#This Row],[Item Description]],Table2[[Item Name]:[Sub Category]],6,0)</f>
        <v>Snakker Minty Pouch</v>
      </c>
      <c r="D164" s="60" t="s">
        <v>893</v>
      </c>
      <c r="E164" s="60" t="s">
        <v>82</v>
      </c>
      <c r="F164" s="168" t="s">
        <v>1727</v>
      </c>
      <c r="G164" s="169" t="s">
        <v>1728</v>
      </c>
      <c r="H164" s="170" t="s">
        <v>1729</v>
      </c>
      <c r="I164" s="171" t="s">
        <v>980</v>
      </c>
      <c r="J164" s="172" t="s">
        <v>477</v>
      </c>
      <c r="K164" s="173" t="s">
        <v>478</v>
      </c>
      <c r="L164" s="174" t="s">
        <v>16</v>
      </c>
      <c r="M164" s="175" t="s">
        <v>278</v>
      </c>
      <c r="N164" s="176">
        <v>11</v>
      </c>
      <c r="O164" s="177">
        <v>0</v>
      </c>
      <c r="P164" s="178">
        <v>11</v>
      </c>
      <c r="Q164" s="179">
        <v>3</v>
      </c>
      <c r="R164" s="180">
        <v>8</v>
      </c>
    </row>
    <row r="165" spans="1:18" ht="17">
      <c r="A165" s="60" t="str">
        <f>IFERROR(VLOOKUP(Data_Base[[#This Row],[Distributor Name]],Target[SS 2],1,FALSE),"Delete")</f>
        <v>NIDHI SALES</v>
      </c>
      <c r="B165" s="60">
        <f ca="1">IFERROR(VLOOKUP(Data_Base[[#This Row],[Item Sub Category]],Table2[[Sub Category]:[Billing Group]],3,0),99)</f>
        <v>130</v>
      </c>
      <c r="C165" s="167" t="str">
        <f>VLOOKUP(Data_Base[[#This Row],[Item Description]],Table2[[Item Name]:[Sub Category]],6,0)</f>
        <v>Snakker- 5/-</v>
      </c>
      <c r="D165" s="60" t="s">
        <v>893</v>
      </c>
      <c r="E165" s="60" t="s">
        <v>82</v>
      </c>
      <c r="F165" s="168" t="s">
        <v>1727</v>
      </c>
      <c r="G165" s="169" t="s">
        <v>1728</v>
      </c>
      <c r="H165" s="170" t="s">
        <v>1729</v>
      </c>
      <c r="I165" s="171" t="s">
        <v>980</v>
      </c>
      <c r="J165" s="172" t="s">
        <v>185</v>
      </c>
      <c r="K165" s="173" t="s">
        <v>186</v>
      </c>
      <c r="L165" s="174" t="s">
        <v>16</v>
      </c>
      <c r="M165" s="175" t="s">
        <v>187</v>
      </c>
      <c r="N165" s="176">
        <v>1201</v>
      </c>
      <c r="O165" s="177">
        <v>0</v>
      </c>
      <c r="P165" s="178">
        <v>1201</v>
      </c>
      <c r="Q165" s="179">
        <v>78</v>
      </c>
      <c r="R165" s="180">
        <v>1123</v>
      </c>
    </row>
    <row r="166" spans="1:18" ht="17">
      <c r="A166" s="60" t="str">
        <f>IFERROR(VLOOKUP(Data_Base[[#This Row],[Distributor Name]],Target[SS 2],1,FALSE),"Delete")</f>
        <v>NIDHI SALES</v>
      </c>
      <c r="B166" s="60">
        <f ca="1">IFERROR(VLOOKUP(Data_Base[[#This Row],[Item Sub Category]],Table2[[Sub Category]:[Billing Group]],3,0),99)</f>
        <v>24</v>
      </c>
      <c r="C166" s="167" t="str">
        <f>VLOOKUP(Data_Base[[#This Row],[Item Description]],Table2[[Item Name]:[Sub Category]],6,0)</f>
        <v>Bourbon-.10/-</v>
      </c>
      <c r="D166" s="60" t="s">
        <v>893</v>
      </c>
      <c r="E166" s="60" t="s">
        <v>82</v>
      </c>
      <c r="F166" s="168" t="s">
        <v>1727</v>
      </c>
      <c r="G166" s="169" t="s">
        <v>1728</v>
      </c>
      <c r="H166" s="170" t="s">
        <v>1729</v>
      </c>
      <c r="I166" s="171" t="s">
        <v>980</v>
      </c>
      <c r="J166" s="172" t="s">
        <v>518</v>
      </c>
      <c r="K166" s="173" t="s">
        <v>519</v>
      </c>
      <c r="L166" s="174" t="s">
        <v>0</v>
      </c>
      <c r="M166" s="175" t="s">
        <v>112</v>
      </c>
      <c r="N166" s="176">
        <v>0.1061</v>
      </c>
      <c r="O166" s="177">
        <v>0</v>
      </c>
      <c r="P166" s="178">
        <v>0.1061</v>
      </c>
      <c r="Q166" s="179">
        <v>0</v>
      </c>
      <c r="R166" s="180">
        <v>0.1061</v>
      </c>
    </row>
    <row r="167" spans="1:18" ht="17">
      <c r="A167" s="60" t="str">
        <f>IFERROR(VLOOKUP(Data_Base[[#This Row],[Distributor Name]],Target[SS 2],1,FALSE),"Delete")</f>
        <v>NIDHI SALES</v>
      </c>
      <c r="B167" s="60">
        <f ca="1">IFERROR(VLOOKUP(Data_Base[[#This Row],[Item Sub Category]],Table2[[Sub Category]:[Billing Group]],3,0),99)</f>
        <v>57</v>
      </c>
      <c r="C167" s="167" t="str">
        <f>VLOOKUP(Data_Base[[#This Row],[Item Description]],Table2[[Item Name]:[Sub Category]],6,0)</f>
        <v>Butter Delite - 5</v>
      </c>
      <c r="D167" s="60" t="s">
        <v>893</v>
      </c>
      <c r="E167" s="60" t="s">
        <v>82</v>
      </c>
      <c r="F167" s="168" t="s">
        <v>1727</v>
      </c>
      <c r="G167" s="169" t="s">
        <v>1728</v>
      </c>
      <c r="H167" s="170" t="s">
        <v>1729</v>
      </c>
      <c r="I167" s="171" t="s">
        <v>980</v>
      </c>
      <c r="J167" s="172" t="s">
        <v>572</v>
      </c>
      <c r="K167" s="173" t="s">
        <v>573</v>
      </c>
      <c r="L167" s="174" t="s">
        <v>0</v>
      </c>
      <c r="M167" s="175" t="s">
        <v>127</v>
      </c>
      <c r="N167" s="176">
        <v>13.695</v>
      </c>
      <c r="O167" s="177">
        <v>0</v>
      </c>
      <c r="P167" s="178">
        <v>13.695</v>
      </c>
      <c r="Q167" s="179">
        <v>0</v>
      </c>
      <c r="R167" s="180">
        <v>13.695</v>
      </c>
    </row>
    <row r="168" spans="1:18" ht="17">
      <c r="A168" s="60" t="str">
        <f>IFERROR(VLOOKUP(Data_Base[[#This Row],[Distributor Name]],Target[SS 2],1,FALSE),"Delete")</f>
        <v>NIDHI SALES</v>
      </c>
      <c r="B168" s="60">
        <f ca="1">IFERROR(VLOOKUP(Data_Base[[#This Row],[Item Sub Category]],Table2[[Sub Category]:[Billing Group]],3,0),99)</f>
        <v>58</v>
      </c>
      <c r="C168" s="167" t="str">
        <f>VLOOKUP(Data_Base[[#This Row],[Item Description]],Table2[[Item Name]:[Sub Category]],6,0)</f>
        <v>Butter Delite - 10</v>
      </c>
      <c r="D168" s="60" t="s">
        <v>893</v>
      </c>
      <c r="E168" s="60" t="s">
        <v>82</v>
      </c>
      <c r="F168" s="168" t="s">
        <v>1727</v>
      </c>
      <c r="G168" s="169" t="s">
        <v>1728</v>
      </c>
      <c r="H168" s="170" t="s">
        <v>1729</v>
      </c>
      <c r="I168" s="171" t="s">
        <v>980</v>
      </c>
      <c r="J168" s="172" t="s">
        <v>574</v>
      </c>
      <c r="K168" s="173" t="s">
        <v>575</v>
      </c>
      <c r="L168" s="174" t="s">
        <v>0</v>
      </c>
      <c r="M168" s="175" t="s">
        <v>196</v>
      </c>
      <c r="N168" s="176">
        <v>10.605</v>
      </c>
      <c r="O168" s="177">
        <v>0</v>
      </c>
      <c r="P168" s="178">
        <v>10.605</v>
      </c>
      <c r="Q168" s="179">
        <v>0</v>
      </c>
      <c r="R168" s="180">
        <v>10.605</v>
      </c>
    </row>
    <row r="169" spans="1:18" ht="17">
      <c r="A169" s="60" t="str">
        <f>IFERROR(VLOOKUP(Data_Base[[#This Row],[Distributor Name]],Target[SS 2],1,FALSE),"Delete")</f>
        <v>NIDHI SALES</v>
      </c>
      <c r="B169" s="60">
        <f ca="1">IFERROR(VLOOKUP(Data_Base[[#This Row],[Item Sub Category]],Table2[[Sub Category]:[Billing Group]],3,0),99)</f>
        <v>51</v>
      </c>
      <c r="C169" s="167" t="str">
        <f>VLOOKUP(Data_Base[[#This Row],[Item Description]],Table2[[Item Name]:[Sub Category]],6,0)</f>
        <v>C.N.C. - 10</v>
      </c>
      <c r="D169" s="60" t="s">
        <v>893</v>
      </c>
      <c r="E169" s="60" t="s">
        <v>82</v>
      </c>
      <c r="F169" s="168" t="s">
        <v>1727</v>
      </c>
      <c r="G169" s="169" t="s">
        <v>1728</v>
      </c>
      <c r="H169" s="170" t="s">
        <v>1729</v>
      </c>
      <c r="I169" s="171" t="s">
        <v>980</v>
      </c>
      <c r="J169" s="172" t="s">
        <v>191</v>
      </c>
      <c r="K169" s="173" t="s">
        <v>192</v>
      </c>
      <c r="L169" s="174" t="s">
        <v>0</v>
      </c>
      <c r="M169" s="175" t="s">
        <v>193</v>
      </c>
      <c r="N169" s="176">
        <v>22</v>
      </c>
      <c r="O169" s="177">
        <v>0</v>
      </c>
      <c r="P169" s="178">
        <v>72</v>
      </c>
      <c r="Q169" s="179">
        <v>72</v>
      </c>
      <c r="R169" s="180">
        <v>0</v>
      </c>
    </row>
    <row r="170" spans="1:18" ht="17">
      <c r="A170" s="60" t="str">
        <f>IFERROR(VLOOKUP(Data_Base[[#This Row],[Distributor Name]],Target[SS 2],1,FALSE),"Delete")</f>
        <v>NIDHI SALES</v>
      </c>
      <c r="B170" s="60">
        <f ca="1">IFERROR(VLOOKUP(Data_Base[[#This Row],[Item Sub Category]],Table2[[Sub Category]:[Billing Group]],3,0),99)</f>
        <v>58</v>
      </c>
      <c r="C170" s="167" t="str">
        <f>VLOOKUP(Data_Base[[#This Row],[Item Description]],Table2[[Item Name]:[Sub Category]],6,0)</f>
        <v>Butter Delite - 10</v>
      </c>
      <c r="D170" s="60" t="s">
        <v>893</v>
      </c>
      <c r="E170" s="60" t="s">
        <v>82</v>
      </c>
      <c r="F170" s="168" t="s">
        <v>1727</v>
      </c>
      <c r="G170" s="169" t="s">
        <v>1728</v>
      </c>
      <c r="H170" s="170" t="s">
        <v>1729</v>
      </c>
      <c r="I170" s="171" t="s">
        <v>980</v>
      </c>
      <c r="J170" s="172" t="s">
        <v>194</v>
      </c>
      <c r="K170" s="173" t="s">
        <v>195</v>
      </c>
      <c r="L170" s="174" t="s">
        <v>0</v>
      </c>
      <c r="M170" s="175" t="s">
        <v>196</v>
      </c>
      <c r="N170" s="176">
        <v>162</v>
      </c>
      <c r="O170" s="177">
        <v>0</v>
      </c>
      <c r="P170" s="178">
        <v>288</v>
      </c>
      <c r="Q170" s="179">
        <v>53</v>
      </c>
      <c r="R170" s="180">
        <v>235</v>
      </c>
    </row>
    <row r="171" spans="1:18" ht="17">
      <c r="A171" s="60" t="str">
        <f>IFERROR(VLOOKUP(Data_Base[[#This Row],[Distributor Name]],Target[SS 2],1,FALSE),"Delete")</f>
        <v>NIDHI SALES</v>
      </c>
      <c r="B171" s="60">
        <f ca="1">IFERROR(VLOOKUP(Data_Base[[#This Row],[Item Sub Category]],Table2[[Sub Category]:[Billing Group]],3,0),99)</f>
        <v>46</v>
      </c>
      <c r="C171" s="167" t="str">
        <f>VLOOKUP(Data_Base[[#This Row],[Item Description]],Table2[[Item Name]:[Sub Category]],6,0)</f>
        <v>Marie Lite -F.P.</v>
      </c>
      <c r="D171" s="60" t="s">
        <v>893</v>
      </c>
      <c r="E171" s="60" t="s">
        <v>82</v>
      </c>
      <c r="F171" s="168" t="s">
        <v>1727</v>
      </c>
      <c r="G171" s="169" t="s">
        <v>1728</v>
      </c>
      <c r="H171" s="170" t="s">
        <v>1729</v>
      </c>
      <c r="I171" s="171" t="s">
        <v>980</v>
      </c>
      <c r="J171" s="172" t="s">
        <v>654</v>
      </c>
      <c r="K171" s="173" t="s">
        <v>655</v>
      </c>
      <c r="L171" s="174" t="s">
        <v>0</v>
      </c>
      <c r="M171" s="175" t="s">
        <v>427</v>
      </c>
      <c r="N171" s="176">
        <v>9.3799999999999994E-2</v>
      </c>
      <c r="O171" s="177">
        <v>0</v>
      </c>
      <c r="P171" s="178">
        <v>9.3799999999999994E-2</v>
      </c>
      <c r="Q171" s="179">
        <v>0</v>
      </c>
      <c r="R171" s="180">
        <v>9.3799999999999994E-2</v>
      </c>
    </row>
    <row r="172" spans="1:18" ht="17">
      <c r="A172" s="60" t="str">
        <f>IFERROR(VLOOKUP(Data_Base[[#This Row],[Distributor Name]],Target[SS 2],1,FALSE),"Delete")</f>
        <v>NIDHI SALES</v>
      </c>
      <c r="B172" s="60">
        <f ca="1">IFERROR(VLOOKUP(Data_Base[[#This Row],[Item Sub Category]],Table2[[Sub Category]:[Billing Group]],3,0),99)</f>
        <v>63</v>
      </c>
      <c r="C172" s="167" t="str">
        <f>VLOOKUP(Data_Base[[#This Row],[Item Description]],Table2[[Item Name]:[Sub Category]],6,0)</f>
        <v>Cheese/ Top Cracker - 20</v>
      </c>
      <c r="D172" s="60" t="s">
        <v>893</v>
      </c>
      <c r="E172" s="60" t="s">
        <v>82</v>
      </c>
      <c r="F172" s="168" t="s">
        <v>1727</v>
      </c>
      <c r="G172" s="169" t="s">
        <v>1728</v>
      </c>
      <c r="H172" s="170" t="s">
        <v>1729</v>
      </c>
      <c r="I172" s="171" t="s">
        <v>980</v>
      </c>
      <c r="J172" s="172" t="s">
        <v>336</v>
      </c>
      <c r="K172" s="173" t="s">
        <v>337</v>
      </c>
      <c r="L172" s="174" t="s">
        <v>0</v>
      </c>
      <c r="M172" s="175" t="s">
        <v>214</v>
      </c>
      <c r="N172" s="176">
        <v>19.806699999999999</v>
      </c>
      <c r="O172" s="177">
        <v>0</v>
      </c>
      <c r="P172" s="178">
        <v>28.806699999999999</v>
      </c>
      <c r="Q172" s="179">
        <v>1</v>
      </c>
      <c r="R172" s="180">
        <v>27.806699999999999</v>
      </c>
    </row>
    <row r="173" spans="1:18" ht="17">
      <c r="A173" s="60" t="str">
        <f>IFERROR(VLOOKUP(Data_Base[[#This Row],[Distributor Name]],Target[SS 2],1,FALSE),"Delete")</f>
        <v>NIDHI SALES</v>
      </c>
      <c r="B173" s="60">
        <f ca="1">IFERROR(VLOOKUP(Data_Base[[#This Row],[Item Sub Category]],Table2[[Sub Category]:[Billing Group]],3,0),99)</f>
        <v>11</v>
      </c>
      <c r="C173" s="167" t="str">
        <f>VLOOKUP(Data_Base[[#This Row],[Item Description]],Table2[[Item Name]:[Sub Category]],6,0)</f>
        <v>Butter Lite Jeera-.10/-</v>
      </c>
      <c r="D173" s="60" t="s">
        <v>893</v>
      </c>
      <c r="E173" s="60" t="s">
        <v>82</v>
      </c>
      <c r="F173" s="168" t="s">
        <v>1727</v>
      </c>
      <c r="G173" s="169" t="s">
        <v>1728</v>
      </c>
      <c r="H173" s="170" t="s">
        <v>1729</v>
      </c>
      <c r="I173" s="171" t="s">
        <v>980</v>
      </c>
      <c r="J173" s="172" t="s">
        <v>656</v>
      </c>
      <c r="K173" s="173" t="s">
        <v>657</v>
      </c>
      <c r="L173" s="174" t="s">
        <v>0</v>
      </c>
      <c r="M173" s="175" t="s">
        <v>103</v>
      </c>
      <c r="N173" s="176">
        <v>1.1625000000000001</v>
      </c>
      <c r="O173" s="177">
        <v>0</v>
      </c>
      <c r="P173" s="178">
        <v>1.1625000000000001</v>
      </c>
      <c r="Q173" s="179">
        <v>0</v>
      </c>
      <c r="R173" s="180">
        <v>1.1625000000000001</v>
      </c>
    </row>
    <row r="174" spans="1:18" ht="17">
      <c r="A174" s="60" t="str">
        <f>IFERROR(VLOOKUP(Data_Base[[#This Row],[Distributor Name]],Target[SS 2],1,FALSE),"Delete")</f>
        <v>NIDHI SALES</v>
      </c>
      <c r="B174" s="60">
        <f ca="1">IFERROR(VLOOKUP(Data_Base[[#This Row],[Item Sub Category]],Table2[[Sub Category]:[Billing Group]],3,0),99)</f>
        <v>61</v>
      </c>
      <c r="C174" s="167" t="str">
        <f>VLOOKUP(Data_Base[[#This Row],[Item Description]],Table2[[Item Name]:[Sub Category]],6,0)</f>
        <v>Cheese/ Top Cracker - 5</v>
      </c>
      <c r="D174" s="60" t="s">
        <v>893</v>
      </c>
      <c r="E174" s="60" t="s">
        <v>82</v>
      </c>
      <c r="F174" s="168" t="s">
        <v>1727</v>
      </c>
      <c r="G174" s="169" t="s">
        <v>1728</v>
      </c>
      <c r="H174" s="170" t="s">
        <v>1729</v>
      </c>
      <c r="I174" s="171" t="s">
        <v>980</v>
      </c>
      <c r="J174" s="172" t="s">
        <v>197</v>
      </c>
      <c r="K174" s="173" t="s">
        <v>198</v>
      </c>
      <c r="L174" s="174" t="s">
        <v>0</v>
      </c>
      <c r="M174" s="175" t="s">
        <v>199</v>
      </c>
      <c r="N174" s="176">
        <v>5</v>
      </c>
      <c r="O174" s="177">
        <v>0</v>
      </c>
      <c r="P174" s="178">
        <v>203</v>
      </c>
      <c r="Q174" s="179">
        <v>168</v>
      </c>
      <c r="R174" s="180">
        <v>35</v>
      </c>
    </row>
    <row r="175" spans="1:18" ht="17">
      <c r="A175" s="60" t="str">
        <f>IFERROR(VLOOKUP(Data_Base[[#This Row],[Distributor Name]],Target[SS 2],1,FALSE),"Delete")</f>
        <v>NIDHI SALES</v>
      </c>
      <c r="B175" s="60">
        <f ca="1">IFERROR(VLOOKUP(Data_Base[[#This Row],[Item Sub Category]],Table2[[Sub Category]:[Billing Group]],3,0),99)</f>
        <v>62</v>
      </c>
      <c r="C175" s="167" t="str">
        <f>VLOOKUP(Data_Base[[#This Row],[Item Description]],Table2[[Item Name]:[Sub Category]],6,0)</f>
        <v>Cheese/ Top Cracker - 10</v>
      </c>
      <c r="D175" s="60" t="s">
        <v>893</v>
      </c>
      <c r="E175" s="60" t="s">
        <v>82</v>
      </c>
      <c r="F175" s="168" t="s">
        <v>1727</v>
      </c>
      <c r="G175" s="169" t="s">
        <v>1728</v>
      </c>
      <c r="H175" s="170" t="s">
        <v>1729</v>
      </c>
      <c r="I175" s="171" t="s">
        <v>980</v>
      </c>
      <c r="J175" s="172" t="s">
        <v>200</v>
      </c>
      <c r="K175" s="173" t="s">
        <v>201</v>
      </c>
      <c r="L175" s="174" t="s">
        <v>0</v>
      </c>
      <c r="M175" s="175" t="s">
        <v>202</v>
      </c>
      <c r="N175" s="176">
        <v>55</v>
      </c>
      <c r="O175" s="177">
        <v>0</v>
      </c>
      <c r="P175" s="178">
        <v>136</v>
      </c>
      <c r="Q175" s="179">
        <v>36</v>
      </c>
      <c r="R175" s="180">
        <v>100</v>
      </c>
    </row>
    <row r="176" spans="1:18" ht="17">
      <c r="A176" s="60" t="str">
        <f>IFERROR(VLOOKUP(Data_Base[[#This Row],[Distributor Name]],Target[SS 2],1,FALSE),"Delete")</f>
        <v>NIDHI SALES</v>
      </c>
      <c r="B176" s="60">
        <f ca="1">IFERROR(VLOOKUP(Data_Base[[#This Row],[Item Sub Category]],Table2[[Sub Category]:[Billing Group]],3,0),99)</f>
        <v>45</v>
      </c>
      <c r="C176" s="167" t="str">
        <f>VLOOKUP(Data_Base[[#This Row],[Item Description]],Table2[[Item Name]:[Sub Category]],6,0)</f>
        <v>Marie Lite -20</v>
      </c>
      <c r="D176" s="60" t="s">
        <v>893</v>
      </c>
      <c r="E176" s="60" t="s">
        <v>82</v>
      </c>
      <c r="F176" s="168" t="s">
        <v>1727</v>
      </c>
      <c r="G176" s="169" t="s">
        <v>1728</v>
      </c>
      <c r="H176" s="170" t="s">
        <v>1729</v>
      </c>
      <c r="I176" s="171" t="s">
        <v>980</v>
      </c>
      <c r="J176" s="172" t="s">
        <v>279</v>
      </c>
      <c r="K176" s="173" t="s">
        <v>280</v>
      </c>
      <c r="L176" s="174" t="s">
        <v>0</v>
      </c>
      <c r="M176" s="175" t="s">
        <v>281</v>
      </c>
      <c r="N176" s="176">
        <v>14.5344</v>
      </c>
      <c r="O176" s="177">
        <v>0</v>
      </c>
      <c r="P176" s="178">
        <v>230.53440000000001</v>
      </c>
      <c r="Q176" s="179">
        <v>206</v>
      </c>
      <c r="R176" s="180">
        <v>24.534400000000002</v>
      </c>
    </row>
    <row r="177" spans="1:18" ht="17">
      <c r="A177" s="60" t="str">
        <f>IFERROR(VLOOKUP(Data_Base[[#This Row],[Distributor Name]],Target[SS 2],1,FALSE),"Delete")</f>
        <v>NIDHI SALES</v>
      </c>
      <c r="B177" s="60">
        <f ca="1">IFERROR(VLOOKUP(Data_Base[[#This Row],[Item Sub Category]],Table2[[Sub Category]:[Billing Group]],3,0),99)</f>
        <v>43</v>
      </c>
      <c r="C177" s="167" t="str">
        <f>VLOOKUP(Data_Base[[#This Row],[Item Description]],Table2[[Item Name]:[Sub Category]],6,0)</f>
        <v>Marie Lite -5</v>
      </c>
      <c r="D177" s="60" t="s">
        <v>893</v>
      </c>
      <c r="E177" s="60" t="s">
        <v>82</v>
      </c>
      <c r="F177" s="168" t="s">
        <v>1727</v>
      </c>
      <c r="G177" s="169" t="s">
        <v>1728</v>
      </c>
      <c r="H177" s="170" t="s">
        <v>1729</v>
      </c>
      <c r="I177" s="171" t="s">
        <v>980</v>
      </c>
      <c r="J177" s="172" t="s">
        <v>203</v>
      </c>
      <c r="K177" s="173" t="s">
        <v>204</v>
      </c>
      <c r="L177" s="174" t="s">
        <v>0</v>
      </c>
      <c r="M177" s="175" t="s">
        <v>205</v>
      </c>
      <c r="N177" s="176">
        <v>2.1303000000000001</v>
      </c>
      <c r="O177" s="177">
        <v>0</v>
      </c>
      <c r="P177" s="178">
        <v>2.1303000000000001</v>
      </c>
      <c r="Q177" s="179">
        <v>0</v>
      </c>
      <c r="R177" s="180">
        <v>2.1303000000000001</v>
      </c>
    </row>
    <row r="178" spans="1:18" ht="17">
      <c r="A178" s="60" t="str">
        <f>IFERROR(VLOOKUP(Data_Base[[#This Row],[Distributor Name]],Target[SS 2],1,FALSE),"Delete")</f>
        <v>NIDHI SALES</v>
      </c>
      <c r="B178" s="60">
        <f ca="1">IFERROR(VLOOKUP(Data_Base[[#This Row],[Item Sub Category]],Table2[[Sub Category]:[Billing Group]],3,0),99)</f>
        <v>44</v>
      </c>
      <c r="C178" s="167" t="str">
        <f>VLOOKUP(Data_Base[[#This Row],[Item Description]],Table2[[Item Name]:[Sub Category]],6,0)</f>
        <v>Marie Lite -10</v>
      </c>
      <c r="D178" s="60" t="s">
        <v>893</v>
      </c>
      <c r="E178" s="60" t="s">
        <v>82</v>
      </c>
      <c r="F178" s="168" t="s">
        <v>1727</v>
      </c>
      <c r="G178" s="169" t="s">
        <v>1728</v>
      </c>
      <c r="H178" s="170" t="s">
        <v>1729</v>
      </c>
      <c r="I178" s="171" t="s">
        <v>980</v>
      </c>
      <c r="J178" s="172" t="s">
        <v>462</v>
      </c>
      <c r="K178" s="173" t="s">
        <v>463</v>
      </c>
      <c r="L178" s="174" t="s">
        <v>0</v>
      </c>
      <c r="M178" s="175" t="s">
        <v>208</v>
      </c>
      <c r="N178" s="176">
        <v>23.6233</v>
      </c>
      <c r="O178" s="177">
        <v>0</v>
      </c>
      <c r="P178" s="178">
        <v>23.6233</v>
      </c>
      <c r="Q178" s="179">
        <v>0</v>
      </c>
      <c r="R178" s="180">
        <v>23.6233</v>
      </c>
    </row>
    <row r="179" spans="1:18" ht="17">
      <c r="A179" s="60" t="str">
        <f>IFERROR(VLOOKUP(Data_Base[[#This Row],[Distributor Name]],Target[SS 2],1,FALSE),"Delete")</f>
        <v>NIDHI SALES</v>
      </c>
      <c r="B179" s="60">
        <f ca="1">IFERROR(VLOOKUP(Data_Base[[#This Row],[Item Sub Category]],Table2[[Sub Category]:[Billing Group]],3,0),99)</f>
        <v>44</v>
      </c>
      <c r="C179" s="167" t="str">
        <f>VLOOKUP(Data_Base[[#This Row],[Item Description]],Table2[[Item Name]:[Sub Category]],6,0)</f>
        <v>Marie Lite -10</v>
      </c>
      <c r="D179" s="60" t="s">
        <v>893</v>
      </c>
      <c r="E179" s="60" t="s">
        <v>82</v>
      </c>
      <c r="F179" s="168" t="s">
        <v>1727</v>
      </c>
      <c r="G179" s="169" t="s">
        <v>1728</v>
      </c>
      <c r="H179" s="170" t="s">
        <v>1729</v>
      </c>
      <c r="I179" s="171" t="s">
        <v>980</v>
      </c>
      <c r="J179" s="172" t="s">
        <v>206</v>
      </c>
      <c r="K179" s="173" t="s">
        <v>207</v>
      </c>
      <c r="L179" s="174" t="s">
        <v>0</v>
      </c>
      <c r="M179" s="175" t="s">
        <v>208</v>
      </c>
      <c r="N179" s="176">
        <v>0</v>
      </c>
      <c r="O179" s="177">
        <v>0</v>
      </c>
      <c r="P179" s="178">
        <v>90</v>
      </c>
      <c r="Q179" s="179">
        <v>60</v>
      </c>
      <c r="R179" s="180">
        <v>30</v>
      </c>
    </row>
    <row r="180" spans="1:18" ht="17">
      <c r="A180" s="60" t="str">
        <f>IFERROR(VLOOKUP(Data_Base[[#This Row],[Distributor Name]],Target[SS 2],1,FALSE),"Delete")</f>
        <v>NIDHI SALES</v>
      </c>
      <c r="B180" s="60">
        <f ca="1">IFERROR(VLOOKUP(Data_Base[[#This Row],[Item Sub Category]],Table2[[Sub Category]:[Billing Group]],3,0),99)</f>
        <v>52</v>
      </c>
      <c r="C180" s="167" t="str">
        <f>VLOOKUP(Data_Base[[#This Row],[Item Description]],Table2[[Item Name]:[Sub Category]],6,0)</f>
        <v>C.N.C. - F.P.</v>
      </c>
      <c r="D180" s="60" t="s">
        <v>893</v>
      </c>
      <c r="E180" s="60" t="s">
        <v>82</v>
      </c>
      <c r="F180" s="168" t="s">
        <v>1727</v>
      </c>
      <c r="G180" s="169" t="s">
        <v>1728</v>
      </c>
      <c r="H180" s="170" t="s">
        <v>1729</v>
      </c>
      <c r="I180" s="171" t="s">
        <v>980</v>
      </c>
      <c r="J180" s="172" t="s">
        <v>346</v>
      </c>
      <c r="K180" s="173" t="s">
        <v>347</v>
      </c>
      <c r="L180" s="174" t="s">
        <v>0</v>
      </c>
      <c r="M180" s="175" t="s">
        <v>348</v>
      </c>
      <c r="N180" s="176">
        <v>6.1199999999999997E-2</v>
      </c>
      <c r="O180" s="177">
        <v>0</v>
      </c>
      <c r="P180" s="178">
        <v>6.1199999999999997E-2</v>
      </c>
      <c r="Q180" s="179">
        <v>0</v>
      </c>
      <c r="R180" s="180">
        <v>6.1199999999999997E-2</v>
      </c>
    </row>
    <row r="181" spans="1:18" ht="17">
      <c r="A181" s="60" t="str">
        <f>IFERROR(VLOOKUP(Data_Base[[#This Row],[Distributor Name]],Target[SS 2],1,FALSE),"Delete")</f>
        <v>NIDHI SALES</v>
      </c>
      <c r="B181" s="60">
        <f ca="1">IFERROR(VLOOKUP(Data_Base[[#This Row],[Item Sub Category]],Table2[[Sub Category]:[Billing Group]],3,0),99)</f>
        <v>13</v>
      </c>
      <c r="C181" s="167" t="str">
        <f>VLOOKUP(Data_Base[[#This Row],[Item Description]],Table2[[Item Name]:[Sub Category]],6,0)</f>
        <v>Chooo Chekkers-.5/-</v>
      </c>
      <c r="D181" s="60" t="s">
        <v>893</v>
      </c>
      <c r="E181" s="60" t="s">
        <v>82</v>
      </c>
      <c r="F181" s="168" t="s">
        <v>1727</v>
      </c>
      <c r="G181" s="169" t="s">
        <v>1728</v>
      </c>
      <c r="H181" s="170" t="s">
        <v>1729</v>
      </c>
      <c r="I181" s="171" t="s">
        <v>980</v>
      </c>
      <c r="J181" s="172" t="s">
        <v>635</v>
      </c>
      <c r="K181" s="173" t="s">
        <v>636</v>
      </c>
      <c r="L181" s="174" t="s">
        <v>0</v>
      </c>
      <c r="M181" s="175" t="s">
        <v>106</v>
      </c>
      <c r="N181" s="176">
        <v>30</v>
      </c>
      <c r="O181" s="177">
        <v>0</v>
      </c>
      <c r="P181" s="178">
        <v>116</v>
      </c>
      <c r="Q181" s="179">
        <v>23</v>
      </c>
      <c r="R181" s="180">
        <v>93</v>
      </c>
    </row>
    <row r="182" spans="1:18" ht="17">
      <c r="A182" s="60" t="str">
        <f>IFERROR(VLOOKUP(Data_Base[[#This Row],[Distributor Name]],Target[SS 2],1,FALSE),"Delete")</f>
        <v>NIDHI SALES</v>
      </c>
      <c r="B182" s="60">
        <f ca="1">IFERROR(VLOOKUP(Data_Base[[#This Row],[Item Sub Category]],Table2[[Sub Category]:[Billing Group]],3,0),99)</f>
        <v>14</v>
      </c>
      <c r="C182" s="167" t="str">
        <f>VLOOKUP(Data_Base[[#This Row],[Item Description]],Table2[[Item Name]:[Sub Category]],6,0)</f>
        <v>Chooo Chekkers-.10/-</v>
      </c>
      <c r="D182" s="60" t="s">
        <v>893</v>
      </c>
      <c r="E182" s="60" t="s">
        <v>82</v>
      </c>
      <c r="F182" s="168" t="s">
        <v>1727</v>
      </c>
      <c r="G182" s="169" t="s">
        <v>1728</v>
      </c>
      <c r="H182" s="170" t="s">
        <v>1729</v>
      </c>
      <c r="I182" s="171" t="s">
        <v>980</v>
      </c>
      <c r="J182" s="172" t="s">
        <v>405</v>
      </c>
      <c r="K182" s="173" t="s">
        <v>406</v>
      </c>
      <c r="L182" s="174" t="s">
        <v>0</v>
      </c>
      <c r="M182" s="175" t="s">
        <v>109</v>
      </c>
      <c r="N182" s="176">
        <v>-0.13500000000000001</v>
      </c>
      <c r="O182" s="177">
        <v>0</v>
      </c>
      <c r="P182" s="178">
        <v>-0.13500000000000001</v>
      </c>
      <c r="Q182" s="179">
        <v>0</v>
      </c>
      <c r="R182" s="180">
        <v>-0.13500000000000001</v>
      </c>
    </row>
    <row r="183" spans="1:18" ht="17">
      <c r="A183" s="60" t="str">
        <f>IFERROR(VLOOKUP(Data_Base[[#This Row],[Distributor Name]],Target[SS 2],1,FALSE),"Delete")</f>
        <v>NIDHI SALES</v>
      </c>
      <c r="B183" s="60">
        <f ca="1">IFERROR(VLOOKUP(Data_Base[[#This Row],[Item Sub Category]],Table2[[Sub Category]:[Billing Group]],3,0),99)</f>
        <v>148</v>
      </c>
      <c r="C183" s="167" t="str">
        <f>VLOOKUP(Data_Base[[#This Row],[Item Description]],Table2[[Item Name]:[Sub Category]],6,0)</f>
        <v>TOFFITO Jar</v>
      </c>
      <c r="D183" s="60" t="s">
        <v>893</v>
      </c>
      <c r="E183" s="60" t="s">
        <v>82</v>
      </c>
      <c r="F183" s="168" t="s">
        <v>1727</v>
      </c>
      <c r="G183" s="169" t="s">
        <v>1728</v>
      </c>
      <c r="H183" s="170" t="s">
        <v>1729</v>
      </c>
      <c r="I183" s="171" t="s">
        <v>980</v>
      </c>
      <c r="J183" s="172" t="s">
        <v>694</v>
      </c>
      <c r="K183" s="173" t="s">
        <v>695</v>
      </c>
      <c r="L183" s="174" t="s">
        <v>16</v>
      </c>
      <c r="M183" s="175" t="s">
        <v>472</v>
      </c>
      <c r="N183" s="176">
        <v>8.0417000000000005</v>
      </c>
      <c r="O183" s="177">
        <v>0</v>
      </c>
      <c r="P183" s="178">
        <v>13.041700000000001</v>
      </c>
      <c r="Q183" s="179">
        <v>0</v>
      </c>
      <c r="R183" s="180">
        <v>13.041700000000001</v>
      </c>
    </row>
    <row r="184" spans="1:18" ht="17">
      <c r="A184" s="60" t="str">
        <f>IFERROR(VLOOKUP(Data_Base[[#This Row],[Distributor Name]],Target[SS 2],1,FALSE),"Delete")</f>
        <v>NIDHI SALES</v>
      </c>
      <c r="B184" s="60">
        <f>IFERROR(VLOOKUP(Data_Base[[#This Row],[Item Sub Category]],Table2[[Sub Category]:[Billing Group]],3,0),99)</f>
        <v>85</v>
      </c>
      <c r="C184" s="167" t="str">
        <f>VLOOKUP(Data_Base[[#This Row],[Item Description]],Table2[[Item Name]:[Sub Category]],6,0)</f>
        <v>Milky Brust-.5/-</v>
      </c>
      <c r="D184" s="60" t="s">
        <v>893</v>
      </c>
      <c r="E184" s="60" t="s">
        <v>82</v>
      </c>
      <c r="F184" s="168" t="s">
        <v>1727</v>
      </c>
      <c r="G184" s="169" t="s">
        <v>1728</v>
      </c>
      <c r="H184" s="170" t="s">
        <v>1729</v>
      </c>
      <c r="I184" s="171" t="s">
        <v>980</v>
      </c>
      <c r="J184" s="172" t="s">
        <v>956</v>
      </c>
      <c r="K184" s="173" t="s">
        <v>957</v>
      </c>
      <c r="L184" s="174" t="s">
        <v>0</v>
      </c>
      <c r="M184" s="175" t="s">
        <v>958</v>
      </c>
      <c r="N184" s="176">
        <v>1.24E-2</v>
      </c>
      <c r="O184" s="177">
        <v>0</v>
      </c>
      <c r="P184" s="178">
        <v>1.24E-2</v>
      </c>
      <c r="Q184" s="179">
        <v>0</v>
      </c>
      <c r="R184" s="180">
        <v>1.24E-2</v>
      </c>
    </row>
    <row r="185" spans="1:18" ht="17">
      <c r="A185" s="60" t="str">
        <f>IFERROR(VLOOKUP(Data_Base[[#This Row],[Distributor Name]],Target[SS 2],1,FALSE),"Delete")</f>
        <v>J.K. BROTHERS</v>
      </c>
      <c r="B185" s="60">
        <f ca="1">IFERROR(VLOOKUP(Data_Base[[#This Row],[Item Sub Category]],Table2[[Sub Category]:[Billing Group]],3,0),99)</f>
        <v>47</v>
      </c>
      <c r="C185" s="167" t="str">
        <f>VLOOKUP(Data_Base[[#This Row],[Item Description]],Table2[[Item Name]:[Sub Category]],6,0)</f>
        <v>Snacks - 5</v>
      </c>
      <c r="D185" s="60" t="s">
        <v>893</v>
      </c>
      <c r="E185" s="60" t="s">
        <v>82</v>
      </c>
      <c r="F185" s="168" t="s">
        <v>1607</v>
      </c>
      <c r="G185" s="169" t="s">
        <v>1608</v>
      </c>
      <c r="H185" s="170" t="s">
        <v>1609</v>
      </c>
      <c r="I185" s="171" t="s">
        <v>980</v>
      </c>
      <c r="J185" s="172" t="s">
        <v>349</v>
      </c>
      <c r="K185" s="173" t="s">
        <v>350</v>
      </c>
      <c r="L185" s="174" t="s">
        <v>0</v>
      </c>
      <c r="M185" s="175" t="s">
        <v>211</v>
      </c>
      <c r="N185" s="176">
        <v>1</v>
      </c>
      <c r="O185" s="177">
        <v>0</v>
      </c>
      <c r="P185" s="178">
        <v>1</v>
      </c>
      <c r="Q185" s="179">
        <v>1</v>
      </c>
      <c r="R185" s="180">
        <v>0</v>
      </c>
    </row>
    <row r="186" spans="1:18" ht="17">
      <c r="A186" s="60" t="str">
        <f>IFERROR(VLOOKUP(Data_Base[[#This Row],[Distributor Name]],Target[SS 2],1,FALSE),"Delete")</f>
        <v>J.K. BROTHERS</v>
      </c>
      <c r="B186" s="60">
        <f ca="1">IFERROR(VLOOKUP(Data_Base[[#This Row],[Item Sub Category]],Table2[[Sub Category]:[Billing Group]],3,0),99)</f>
        <v>39</v>
      </c>
      <c r="C186" s="167" t="str">
        <f>VLOOKUP(Data_Base[[#This Row],[Item Description]],Table2[[Item Name]:[Sub Category]],6,0)</f>
        <v>Puff Crme - Lemon -5</v>
      </c>
      <c r="D186" s="60" t="s">
        <v>893</v>
      </c>
      <c r="E186" s="60" t="s">
        <v>82</v>
      </c>
      <c r="F186" s="168" t="s">
        <v>1607</v>
      </c>
      <c r="G186" s="169" t="s">
        <v>1608</v>
      </c>
      <c r="H186" s="170" t="s">
        <v>1609</v>
      </c>
      <c r="I186" s="171" t="s">
        <v>980</v>
      </c>
      <c r="J186" s="172" t="s">
        <v>83</v>
      </c>
      <c r="K186" s="173" t="s">
        <v>84</v>
      </c>
      <c r="L186" s="174" t="s">
        <v>0</v>
      </c>
      <c r="M186" s="175" t="s">
        <v>85</v>
      </c>
      <c r="N186" s="176">
        <v>1108</v>
      </c>
      <c r="O186" s="177">
        <v>0</v>
      </c>
      <c r="P186" s="178">
        <v>1108</v>
      </c>
      <c r="Q186" s="179">
        <v>1006</v>
      </c>
      <c r="R186" s="180">
        <v>102</v>
      </c>
    </row>
    <row r="187" spans="1:18" ht="17">
      <c r="A187" s="60" t="str">
        <f>IFERROR(VLOOKUP(Data_Base[[#This Row],[Distributor Name]],Target[SS 2],1,FALSE),"Delete")</f>
        <v>J.K. BROTHERS</v>
      </c>
      <c r="B187" s="60">
        <f ca="1">IFERROR(VLOOKUP(Data_Base[[#This Row],[Item Sub Category]],Table2[[Sub Category]:[Billing Group]],3,0),99)</f>
        <v>81</v>
      </c>
      <c r="C187" s="167" t="str">
        <f>VLOOKUP(Data_Base[[#This Row],[Item Description]],Table2[[Item Name]:[Sub Category]],6,0)</f>
        <v>Trojan-ATC</v>
      </c>
      <c r="D187" s="60" t="s">
        <v>893</v>
      </c>
      <c r="E187" s="60" t="s">
        <v>82</v>
      </c>
      <c r="F187" s="168" t="s">
        <v>1607</v>
      </c>
      <c r="G187" s="169" t="s">
        <v>1608</v>
      </c>
      <c r="H187" s="170" t="s">
        <v>1609</v>
      </c>
      <c r="I187" s="171" t="s">
        <v>980</v>
      </c>
      <c r="J187" s="172" t="s">
        <v>86</v>
      </c>
      <c r="K187" s="173" t="s">
        <v>87</v>
      </c>
      <c r="L187" s="174" t="s">
        <v>0</v>
      </c>
      <c r="M187" s="175" t="s">
        <v>88</v>
      </c>
      <c r="N187" s="176">
        <v>6</v>
      </c>
      <c r="O187" s="177">
        <v>0</v>
      </c>
      <c r="P187" s="178">
        <v>6</v>
      </c>
      <c r="Q187" s="179">
        <v>0</v>
      </c>
      <c r="R187" s="180">
        <v>6</v>
      </c>
    </row>
    <row r="188" spans="1:18" ht="17">
      <c r="A188" s="60" t="str">
        <f>IFERROR(VLOOKUP(Data_Base[[#This Row],[Distributor Name]],Target[SS 2],1,FALSE),"Delete")</f>
        <v>J.K. BROTHERS</v>
      </c>
      <c r="B188" s="60">
        <f ca="1">IFERROR(VLOOKUP(Data_Base[[#This Row],[Item Sub Category]],Table2[[Sub Category]:[Billing Group]],3,0),99)</f>
        <v>3</v>
      </c>
      <c r="C188" s="167" t="str">
        <f>VLOOKUP(Data_Base[[#This Row],[Item Description]],Table2[[Item Name]:[Sub Category]],6,0)</f>
        <v>Butter Bite -.10/-</v>
      </c>
      <c r="D188" s="60" t="s">
        <v>893</v>
      </c>
      <c r="E188" s="60" t="s">
        <v>82</v>
      </c>
      <c r="F188" s="168" t="s">
        <v>1607</v>
      </c>
      <c r="G188" s="169" t="s">
        <v>1608</v>
      </c>
      <c r="H188" s="170" t="s">
        <v>1609</v>
      </c>
      <c r="I188" s="171" t="s">
        <v>980</v>
      </c>
      <c r="J188" s="172" t="s">
        <v>89</v>
      </c>
      <c r="K188" s="173" t="s">
        <v>90</v>
      </c>
      <c r="L188" s="174" t="s">
        <v>0</v>
      </c>
      <c r="M188" s="175" t="s">
        <v>91</v>
      </c>
      <c r="N188" s="176">
        <v>1</v>
      </c>
      <c r="O188" s="177">
        <v>0</v>
      </c>
      <c r="P188" s="178">
        <v>1</v>
      </c>
      <c r="Q188" s="179">
        <v>0</v>
      </c>
      <c r="R188" s="180">
        <v>1</v>
      </c>
    </row>
    <row r="189" spans="1:18" ht="17">
      <c r="A189" s="60" t="str">
        <f>IFERROR(VLOOKUP(Data_Base[[#This Row],[Distributor Name]],Target[SS 2],1,FALSE),"Delete")</f>
        <v>J.K. BROTHERS</v>
      </c>
      <c r="B189" s="60">
        <f ca="1">IFERROR(VLOOKUP(Data_Base[[#This Row],[Item Sub Category]],Table2[[Sub Category]:[Billing Group]],3,0),99)</f>
        <v>4</v>
      </c>
      <c r="C189" s="167" t="str">
        <f>VLOOKUP(Data_Base[[#This Row],[Item Description]],Table2[[Item Name]:[Sub Category]],6,0)</f>
        <v>Butter Bite -.20/-</v>
      </c>
      <c r="D189" s="60" t="s">
        <v>893</v>
      </c>
      <c r="E189" s="60" t="s">
        <v>82</v>
      </c>
      <c r="F189" s="168" t="s">
        <v>1607</v>
      </c>
      <c r="G189" s="169" t="s">
        <v>1608</v>
      </c>
      <c r="H189" s="170" t="s">
        <v>1609</v>
      </c>
      <c r="I189" s="171" t="s">
        <v>980</v>
      </c>
      <c r="J189" s="172" t="s">
        <v>92</v>
      </c>
      <c r="K189" s="173" t="s">
        <v>93</v>
      </c>
      <c r="L189" s="174" t="s">
        <v>0</v>
      </c>
      <c r="M189" s="175" t="s">
        <v>94</v>
      </c>
      <c r="N189" s="176">
        <v>83</v>
      </c>
      <c r="O189" s="177">
        <v>0</v>
      </c>
      <c r="P189" s="178">
        <v>83</v>
      </c>
      <c r="Q189" s="179">
        <v>81</v>
      </c>
      <c r="R189" s="180">
        <v>2</v>
      </c>
    </row>
    <row r="190" spans="1:18" ht="17">
      <c r="A190" s="60" t="str">
        <f>IFERROR(VLOOKUP(Data_Base[[#This Row],[Distributor Name]],Target[SS 2],1,FALSE),"Delete")</f>
        <v>J.K. BROTHERS</v>
      </c>
      <c r="B190" s="60">
        <f ca="1">IFERROR(VLOOKUP(Data_Base[[#This Row],[Item Sub Category]],Table2[[Sub Category]:[Billing Group]],3,0),99)</f>
        <v>7</v>
      </c>
      <c r="C190" s="167" t="str">
        <f>VLOOKUP(Data_Base[[#This Row],[Item Description]],Table2[[Item Name]:[Sub Category]],6,0)</f>
        <v>B.B Cashew -10</v>
      </c>
      <c r="D190" s="60" t="s">
        <v>893</v>
      </c>
      <c r="E190" s="60" t="s">
        <v>82</v>
      </c>
      <c r="F190" s="168" t="s">
        <v>1607</v>
      </c>
      <c r="G190" s="169" t="s">
        <v>1608</v>
      </c>
      <c r="H190" s="170" t="s">
        <v>1609</v>
      </c>
      <c r="I190" s="171" t="s">
        <v>980</v>
      </c>
      <c r="J190" s="172" t="s">
        <v>95</v>
      </c>
      <c r="K190" s="173" t="s">
        <v>96</v>
      </c>
      <c r="L190" s="174" t="s">
        <v>0</v>
      </c>
      <c r="M190" s="175" t="s">
        <v>97</v>
      </c>
      <c r="N190" s="176">
        <v>9</v>
      </c>
      <c r="O190" s="177">
        <v>0</v>
      </c>
      <c r="P190" s="178">
        <v>9</v>
      </c>
      <c r="Q190" s="179">
        <v>0</v>
      </c>
      <c r="R190" s="180">
        <v>9</v>
      </c>
    </row>
    <row r="191" spans="1:18" ht="17">
      <c r="A191" s="60" t="str">
        <f>IFERROR(VLOOKUP(Data_Base[[#This Row],[Distributor Name]],Target[SS 2],1,FALSE),"Delete")</f>
        <v>J.K. BROTHERS</v>
      </c>
      <c r="B191" s="60">
        <f ca="1">IFERROR(VLOOKUP(Data_Base[[#This Row],[Item Sub Category]],Table2[[Sub Category]:[Billing Group]],3,0),99)</f>
        <v>11</v>
      </c>
      <c r="C191" s="167" t="str">
        <f>VLOOKUP(Data_Base[[#This Row],[Item Description]],Table2[[Item Name]:[Sub Category]],6,0)</f>
        <v>Butter Lite Jeera-.10/-</v>
      </c>
      <c r="D191" s="60" t="s">
        <v>893</v>
      </c>
      <c r="E191" s="60" t="s">
        <v>82</v>
      </c>
      <c r="F191" s="168" t="s">
        <v>1607</v>
      </c>
      <c r="G191" s="169" t="s">
        <v>1608</v>
      </c>
      <c r="H191" s="170" t="s">
        <v>1609</v>
      </c>
      <c r="I191" s="171" t="s">
        <v>980</v>
      </c>
      <c r="J191" s="172" t="s">
        <v>101</v>
      </c>
      <c r="K191" s="173" t="s">
        <v>102</v>
      </c>
      <c r="L191" s="174" t="s">
        <v>0</v>
      </c>
      <c r="M191" s="175" t="s">
        <v>103</v>
      </c>
      <c r="N191" s="176">
        <v>6</v>
      </c>
      <c r="O191" s="177">
        <v>0</v>
      </c>
      <c r="P191" s="178">
        <v>6</v>
      </c>
      <c r="Q191" s="179">
        <v>0</v>
      </c>
      <c r="R191" s="180">
        <v>6</v>
      </c>
    </row>
    <row r="192" spans="1:18" ht="17">
      <c r="A192" s="60" t="str">
        <f>IFERROR(VLOOKUP(Data_Base[[#This Row],[Distributor Name]],Target[SS 2],1,FALSE),"Delete")</f>
        <v>J.K. BROTHERS</v>
      </c>
      <c r="B192" s="60">
        <f ca="1">IFERROR(VLOOKUP(Data_Base[[#This Row],[Item Sub Category]],Table2[[Sub Category]:[Billing Group]],3,0),99)</f>
        <v>12</v>
      </c>
      <c r="C192" s="167" t="str">
        <f>VLOOKUP(Data_Base[[#This Row],[Item Description]],Table2[[Item Name]:[Sub Category]],6,0)</f>
        <v>Butter Lite Jeera-.20/-</v>
      </c>
      <c r="D192" s="60" t="s">
        <v>893</v>
      </c>
      <c r="E192" s="60" t="s">
        <v>82</v>
      </c>
      <c r="F192" s="168" t="s">
        <v>1607</v>
      </c>
      <c r="G192" s="169" t="s">
        <v>1608</v>
      </c>
      <c r="H192" s="170" t="s">
        <v>1609</v>
      </c>
      <c r="I192" s="171" t="s">
        <v>980</v>
      </c>
      <c r="J192" s="172" t="s">
        <v>311</v>
      </c>
      <c r="K192" s="173" t="s">
        <v>312</v>
      </c>
      <c r="L192" s="174" t="s">
        <v>0</v>
      </c>
      <c r="M192" s="175" t="s">
        <v>313</v>
      </c>
      <c r="N192" s="176">
        <v>3</v>
      </c>
      <c r="O192" s="177">
        <v>0</v>
      </c>
      <c r="P192" s="178">
        <v>3</v>
      </c>
      <c r="Q192" s="179">
        <v>0</v>
      </c>
      <c r="R192" s="180">
        <v>3</v>
      </c>
    </row>
    <row r="193" spans="1:18" ht="17">
      <c r="A193" s="60" t="str">
        <f>IFERROR(VLOOKUP(Data_Base[[#This Row],[Distributor Name]],Target[SS 2],1,FALSE),"Delete")</f>
        <v>J.K. BROTHERS</v>
      </c>
      <c r="B193" s="60">
        <f ca="1">IFERROR(VLOOKUP(Data_Base[[#This Row],[Item Sub Category]],Table2[[Sub Category]:[Billing Group]],3,0),99)</f>
        <v>13</v>
      </c>
      <c r="C193" s="167" t="str">
        <f>VLOOKUP(Data_Base[[#This Row],[Item Description]],Table2[[Item Name]:[Sub Category]],6,0)</f>
        <v>Chooo Chekkers-.5/-</v>
      </c>
      <c r="D193" s="60" t="s">
        <v>893</v>
      </c>
      <c r="E193" s="60" t="s">
        <v>82</v>
      </c>
      <c r="F193" s="168" t="s">
        <v>1607</v>
      </c>
      <c r="G193" s="169" t="s">
        <v>1608</v>
      </c>
      <c r="H193" s="170" t="s">
        <v>1609</v>
      </c>
      <c r="I193" s="171" t="s">
        <v>980</v>
      </c>
      <c r="J193" s="172" t="s">
        <v>104</v>
      </c>
      <c r="K193" s="173" t="s">
        <v>105</v>
      </c>
      <c r="L193" s="174" t="s">
        <v>0</v>
      </c>
      <c r="M193" s="175" t="s">
        <v>106</v>
      </c>
      <c r="N193" s="176">
        <v>2</v>
      </c>
      <c r="O193" s="177">
        <v>0</v>
      </c>
      <c r="P193" s="178">
        <v>2</v>
      </c>
      <c r="Q193" s="179">
        <v>0</v>
      </c>
      <c r="R193" s="180">
        <v>2</v>
      </c>
    </row>
    <row r="194" spans="1:18" ht="17">
      <c r="A194" s="60" t="str">
        <f>IFERROR(VLOOKUP(Data_Base[[#This Row],[Distributor Name]],Target[SS 2],1,FALSE),"Delete")</f>
        <v>J.K. BROTHERS</v>
      </c>
      <c r="B194" s="60">
        <f ca="1">IFERROR(VLOOKUP(Data_Base[[#This Row],[Item Sub Category]],Table2[[Sub Category]:[Billing Group]],3,0),99)</f>
        <v>14</v>
      </c>
      <c r="C194" s="167" t="str">
        <f>VLOOKUP(Data_Base[[#This Row],[Item Description]],Table2[[Item Name]:[Sub Category]],6,0)</f>
        <v>Chooo Chekkers-.10/-</v>
      </c>
      <c r="D194" s="60" t="s">
        <v>893</v>
      </c>
      <c r="E194" s="60" t="s">
        <v>82</v>
      </c>
      <c r="F194" s="168" t="s">
        <v>1607</v>
      </c>
      <c r="G194" s="169" t="s">
        <v>1608</v>
      </c>
      <c r="H194" s="170" t="s">
        <v>1609</v>
      </c>
      <c r="I194" s="171" t="s">
        <v>980</v>
      </c>
      <c r="J194" s="172" t="s">
        <v>107</v>
      </c>
      <c r="K194" s="173" t="s">
        <v>108</v>
      </c>
      <c r="L194" s="174" t="s">
        <v>0</v>
      </c>
      <c r="M194" s="175" t="s">
        <v>109</v>
      </c>
      <c r="N194" s="176">
        <v>1</v>
      </c>
      <c r="O194" s="177">
        <v>0</v>
      </c>
      <c r="P194" s="178">
        <v>1</v>
      </c>
      <c r="Q194" s="179">
        <v>0</v>
      </c>
      <c r="R194" s="180">
        <v>1</v>
      </c>
    </row>
    <row r="195" spans="1:18" ht="17">
      <c r="A195" s="60" t="str">
        <f>IFERROR(VLOOKUP(Data_Base[[#This Row],[Distributor Name]],Target[SS 2],1,FALSE),"Delete")</f>
        <v>J.K. BROTHERS</v>
      </c>
      <c r="B195" s="60">
        <f ca="1">IFERROR(VLOOKUP(Data_Base[[#This Row],[Item Sub Category]],Table2[[Sub Category]:[Billing Group]],3,0),99)</f>
        <v>15</v>
      </c>
      <c r="C195" s="167" t="str">
        <f>VLOOKUP(Data_Base[[#This Row],[Item Description]],Table2[[Item Name]:[Sub Category]],6,0)</f>
        <v>Chooo Chekkers-.20/-</v>
      </c>
      <c r="D195" s="60" t="s">
        <v>893</v>
      </c>
      <c r="E195" s="60" t="s">
        <v>82</v>
      </c>
      <c r="F195" s="168" t="s">
        <v>1607</v>
      </c>
      <c r="G195" s="169" t="s">
        <v>1608</v>
      </c>
      <c r="H195" s="170" t="s">
        <v>1609</v>
      </c>
      <c r="I195" s="171" t="s">
        <v>980</v>
      </c>
      <c r="J195" s="172" t="s">
        <v>353</v>
      </c>
      <c r="K195" s="173" t="s">
        <v>354</v>
      </c>
      <c r="L195" s="174" t="s">
        <v>0</v>
      </c>
      <c r="M195" s="175" t="s">
        <v>340</v>
      </c>
      <c r="N195" s="176">
        <v>20</v>
      </c>
      <c r="O195" s="177">
        <v>0</v>
      </c>
      <c r="P195" s="178">
        <v>20</v>
      </c>
      <c r="Q195" s="179">
        <v>0</v>
      </c>
      <c r="R195" s="180">
        <v>20</v>
      </c>
    </row>
    <row r="196" spans="1:18" ht="17">
      <c r="A196" s="60" t="str">
        <f>IFERROR(VLOOKUP(Data_Base[[#This Row],[Distributor Name]],Target[SS 2],1,FALSE),"Delete")</f>
        <v>J.K. BROTHERS</v>
      </c>
      <c r="B196" s="60">
        <f ca="1">IFERROR(VLOOKUP(Data_Base[[#This Row],[Item Sub Category]],Table2[[Sub Category]:[Billing Group]],3,0),99)</f>
        <v>23</v>
      </c>
      <c r="C196" s="167" t="str">
        <f>VLOOKUP(Data_Base[[#This Row],[Item Description]],Table2[[Item Name]:[Sub Category]],6,0)</f>
        <v>Snakker Creme-.20/-</v>
      </c>
      <c r="D196" s="60" t="s">
        <v>893</v>
      </c>
      <c r="E196" s="60" t="s">
        <v>82</v>
      </c>
      <c r="F196" s="168" t="s">
        <v>1607</v>
      </c>
      <c r="G196" s="169" t="s">
        <v>1608</v>
      </c>
      <c r="H196" s="170" t="s">
        <v>1609</v>
      </c>
      <c r="I196" s="171" t="s">
        <v>980</v>
      </c>
      <c r="J196" s="172" t="s">
        <v>483</v>
      </c>
      <c r="K196" s="173" t="s">
        <v>484</v>
      </c>
      <c r="L196" s="174" t="s">
        <v>0</v>
      </c>
      <c r="M196" s="175" t="s">
        <v>485</v>
      </c>
      <c r="N196" s="176">
        <v>15</v>
      </c>
      <c r="O196" s="177">
        <v>0</v>
      </c>
      <c r="P196" s="178">
        <v>15</v>
      </c>
      <c r="Q196" s="179">
        <v>0</v>
      </c>
      <c r="R196" s="180">
        <v>15</v>
      </c>
    </row>
    <row r="197" spans="1:18" ht="17">
      <c r="A197" s="60" t="str">
        <f>IFERROR(VLOOKUP(Data_Base[[#This Row],[Distributor Name]],Target[SS 2],1,FALSE),"Delete")</f>
        <v>J.K. BROTHERS</v>
      </c>
      <c r="B197" s="60">
        <f ca="1">IFERROR(VLOOKUP(Data_Base[[#This Row],[Item Sub Category]],Table2[[Sub Category]:[Billing Group]],3,0),99)</f>
        <v>24</v>
      </c>
      <c r="C197" s="167" t="str">
        <f>VLOOKUP(Data_Base[[#This Row],[Item Description]],Table2[[Item Name]:[Sub Category]],6,0)</f>
        <v>Bourbon-.10/-</v>
      </c>
      <c r="D197" s="60" t="s">
        <v>893</v>
      </c>
      <c r="E197" s="60" t="s">
        <v>82</v>
      </c>
      <c r="F197" s="168" t="s">
        <v>1607</v>
      </c>
      <c r="G197" s="169" t="s">
        <v>1608</v>
      </c>
      <c r="H197" s="170" t="s">
        <v>1609</v>
      </c>
      <c r="I197" s="171" t="s">
        <v>980</v>
      </c>
      <c r="J197" s="172" t="s">
        <v>110</v>
      </c>
      <c r="K197" s="173" t="s">
        <v>111</v>
      </c>
      <c r="L197" s="174" t="s">
        <v>0</v>
      </c>
      <c r="M197" s="175" t="s">
        <v>112</v>
      </c>
      <c r="N197" s="176">
        <v>34</v>
      </c>
      <c r="O197" s="177">
        <v>0</v>
      </c>
      <c r="P197" s="178">
        <v>34</v>
      </c>
      <c r="Q197" s="179">
        <v>30</v>
      </c>
      <c r="R197" s="180">
        <v>4</v>
      </c>
    </row>
    <row r="198" spans="1:18" ht="17">
      <c r="A198" s="60" t="str">
        <f>IFERROR(VLOOKUP(Data_Base[[#This Row],[Distributor Name]],Target[SS 2],1,FALSE),"Delete")</f>
        <v>J.K. BROTHERS</v>
      </c>
      <c r="B198" s="60">
        <f ca="1">IFERROR(VLOOKUP(Data_Base[[#This Row],[Item Sub Category]],Table2[[Sub Category]:[Billing Group]],3,0),99)</f>
        <v>35</v>
      </c>
      <c r="C198" s="167" t="str">
        <f>VLOOKUP(Data_Base[[#This Row],[Item Description]],Table2[[Item Name]:[Sub Category]],6,0)</f>
        <v>Puff Crme - Choco -5</v>
      </c>
      <c r="D198" s="60" t="s">
        <v>893</v>
      </c>
      <c r="E198" s="60" t="s">
        <v>82</v>
      </c>
      <c r="F198" s="168" t="s">
        <v>1607</v>
      </c>
      <c r="G198" s="169" t="s">
        <v>1608</v>
      </c>
      <c r="H198" s="170" t="s">
        <v>1609</v>
      </c>
      <c r="I198" s="171" t="s">
        <v>980</v>
      </c>
      <c r="J198" s="172" t="s">
        <v>113</v>
      </c>
      <c r="K198" s="173" t="s">
        <v>114</v>
      </c>
      <c r="L198" s="174" t="s">
        <v>0</v>
      </c>
      <c r="M198" s="175" t="s">
        <v>115</v>
      </c>
      <c r="N198" s="176">
        <v>390</v>
      </c>
      <c r="O198" s="177">
        <v>0</v>
      </c>
      <c r="P198" s="178">
        <v>390</v>
      </c>
      <c r="Q198" s="179">
        <v>379</v>
      </c>
      <c r="R198" s="180">
        <v>11</v>
      </c>
    </row>
    <row r="199" spans="1:18" ht="17">
      <c r="A199" s="60" t="str">
        <f>IFERROR(VLOOKUP(Data_Base[[#This Row],[Distributor Name]],Target[SS 2],1,FALSE),"Delete")</f>
        <v>J.K. BROTHERS</v>
      </c>
      <c r="B199" s="60">
        <f ca="1">IFERROR(VLOOKUP(Data_Base[[#This Row],[Item Sub Category]],Table2[[Sub Category]:[Billing Group]],3,0),99)</f>
        <v>36</v>
      </c>
      <c r="C199" s="167" t="str">
        <f>VLOOKUP(Data_Base[[#This Row],[Item Description]],Table2[[Item Name]:[Sub Category]],6,0)</f>
        <v>Puff Crme - Choco -10</v>
      </c>
      <c r="D199" s="60" t="s">
        <v>893</v>
      </c>
      <c r="E199" s="60" t="s">
        <v>82</v>
      </c>
      <c r="F199" s="168" t="s">
        <v>1607</v>
      </c>
      <c r="G199" s="169" t="s">
        <v>1608</v>
      </c>
      <c r="H199" s="170" t="s">
        <v>1609</v>
      </c>
      <c r="I199" s="171" t="s">
        <v>980</v>
      </c>
      <c r="J199" s="172" t="s">
        <v>223</v>
      </c>
      <c r="K199" s="173" t="s">
        <v>224</v>
      </c>
      <c r="L199" s="174" t="s">
        <v>0</v>
      </c>
      <c r="M199" s="175" t="s">
        <v>225</v>
      </c>
      <c r="N199" s="176">
        <v>33</v>
      </c>
      <c r="O199" s="177">
        <v>0</v>
      </c>
      <c r="P199" s="178">
        <v>33</v>
      </c>
      <c r="Q199" s="179">
        <v>30</v>
      </c>
      <c r="R199" s="180">
        <v>3</v>
      </c>
    </row>
    <row r="200" spans="1:18" ht="17">
      <c r="A200" s="60" t="str">
        <f>IFERROR(VLOOKUP(Data_Base[[#This Row],[Distributor Name]],Target[SS 2],1,FALSE),"Delete")</f>
        <v>J.K. BROTHERS</v>
      </c>
      <c r="B200" s="60">
        <f ca="1">IFERROR(VLOOKUP(Data_Base[[#This Row],[Item Sub Category]],Table2[[Sub Category]:[Billing Group]],3,0),99)</f>
        <v>37</v>
      </c>
      <c r="C200" s="167" t="str">
        <f>VLOOKUP(Data_Base[[#This Row],[Item Description]],Table2[[Item Name]:[Sub Category]],6,0)</f>
        <v>Puff Crme - Straw -5</v>
      </c>
      <c r="D200" s="60" t="s">
        <v>893</v>
      </c>
      <c r="E200" s="60" t="s">
        <v>82</v>
      </c>
      <c r="F200" s="168" t="s">
        <v>1607</v>
      </c>
      <c r="G200" s="169" t="s">
        <v>1608</v>
      </c>
      <c r="H200" s="170" t="s">
        <v>1609</v>
      </c>
      <c r="I200" s="171" t="s">
        <v>980</v>
      </c>
      <c r="J200" s="172" t="s">
        <v>116</v>
      </c>
      <c r="K200" s="173" t="s">
        <v>117</v>
      </c>
      <c r="L200" s="174" t="s">
        <v>0</v>
      </c>
      <c r="M200" s="175" t="s">
        <v>118</v>
      </c>
      <c r="N200" s="176">
        <v>35</v>
      </c>
      <c r="O200" s="177">
        <v>0</v>
      </c>
      <c r="P200" s="178">
        <v>35</v>
      </c>
      <c r="Q200" s="179">
        <v>25</v>
      </c>
      <c r="R200" s="180">
        <v>10</v>
      </c>
    </row>
    <row r="201" spans="1:18" ht="17">
      <c r="A201" s="60" t="str">
        <f>IFERROR(VLOOKUP(Data_Base[[#This Row],[Distributor Name]],Target[SS 2],1,FALSE),"Delete")</f>
        <v>J.K. BROTHERS</v>
      </c>
      <c r="B201" s="60">
        <f ca="1">IFERROR(VLOOKUP(Data_Base[[#This Row],[Item Sub Category]],Table2[[Sub Category]:[Billing Group]],3,0),99)</f>
        <v>38</v>
      </c>
      <c r="C201" s="167" t="str">
        <f>VLOOKUP(Data_Base[[#This Row],[Item Description]],Table2[[Item Name]:[Sub Category]],6,0)</f>
        <v>Puff Crme - Straw -10</v>
      </c>
      <c r="D201" s="60" t="s">
        <v>893</v>
      </c>
      <c r="E201" s="60" t="s">
        <v>82</v>
      </c>
      <c r="F201" s="168" t="s">
        <v>1607</v>
      </c>
      <c r="G201" s="169" t="s">
        <v>1608</v>
      </c>
      <c r="H201" s="170" t="s">
        <v>1609</v>
      </c>
      <c r="I201" s="171" t="s">
        <v>980</v>
      </c>
      <c r="J201" s="172" t="s">
        <v>226</v>
      </c>
      <c r="K201" s="173" t="s">
        <v>227</v>
      </c>
      <c r="L201" s="174" t="s">
        <v>0</v>
      </c>
      <c r="M201" s="175" t="s">
        <v>228</v>
      </c>
      <c r="N201" s="176">
        <v>11</v>
      </c>
      <c r="O201" s="177">
        <v>0</v>
      </c>
      <c r="P201" s="178">
        <v>11</v>
      </c>
      <c r="Q201" s="179">
        <v>0</v>
      </c>
      <c r="R201" s="180">
        <v>11</v>
      </c>
    </row>
    <row r="202" spans="1:18" ht="17">
      <c r="A202" s="60" t="str">
        <f>IFERROR(VLOOKUP(Data_Base[[#This Row],[Distributor Name]],Target[SS 2],1,FALSE),"Delete")</f>
        <v>J.K. BROTHERS</v>
      </c>
      <c r="B202" s="60">
        <f ca="1">IFERROR(VLOOKUP(Data_Base[[#This Row],[Item Sub Category]],Table2[[Sub Category]:[Billing Group]],3,0),99)</f>
        <v>40</v>
      </c>
      <c r="C202" s="167" t="str">
        <f>VLOOKUP(Data_Base[[#This Row],[Item Description]],Table2[[Item Name]:[Sub Category]],6,0)</f>
        <v>Puff Crme - Lemon -10</v>
      </c>
      <c r="D202" s="60" t="s">
        <v>893</v>
      </c>
      <c r="E202" s="60" t="s">
        <v>82</v>
      </c>
      <c r="F202" s="168" t="s">
        <v>1607</v>
      </c>
      <c r="G202" s="169" t="s">
        <v>1608</v>
      </c>
      <c r="H202" s="170" t="s">
        <v>1609</v>
      </c>
      <c r="I202" s="171" t="s">
        <v>980</v>
      </c>
      <c r="J202" s="172" t="s">
        <v>229</v>
      </c>
      <c r="K202" s="173" t="s">
        <v>230</v>
      </c>
      <c r="L202" s="174" t="s">
        <v>0</v>
      </c>
      <c r="M202" s="175" t="s">
        <v>231</v>
      </c>
      <c r="N202" s="176">
        <v>29</v>
      </c>
      <c r="O202" s="177">
        <v>0</v>
      </c>
      <c r="P202" s="178">
        <v>29</v>
      </c>
      <c r="Q202" s="179">
        <v>0</v>
      </c>
      <c r="R202" s="180">
        <v>29</v>
      </c>
    </row>
    <row r="203" spans="1:18" ht="17">
      <c r="A203" s="60" t="str">
        <f>IFERROR(VLOOKUP(Data_Base[[#This Row],[Distributor Name]],Target[SS 2],1,FALSE),"Delete")</f>
        <v>J.K. BROTHERS</v>
      </c>
      <c r="B203" s="60">
        <f ca="1">IFERROR(VLOOKUP(Data_Base[[#This Row],[Item Sub Category]],Table2[[Sub Category]:[Billing Group]],3,0),99)</f>
        <v>19</v>
      </c>
      <c r="C203" s="167" t="str">
        <f>VLOOKUP(Data_Base[[#This Row],[Item Description]],Table2[[Item Name]:[Sub Category]],6,0)</f>
        <v>Coconut Crunch-.5/-</v>
      </c>
      <c r="D203" s="60" t="s">
        <v>893</v>
      </c>
      <c r="E203" s="60" t="s">
        <v>82</v>
      </c>
      <c r="F203" s="168" t="s">
        <v>1607</v>
      </c>
      <c r="G203" s="169" t="s">
        <v>1608</v>
      </c>
      <c r="H203" s="170" t="s">
        <v>1609</v>
      </c>
      <c r="I203" s="171" t="s">
        <v>980</v>
      </c>
      <c r="J203" s="172" t="s">
        <v>119</v>
      </c>
      <c r="K203" s="173" t="s">
        <v>120</v>
      </c>
      <c r="L203" s="174" t="s">
        <v>0</v>
      </c>
      <c r="M203" s="175" t="s">
        <v>121</v>
      </c>
      <c r="N203" s="176">
        <v>42</v>
      </c>
      <c r="O203" s="177">
        <v>0</v>
      </c>
      <c r="P203" s="178">
        <v>42</v>
      </c>
      <c r="Q203" s="179">
        <v>25</v>
      </c>
      <c r="R203" s="180">
        <v>17</v>
      </c>
    </row>
    <row r="204" spans="1:18" ht="17">
      <c r="A204" s="60" t="str">
        <f>IFERROR(VLOOKUP(Data_Base[[#This Row],[Distributor Name]],Target[SS 2],1,FALSE),"Delete")</f>
        <v>J.K. BROTHERS</v>
      </c>
      <c r="B204" s="60">
        <f ca="1">IFERROR(VLOOKUP(Data_Base[[#This Row],[Item Sub Category]],Table2[[Sub Category]:[Billing Group]],3,0),99)</f>
        <v>20</v>
      </c>
      <c r="C204" s="167" t="str">
        <f>VLOOKUP(Data_Base[[#This Row],[Item Description]],Table2[[Item Name]:[Sub Category]],6,0)</f>
        <v>Coconut Crunch-.10/-</v>
      </c>
      <c r="D204" s="60" t="s">
        <v>893</v>
      </c>
      <c r="E204" s="60" t="s">
        <v>82</v>
      </c>
      <c r="F204" s="168" t="s">
        <v>1607</v>
      </c>
      <c r="G204" s="169" t="s">
        <v>1608</v>
      </c>
      <c r="H204" s="170" t="s">
        <v>1609</v>
      </c>
      <c r="I204" s="171" t="s">
        <v>980</v>
      </c>
      <c r="J204" s="172" t="s">
        <v>122</v>
      </c>
      <c r="K204" s="173" t="s">
        <v>123</v>
      </c>
      <c r="L204" s="174" t="s">
        <v>0</v>
      </c>
      <c r="M204" s="175" t="s">
        <v>124</v>
      </c>
      <c r="N204" s="176">
        <v>180</v>
      </c>
      <c r="O204" s="177">
        <v>0</v>
      </c>
      <c r="P204" s="178">
        <v>180</v>
      </c>
      <c r="Q204" s="179">
        <v>150</v>
      </c>
      <c r="R204" s="180">
        <v>30</v>
      </c>
    </row>
    <row r="205" spans="1:18" ht="17">
      <c r="A205" s="60" t="str">
        <f>IFERROR(VLOOKUP(Data_Base[[#This Row],[Distributor Name]],Target[SS 2],1,FALSE),"Delete")</f>
        <v>J.K. BROTHERS</v>
      </c>
      <c r="B205" s="60">
        <f ca="1">IFERROR(VLOOKUP(Data_Base[[#This Row],[Item Sub Category]],Table2[[Sub Category]:[Billing Group]],3,0),99)</f>
        <v>59</v>
      </c>
      <c r="C205" s="167" t="str">
        <f>VLOOKUP(Data_Base[[#This Row],[Item Description]],Table2[[Item Name]:[Sub Category]],6,0)</f>
        <v>Butter Delite - 20</v>
      </c>
      <c r="D205" s="60" t="s">
        <v>893</v>
      </c>
      <c r="E205" s="60" t="s">
        <v>82</v>
      </c>
      <c r="F205" s="168" t="s">
        <v>1607</v>
      </c>
      <c r="G205" s="169" t="s">
        <v>1608</v>
      </c>
      <c r="H205" s="170" t="s">
        <v>1609</v>
      </c>
      <c r="I205" s="171" t="s">
        <v>980</v>
      </c>
      <c r="J205" s="172" t="s">
        <v>373</v>
      </c>
      <c r="K205" s="173" t="s">
        <v>374</v>
      </c>
      <c r="L205" s="174" t="s">
        <v>0</v>
      </c>
      <c r="M205" s="175" t="s">
        <v>190</v>
      </c>
      <c r="N205" s="176">
        <v>15</v>
      </c>
      <c r="O205" s="177">
        <v>0</v>
      </c>
      <c r="P205" s="178">
        <v>15</v>
      </c>
      <c r="Q205" s="179">
        <v>0</v>
      </c>
      <c r="R205" s="180">
        <v>15</v>
      </c>
    </row>
    <row r="206" spans="1:18" ht="17">
      <c r="A206" s="60" t="str">
        <f>IFERROR(VLOOKUP(Data_Base[[#This Row],[Distributor Name]],Target[SS 2],1,FALSE),"Delete")</f>
        <v>J.K. BROTHERS</v>
      </c>
      <c r="B206" s="60">
        <f ca="1">IFERROR(VLOOKUP(Data_Base[[#This Row],[Item Sub Category]],Table2[[Sub Category]:[Billing Group]],3,0),99)</f>
        <v>99</v>
      </c>
      <c r="C206" s="167" t="str">
        <f>VLOOKUP(Data_Base[[#This Row],[Item Description]],Table2[[Item Name]:[Sub Category]],6,0)</f>
        <v>Big Gold - 10</v>
      </c>
      <c r="D206" s="60" t="s">
        <v>893</v>
      </c>
      <c r="E206" s="60" t="s">
        <v>82</v>
      </c>
      <c r="F206" s="168" t="s">
        <v>1607</v>
      </c>
      <c r="G206" s="169" t="s">
        <v>1608</v>
      </c>
      <c r="H206" s="170" t="s">
        <v>1609</v>
      </c>
      <c r="I206" s="171" t="s">
        <v>980</v>
      </c>
      <c r="J206" s="172" t="s">
        <v>128</v>
      </c>
      <c r="K206" s="173" t="s">
        <v>129</v>
      </c>
      <c r="L206" s="174" t="s">
        <v>0</v>
      </c>
      <c r="M206" s="175" t="s">
        <v>130</v>
      </c>
      <c r="N206" s="176">
        <v>10</v>
      </c>
      <c r="O206" s="177">
        <v>0</v>
      </c>
      <c r="P206" s="178">
        <v>10</v>
      </c>
      <c r="Q206" s="179">
        <v>0</v>
      </c>
      <c r="R206" s="180">
        <v>10</v>
      </c>
    </row>
    <row r="207" spans="1:18" ht="17">
      <c r="A207" s="60" t="str">
        <f>IFERROR(VLOOKUP(Data_Base[[#This Row],[Distributor Name]],Target[SS 2],1,FALSE),"Delete")</f>
        <v>J.K. BROTHERS</v>
      </c>
      <c r="B207" s="60">
        <f ca="1">IFERROR(VLOOKUP(Data_Base[[#This Row],[Item Sub Category]],Table2[[Sub Category]:[Billing Group]],3,0),99)</f>
        <v>51</v>
      </c>
      <c r="C207" s="167" t="str">
        <f>VLOOKUP(Data_Base[[#This Row],[Item Description]],Table2[[Item Name]:[Sub Category]],6,0)</f>
        <v>C.N.C. - 10</v>
      </c>
      <c r="D207" s="60" t="s">
        <v>893</v>
      </c>
      <c r="E207" s="60" t="s">
        <v>82</v>
      </c>
      <c r="F207" s="168" t="s">
        <v>1607</v>
      </c>
      <c r="G207" s="169" t="s">
        <v>1608</v>
      </c>
      <c r="H207" s="170" t="s">
        <v>1609</v>
      </c>
      <c r="I207" s="171" t="s">
        <v>980</v>
      </c>
      <c r="J207" s="172" t="s">
        <v>383</v>
      </c>
      <c r="K207" s="173" t="s">
        <v>384</v>
      </c>
      <c r="L207" s="174" t="s">
        <v>0</v>
      </c>
      <c r="M207" s="175" t="s">
        <v>193</v>
      </c>
      <c r="N207" s="176">
        <v>675</v>
      </c>
      <c r="O207" s="177">
        <v>0</v>
      </c>
      <c r="P207" s="178">
        <v>675</v>
      </c>
      <c r="Q207" s="179">
        <v>675</v>
      </c>
      <c r="R207" s="180">
        <v>0</v>
      </c>
    </row>
    <row r="208" spans="1:18" ht="17">
      <c r="A208" s="60" t="str">
        <f>IFERROR(VLOOKUP(Data_Base[[#This Row],[Distributor Name]],Target[SS 2],1,FALSE),"Delete")</f>
        <v>J.K. BROTHERS</v>
      </c>
      <c r="B208" s="60">
        <f ca="1">IFERROR(VLOOKUP(Data_Base[[#This Row],[Item Sub Category]],Table2[[Sub Category]:[Billing Group]],3,0),99)</f>
        <v>63</v>
      </c>
      <c r="C208" s="167" t="str">
        <f>VLOOKUP(Data_Base[[#This Row],[Item Description]],Table2[[Item Name]:[Sub Category]],6,0)</f>
        <v>Cheese/ Top Cracker - 20</v>
      </c>
      <c r="D208" s="60" t="s">
        <v>893</v>
      </c>
      <c r="E208" s="60" t="s">
        <v>82</v>
      </c>
      <c r="F208" s="168" t="s">
        <v>1607</v>
      </c>
      <c r="G208" s="169" t="s">
        <v>1608</v>
      </c>
      <c r="H208" s="170" t="s">
        <v>1609</v>
      </c>
      <c r="I208" s="171" t="s">
        <v>980</v>
      </c>
      <c r="J208" s="172" t="s">
        <v>287</v>
      </c>
      <c r="K208" s="173" t="s">
        <v>288</v>
      </c>
      <c r="L208" s="174" t="s">
        <v>0</v>
      </c>
      <c r="M208" s="175" t="s">
        <v>214</v>
      </c>
      <c r="N208" s="176">
        <v>130</v>
      </c>
      <c r="O208" s="177">
        <v>0</v>
      </c>
      <c r="P208" s="178">
        <v>130</v>
      </c>
      <c r="Q208" s="179">
        <v>125</v>
      </c>
      <c r="R208" s="180">
        <v>5</v>
      </c>
    </row>
    <row r="209" spans="1:18" ht="17">
      <c r="A209" s="60" t="str">
        <f>IFERROR(VLOOKUP(Data_Base[[#This Row],[Distributor Name]],Target[SS 2],1,FALSE),"Delete")</f>
        <v>J.K. BROTHERS</v>
      </c>
      <c r="B209" s="60">
        <f ca="1">IFERROR(VLOOKUP(Data_Base[[#This Row],[Item Sub Category]],Table2[[Sub Category]:[Billing Group]],3,0),99)</f>
        <v>110</v>
      </c>
      <c r="C209" s="167" t="str">
        <f>VLOOKUP(Data_Base[[#This Row],[Item Description]],Table2[[Item Name]:[Sub Category]],6,0)</f>
        <v>Treat-160 ML</v>
      </c>
      <c r="D209" s="60" t="s">
        <v>893</v>
      </c>
      <c r="E209" s="60" t="s">
        <v>82</v>
      </c>
      <c r="F209" s="168" t="s">
        <v>1607</v>
      </c>
      <c r="G209" s="169" t="s">
        <v>1608</v>
      </c>
      <c r="H209" s="170" t="s">
        <v>1609</v>
      </c>
      <c r="I209" s="171" t="s">
        <v>980</v>
      </c>
      <c r="J209" s="172" t="s">
        <v>322</v>
      </c>
      <c r="K209" s="173" t="s">
        <v>323</v>
      </c>
      <c r="L209" s="174" t="s">
        <v>16</v>
      </c>
      <c r="M209" s="175" t="s">
        <v>324</v>
      </c>
      <c r="N209" s="176">
        <v>28</v>
      </c>
      <c r="O209" s="177">
        <v>0</v>
      </c>
      <c r="P209" s="178">
        <v>28</v>
      </c>
      <c r="Q209" s="179">
        <v>28</v>
      </c>
      <c r="R209" s="180">
        <v>0</v>
      </c>
    </row>
    <row r="210" spans="1:18" ht="17">
      <c r="A210" s="60" t="str">
        <f>IFERROR(VLOOKUP(Data_Base[[#This Row],[Distributor Name]],Target[SS 2],1,FALSE),"Delete")</f>
        <v>J.K. BROTHERS</v>
      </c>
      <c r="B210" s="60">
        <f ca="1">IFERROR(VLOOKUP(Data_Base[[#This Row],[Item Sub Category]],Table2[[Sub Category]:[Billing Group]],3,0),99)</f>
        <v>110</v>
      </c>
      <c r="C210" s="167" t="str">
        <f>VLOOKUP(Data_Base[[#This Row],[Item Description]],Table2[[Item Name]:[Sub Category]],6,0)</f>
        <v>Treat-160 ML</v>
      </c>
      <c r="D210" s="60" t="s">
        <v>893</v>
      </c>
      <c r="E210" s="60" t="s">
        <v>82</v>
      </c>
      <c r="F210" s="168" t="s">
        <v>1607</v>
      </c>
      <c r="G210" s="169" t="s">
        <v>1608</v>
      </c>
      <c r="H210" s="170" t="s">
        <v>1609</v>
      </c>
      <c r="I210" s="171" t="s">
        <v>980</v>
      </c>
      <c r="J210" s="172" t="s">
        <v>599</v>
      </c>
      <c r="K210" s="173" t="s">
        <v>600</v>
      </c>
      <c r="L210" s="174" t="s">
        <v>16</v>
      </c>
      <c r="M210" s="175" t="s">
        <v>324</v>
      </c>
      <c r="N210" s="176">
        <v>60</v>
      </c>
      <c r="O210" s="177">
        <v>0</v>
      </c>
      <c r="P210" s="178">
        <v>60</v>
      </c>
      <c r="Q210" s="179">
        <v>58.25</v>
      </c>
      <c r="R210" s="180">
        <v>1.75</v>
      </c>
    </row>
    <row r="211" spans="1:18" ht="17">
      <c r="A211" s="60" t="str">
        <f>IFERROR(VLOOKUP(Data_Base[[#This Row],[Distributor Name]],Target[SS 2],1,FALSE),"Delete")</f>
        <v>J.K. BROTHERS</v>
      </c>
      <c r="B211" s="60">
        <f ca="1">IFERROR(VLOOKUP(Data_Base[[#This Row],[Item Sub Category]],Table2[[Sub Category]:[Billing Group]],3,0),99)</f>
        <v>129</v>
      </c>
      <c r="C211" s="167" t="str">
        <f>VLOOKUP(Data_Base[[#This Row],[Item Description]],Table2[[Item Name]:[Sub Category]],6,0)</f>
        <v>Snakker- 2/-</v>
      </c>
      <c r="D211" s="60" t="s">
        <v>893</v>
      </c>
      <c r="E211" s="60" t="s">
        <v>82</v>
      </c>
      <c r="F211" s="168" t="s">
        <v>1607</v>
      </c>
      <c r="G211" s="169" t="s">
        <v>1608</v>
      </c>
      <c r="H211" s="170" t="s">
        <v>1609</v>
      </c>
      <c r="I211" s="171" t="s">
        <v>980</v>
      </c>
      <c r="J211" s="172" t="s">
        <v>235</v>
      </c>
      <c r="K211" s="173" t="s">
        <v>236</v>
      </c>
      <c r="L211" s="174" t="s">
        <v>16</v>
      </c>
      <c r="M211" s="175" t="s">
        <v>237</v>
      </c>
      <c r="N211" s="176">
        <v>15</v>
      </c>
      <c r="O211" s="177">
        <v>0</v>
      </c>
      <c r="P211" s="178">
        <v>15</v>
      </c>
      <c r="Q211" s="179">
        <v>5</v>
      </c>
      <c r="R211" s="180">
        <v>10</v>
      </c>
    </row>
    <row r="212" spans="1:18" ht="17">
      <c r="A212" s="60" t="str">
        <f>IFERROR(VLOOKUP(Data_Base[[#This Row],[Distributor Name]],Target[SS 2],1,FALSE),"Delete")</f>
        <v>J.K. BROTHERS</v>
      </c>
      <c r="B212" s="60">
        <f ca="1">IFERROR(VLOOKUP(Data_Base[[#This Row],[Item Sub Category]],Table2[[Sub Category]:[Billing Group]],3,0),99)</f>
        <v>126</v>
      </c>
      <c r="C212" s="167" t="str">
        <f>VLOOKUP(Data_Base[[#This Row],[Item Description]],Table2[[Item Name]:[Sub Category]],6,0)</f>
        <v>Chocogold Fruit &amp; Nuts- 20/-</v>
      </c>
      <c r="D212" s="60" t="s">
        <v>893</v>
      </c>
      <c r="E212" s="60" t="s">
        <v>82</v>
      </c>
      <c r="F212" s="168" t="s">
        <v>1607</v>
      </c>
      <c r="G212" s="169" t="s">
        <v>1608</v>
      </c>
      <c r="H212" s="170" t="s">
        <v>1609</v>
      </c>
      <c r="I212" s="171" t="s">
        <v>980</v>
      </c>
      <c r="J212" s="172" t="s">
        <v>464</v>
      </c>
      <c r="K212" s="173" t="s">
        <v>465</v>
      </c>
      <c r="L212" s="174" t="s">
        <v>16</v>
      </c>
      <c r="M212" s="175" t="s">
        <v>466</v>
      </c>
      <c r="N212" s="176">
        <v>5</v>
      </c>
      <c r="O212" s="177">
        <v>0</v>
      </c>
      <c r="P212" s="178">
        <v>5</v>
      </c>
      <c r="Q212" s="179">
        <v>4.75</v>
      </c>
      <c r="R212" s="180">
        <v>0.25</v>
      </c>
    </row>
    <row r="213" spans="1:18" ht="17">
      <c r="A213" s="60" t="str">
        <f>IFERROR(VLOOKUP(Data_Base[[#This Row],[Distributor Name]],Target[SS 2],1,FALSE),"Delete")</f>
        <v>J.K. BROTHERS</v>
      </c>
      <c r="B213" s="60">
        <f ca="1">IFERROR(VLOOKUP(Data_Base[[#This Row],[Item Sub Category]],Table2[[Sub Category]:[Billing Group]],3,0),99)</f>
        <v>127</v>
      </c>
      <c r="C213" s="167" t="str">
        <f>VLOOKUP(Data_Base[[#This Row],[Item Description]],Table2[[Item Name]:[Sub Category]],6,0)</f>
        <v>Chocogold- 5/-</v>
      </c>
      <c r="D213" s="60" t="s">
        <v>893</v>
      </c>
      <c r="E213" s="60" t="s">
        <v>82</v>
      </c>
      <c r="F213" s="168" t="s">
        <v>1607</v>
      </c>
      <c r="G213" s="169" t="s">
        <v>1608</v>
      </c>
      <c r="H213" s="170" t="s">
        <v>1609</v>
      </c>
      <c r="I213" s="171" t="s">
        <v>980</v>
      </c>
      <c r="J213" s="172" t="s">
        <v>238</v>
      </c>
      <c r="K213" s="173" t="s">
        <v>239</v>
      </c>
      <c r="L213" s="174" t="s">
        <v>16</v>
      </c>
      <c r="M213" s="175" t="s">
        <v>240</v>
      </c>
      <c r="N213" s="176">
        <v>30</v>
      </c>
      <c r="O213" s="177">
        <v>0</v>
      </c>
      <c r="P213" s="178">
        <v>30</v>
      </c>
      <c r="Q213" s="179">
        <v>30</v>
      </c>
      <c r="R213" s="180">
        <v>0</v>
      </c>
    </row>
    <row r="214" spans="1:18" ht="17">
      <c r="A214" s="60" t="str">
        <f>IFERROR(VLOOKUP(Data_Base[[#This Row],[Distributor Name]],Target[SS 2],1,FALSE),"Delete")</f>
        <v>J.K. BROTHERS</v>
      </c>
      <c r="B214" s="60">
        <f ca="1">IFERROR(VLOOKUP(Data_Base[[#This Row],[Item Sub Category]],Table2[[Sub Category]:[Billing Group]],3,0),99)</f>
        <v>136</v>
      </c>
      <c r="C214" s="167" t="str">
        <f>VLOOKUP(Data_Base[[#This Row],[Item Description]],Table2[[Item Name]:[Sub Category]],6,0)</f>
        <v>Partner Choco</v>
      </c>
      <c r="D214" s="60" t="s">
        <v>893</v>
      </c>
      <c r="E214" s="60" t="s">
        <v>82</v>
      </c>
      <c r="F214" s="168" t="s">
        <v>1607</v>
      </c>
      <c r="G214" s="169" t="s">
        <v>1608</v>
      </c>
      <c r="H214" s="170" t="s">
        <v>1609</v>
      </c>
      <c r="I214" s="171" t="s">
        <v>980</v>
      </c>
      <c r="J214" s="172" t="s">
        <v>244</v>
      </c>
      <c r="K214" s="173" t="s">
        <v>245</v>
      </c>
      <c r="L214" s="174" t="s">
        <v>16</v>
      </c>
      <c r="M214" s="175" t="s">
        <v>246</v>
      </c>
      <c r="N214" s="176">
        <v>19</v>
      </c>
      <c r="O214" s="177">
        <v>0</v>
      </c>
      <c r="P214" s="178">
        <v>19</v>
      </c>
      <c r="Q214" s="179">
        <v>0</v>
      </c>
      <c r="R214" s="180">
        <v>19</v>
      </c>
    </row>
    <row r="215" spans="1:18" ht="17">
      <c r="A215" s="60" t="str">
        <f>IFERROR(VLOOKUP(Data_Base[[#This Row],[Distributor Name]],Target[SS 2],1,FALSE),"Delete")</f>
        <v>J.K. BROTHERS</v>
      </c>
      <c r="B215" s="60">
        <f ca="1">IFERROR(VLOOKUP(Data_Base[[#This Row],[Item Sub Category]],Table2[[Sub Category]:[Billing Group]],3,0),99)</f>
        <v>137</v>
      </c>
      <c r="C215" s="167" t="str">
        <f>VLOOKUP(Data_Base[[#This Row],[Item Description]],Table2[[Item Name]:[Sub Category]],6,0)</f>
        <v>Partner Orange</v>
      </c>
      <c r="D215" s="60" t="s">
        <v>893</v>
      </c>
      <c r="E215" s="60" t="s">
        <v>82</v>
      </c>
      <c r="F215" s="168" t="s">
        <v>1607</v>
      </c>
      <c r="G215" s="169" t="s">
        <v>1608</v>
      </c>
      <c r="H215" s="170" t="s">
        <v>1609</v>
      </c>
      <c r="I215" s="171" t="s">
        <v>980</v>
      </c>
      <c r="J215" s="172" t="s">
        <v>247</v>
      </c>
      <c r="K215" s="173" t="s">
        <v>248</v>
      </c>
      <c r="L215" s="174" t="s">
        <v>16</v>
      </c>
      <c r="M215" s="175" t="s">
        <v>249</v>
      </c>
      <c r="N215" s="176">
        <v>7</v>
      </c>
      <c r="O215" s="177">
        <v>0</v>
      </c>
      <c r="P215" s="178">
        <v>7</v>
      </c>
      <c r="Q215" s="179">
        <v>0</v>
      </c>
      <c r="R215" s="180">
        <v>7</v>
      </c>
    </row>
    <row r="216" spans="1:18" ht="17">
      <c r="A216" s="60" t="str">
        <f>IFERROR(VLOOKUP(Data_Base[[#This Row],[Distributor Name]],Target[SS 2],1,FALSE),"Delete")</f>
        <v>J.K. BROTHERS</v>
      </c>
      <c r="B216" s="60">
        <f ca="1">IFERROR(VLOOKUP(Data_Base[[#This Row],[Item Sub Category]],Table2[[Sub Category]:[Billing Group]],3,0),99)</f>
        <v>138</v>
      </c>
      <c r="C216" s="167" t="str">
        <f>VLOOKUP(Data_Base[[#This Row],[Item Description]],Table2[[Item Name]:[Sub Category]],6,0)</f>
        <v>Partner Straw.</v>
      </c>
      <c r="D216" s="60" t="s">
        <v>893</v>
      </c>
      <c r="E216" s="60" t="s">
        <v>82</v>
      </c>
      <c r="F216" s="168" t="s">
        <v>1607</v>
      </c>
      <c r="G216" s="169" t="s">
        <v>1608</v>
      </c>
      <c r="H216" s="170" t="s">
        <v>1609</v>
      </c>
      <c r="I216" s="171" t="s">
        <v>980</v>
      </c>
      <c r="J216" s="172" t="s">
        <v>250</v>
      </c>
      <c r="K216" s="173" t="s">
        <v>251</v>
      </c>
      <c r="L216" s="174" t="s">
        <v>16</v>
      </c>
      <c r="M216" s="175" t="s">
        <v>252</v>
      </c>
      <c r="N216" s="176">
        <v>12</v>
      </c>
      <c r="O216" s="177">
        <v>0</v>
      </c>
      <c r="P216" s="178">
        <v>12</v>
      </c>
      <c r="Q216" s="179">
        <v>0</v>
      </c>
      <c r="R216" s="180">
        <v>12</v>
      </c>
    </row>
    <row r="217" spans="1:18" ht="17">
      <c r="A217" s="60" t="str">
        <f>IFERROR(VLOOKUP(Data_Base[[#This Row],[Distributor Name]],Target[SS 2],1,FALSE),"Delete")</f>
        <v>J.K. BROTHERS</v>
      </c>
      <c r="B217" s="60">
        <f ca="1">IFERROR(VLOOKUP(Data_Base[[#This Row],[Item Sub Category]],Table2[[Sub Category]:[Billing Group]],3,0),99)</f>
        <v>153</v>
      </c>
      <c r="C217" s="167" t="str">
        <f>VLOOKUP(Data_Base[[#This Row],[Item Description]],Table2[[Item Name]:[Sub Category]],6,0)</f>
        <v>Eclair-Pouch  10/-</v>
      </c>
      <c r="D217" s="60" t="s">
        <v>893</v>
      </c>
      <c r="E217" s="60" t="s">
        <v>82</v>
      </c>
      <c r="F217" s="168" t="s">
        <v>1607</v>
      </c>
      <c r="G217" s="169" t="s">
        <v>1608</v>
      </c>
      <c r="H217" s="170" t="s">
        <v>1609</v>
      </c>
      <c r="I217" s="171" t="s">
        <v>980</v>
      </c>
      <c r="J217" s="172" t="s">
        <v>134</v>
      </c>
      <c r="K217" s="173" t="s">
        <v>135</v>
      </c>
      <c r="L217" s="174" t="s">
        <v>16</v>
      </c>
      <c r="M217" s="175" t="s">
        <v>136</v>
      </c>
      <c r="N217" s="176">
        <v>3</v>
      </c>
      <c r="O217" s="177">
        <v>0</v>
      </c>
      <c r="P217" s="178">
        <v>3</v>
      </c>
      <c r="Q217" s="179">
        <v>0</v>
      </c>
      <c r="R217" s="180">
        <v>3</v>
      </c>
    </row>
    <row r="218" spans="1:18" ht="17">
      <c r="A218" s="60" t="str">
        <f>IFERROR(VLOOKUP(Data_Base[[#This Row],[Distributor Name]],Target[SS 2],1,FALSE),"Delete")</f>
        <v>J.K. BROTHERS</v>
      </c>
      <c r="B218" s="60">
        <f ca="1">IFERROR(VLOOKUP(Data_Base[[#This Row],[Item Sub Category]],Table2[[Sub Category]:[Billing Group]],3,0),99)</f>
        <v>140</v>
      </c>
      <c r="C218" s="167" t="str">
        <f>VLOOKUP(Data_Base[[#This Row],[Item Description]],Table2[[Item Name]:[Sub Category]],6,0)</f>
        <v>Eclair-Pouch  50/-</v>
      </c>
      <c r="D218" s="60" t="s">
        <v>893</v>
      </c>
      <c r="E218" s="60" t="s">
        <v>82</v>
      </c>
      <c r="F218" s="168" t="s">
        <v>1607</v>
      </c>
      <c r="G218" s="169" t="s">
        <v>1608</v>
      </c>
      <c r="H218" s="170" t="s">
        <v>1609</v>
      </c>
      <c r="I218" s="171" t="s">
        <v>980</v>
      </c>
      <c r="J218" s="172" t="s">
        <v>253</v>
      </c>
      <c r="K218" s="173" t="s">
        <v>254</v>
      </c>
      <c r="L218" s="174" t="s">
        <v>16</v>
      </c>
      <c r="M218" s="175" t="s">
        <v>178</v>
      </c>
      <c r="N218" s="176">
        <v>3</v>
      </c>
      <c r="O218" s="177">
        <v>0</v>
      </c>
      <c r="P218" s="178">
        <v>3</v>
      </c>
      <c r="Q218" s="179">
        <v>0</v>
      </c>
      <c r="R218" s="180">
        <v>3</v>
      </c>
    </row>
    <row r="219" spans="1:18" ht="17">
      <c r="A219" s="60" t="str">
        <f>IFERROR(VLOOKUP(Data_Base[[#This Row],[Distributor Name]],Target[SS 2],1,FALSE),"Delete")</f>
        <v>J.K. BROTHERS</v>
      </c>
      <c r="B219" s="60">
        <f ca="1">IFERROR(VLOOKUP(Data_Base[[#This Row],[Item Sub Category]],Table2[[Sub Category]:[Billing Group]],3,0),99)</f>
        <v>141</v>
      </c>
      <c r="C219" s="167" t="str">
        <f>VLOOKUP(Data_Base[[#This Row],[Item Description]],Table2[[Item Name]:[Sub Category]],6,0)</f>
        <v>clair-Mini Jar</v>
      </c>
      <c r="D219" s="60" t="s">
        <v>893</v>
      </c>
      <c r="E219" s="60" t="s">
        <v>82</v>
      </c>
      <c r="F219" s="168" t="s">
        <v>1607</v>
      </c>
      <c r="G219" s="169" t="s">
        <v>1608</v>
      </c>
      <c r="H219" s="170" t="s">
        <v>1609</v>
      </c>
      <c r="I219" s="171" t="s">
        <v>980</v>
      </c>
      <c r="J219" s="172" t="s">
        <v>255</v>
      </c>
      <c r="K219" s="173" t="s">
        <v>256</v>
      </c>
      <c r="L219" s="174" t="s">
        <v>16</v>
      </c>
      <c r="M219" s="175" t="s">
        <v>257</v>
      </c>
      <c r="N219" s="176">
        <v>9</v>
      </c>
      <c r="O219" s="177">
        <v>0</v>
      </c>
      <c r="P219" s="178">
        <v>9</v>
      </c>
      <c r="Q219" s="179">
        <v>0</v>
      </c>
      <c r="R219" s="180">
        <v>9</v>
      </c>
    </row>
    <row r="220" spans="1:18" ht="17">
      <c r="A220" s="60" t="str">
        <f>IFERROR(VLOOKUP(Data_Base[[#This Row],[Distributor Name]],Target[SS 2],1,FALSE),"Delete")</f>
        <v>J.K. BROTHERS</v>
      </c>
      <c r="B220" s="60">
        <f>IFERROR(VLOOKUP(Data_Base[[#This Row],[Item Sub Category]],Table2[[Sub Category]:[Billing Group]],3,0),99)</f>
        <v>99</v>
      </c>
      <c r="C220" s="167" t="str">
        <f>VLOOKUP(Data_Base[[#This Row],[Item Description]],Table2[[Item Name]:[Sub Category]],6,0)</f>
        <v>Other-Other</v>
      </c>
      <c r="D220" s="60" t="s">
        <v>893</v>
      </c>
      <c r="E220" s="60" t="s">
        <v>82</v>
      </c>
      <c r="F220" s="168" t="s">
        <v>1607</v>
      </c>
      <c r="G220" s="169" t="s">
        <v>1608</v>
      </c>
      <c r="H220" s="170" t="s">
        <v>1609</v>
      </c>
      <c r="I220" s="171" t="s">
        <v>980</v>
      </c>
      <c r="J220" s="172" t="s">
        <v>137</v>
      </c>
      <c r="K220" s="173" t="s">
        <v>138</v>
      </c>
      <c r="L220" s="174" t="s">
        <v>16</v>
      </c>
      <c r="M220" s="175" t="s">
        <v>139</v>
      </c>
      <c r="N220" s="176">
        <v>1000</v>
      </c>
      <c r="O220" s="177">
        <v>0</v>
      </c>
      <c r="P220" s="178">
        <v>1000</v>
      </c>
      <c r="Q220" s="179">
        <v>260</v>
      </c>
      <c r="R220" s="180">
        <v>740</v>
      </c>
    </row>
    <row r="221" spans="1:18" ht="17">
      <c r="A221" s="60" t="str">
        <f>IFERROR(VLOOKUP(Data_Base[[#This Row],[Distributor Name]],Target[SS 2],1,FALSE),"Delete")</f>
        <v>J.K. BROTHERS</v>
      </c>
      <c r="B221" s="60">
        <f ca="1">IFERROR(VLOOKUP(Data_Base[[#This Row],[Item Sub Category]],Table2[[Sub Category]:[Billing Group]],3,0),99)</f>
        <v>143</v>
      </c>
      <c r="C221" s="167" t="str">
        <f>VLOOKUP(Data_Base[[#This Row],[Item Description]],Table2[[Item Name]:[Sub Category]],6,0)</f>
        <v>Shokk Pouch</v>
      </c>
      <c r="D221" s="60" t="s">
        <v>893</v>
      </c>
      <c r="E221" s="60" t="s">
        <v>82</v>
      </c>
      <c r="F221" s="168" t="s">
        <v>1607</v>
      </c>
      <c r="G221" s="169" t="s">
        <v>1608</v>
      </c>
      <c r="H221" s="170" t="s">
        <v>1609</v>
      </c>
      <c r="I221" s="171" t="s">
        <v>980</v>
      </c>
      <c r="J221" s="172" t="s">
        <v>289</v>
      </c>
      <c r="K221" s="173" t="s">
        <v>290</v>
      </c>
      <c r="L221" s="174" t="s">
        <v>16</v>
      </c>
      <c r="M221" s="175" t="s">
        <v>291</v>
      </c>
      <c r="N221" s="176">
        <v>12</v>
      </c>
      <c r="O221" s="177">
        <v>0</v>
      </c>
      <c r="P221" s="178">
        <v>12</v>
      </c>
      <c r="Q221" s="179">
        <v>5</v>
      </c>
      <c r="R221" s="180">
        <v>7</v>
      </c>
    </row>
    <row r="222" spans="1:18" ht="17">
      <c r="A222" s="60" t="str">
        <f>IFERROR(VLOOKUP(Data_Base[[#This Row],[Distributor Name]],Target[SS 2],1,FALSE),"Delete")</f>
        <v>J.K. BROTHERS</v>
      </c>
      <c r="B222" s="60">
        <f ca="1">IFERROR(VLOOKUP(Data_Base[[#This Row],[Item Sub Category]],Table2[[Sub Category]:[Billing Group]],3,0),99)</f>
        <v>144</v>
      </c>
      <c r="C222" s="167" t="str">
        <f>VLOOKUP(Data_Base[[#This Row],[Item Description]],Table2[[Item Name]:[Sub Category]],6,0)</f>
        <v>Shokk Jar</v>
      </c>
      <c r="D222" s="60" t="s">
        <v>893</v>
      </c>
      <c r="E222" s="60" t="s">
        <v>82</v>
      </c>
      <c r="F222" s="168" t="s">
        <v>1607</v>
      </c>
      <c r="G222" s="169" t="s">
        <v>1608</v>
      </c>
      <c r="H222" s="170" t="s">
        <v>1609</v>
      </c>
      <c r="I222" s="171" t="s">
        <v>980</v>
      </c>
      <c r="J222" s="172" t="s">
        <v>418</v>
      </c>
      <c r="K222" s="173" t="s">
        <v>419</v>
      </c>
      <c r="L222" s="174" t="s">
        <v>16</v>
      </c>
      <c r="M222" s="175" t="s">
        <v>343</v>
      </c>
      <c r="N222" s="176">
        <v>1</v>
      </c>
      <c r="O222" s="177">
        <v>0</v>
      </c>
      <c r="P222" s="178">
        <v>1</v>
      </c>
      <c r="Q222" s="179">
        <v>0</v>
      </c>
      <c r="R222" s="180">
        <v>1</v>
      </c>
    </row>
    <row r="223" spans="1:18" ht="17">
      <c r="A223" s="60" t="str">
        <f>IFERROR(VLOOKUP(Data_Base[[#This Row],[Distributor Name]],Target[SS 2],1,FALSE),"Delete")</f>
        <v>J.K. BROTHERS</v>
      </c>
      <c r="B223" s="60">
        <f ca="1">IFERROR(VLOOKUP(Data_Base[[#This Row],[Item Sub Category]],Table2[[Sub Category]:[Billing Group]],3,0),99)</f>
        <v>147</v>
      </c>
      <c r="C223" s="167" t="str">
        <f>VLOOKUP(Data_Base[[#This Row],[Item Description]],Table2[[Item Name]:[Sub Category]],6,0)</f>
        <v>TOFFITO Pouch</v>
      </c>
      <c r="D223" s="60" t="s">
        <v>893</v>
      </c>
      <c r="E223" s="60" t="s">
        <v>82</v>
      </c>
      <c r="F223" s="168" t="s">
        <v>1607</v>
      </c>
      <c r="G223" s="169" t="s">
        <v>1608</v>
      </c>
      <c r="H223" s="170" t="s">
        <v>1609</v>
      </c>
      <c r="I223" s="171" t="s">
        <v>980</v>
      </c>
      <c r="J223" s="172" t="s">
        <v>292</v>
      </c>
      <c r="K223" s="173" t="s">
        <v>293</v>
      </c>
      <c r="L223" s="174" t="s">
        <v>16</v>
      </c>
      <c r="M223" s="175" t="s">
        <v>294</v>
      </c>
      <c r="N223" s="176">
        <v>2</v>
      </c>
      <c r="O223" s="177">
        <v>0</v>
      </c>
      <c r="P223" s="178">
        <v>2</v>
      </c>
      <c r="Q223" s="179">
        <v>0</v>
      </c>
      <c r="R223" s="180">
        <v>2</v>
      </c>
    </row>
    <row r="224" spans="1:18" ht="17">
      <c r="A224" s="60" t="str">
        <f>IFERROR(VLOOKUP(Data_Base[[#This Row],[Distributor Name]],Target[SS 2],1,FALSE),"Delete")</f>
        <v>J.K. BROTHERS</v>
      </c>
      <c r="B224" s="60">
        <f ca="1">IFERROR(VLOOKUP(Data_Base[[#This Row],[Item Sub Category]],Table2[[Sub Category]:[Billing Group]],3,0),99)</f>
        <v>148</v>
      </c>
      <c r="C224" s="167" t="str">
        <f>VLOOKUP(Data_Base[[#This Row],[Item Description]],Table2[[Item Name]:[Sub Category]],6,0)</f>
        <v>TOFFITO Jar</v>
      </c>
      <c r="D224" s="60" t="s">
        <v>893</v>
      </c>
      <c r="E224" s="60" t="s">
        <v>82</v>
      </c>
      <c r="F224" s="168" t="s">
        <v>1607</v>
      </c>
      <c r="G224" s="169" t="s">
        <v>1608</v>
      </c>
      <c r="H224" s="170" t="s">
        <v>1609</v>
      </c>
      <c r="I224" s="171" t="s">
        <v>980</v>
      </c>
      <c r="J224" s="172" t="s">
        <v>470</v>
      </c>
      <c r="K224" s="173" t="s">
        <v>471</v>
      </c>
      <c r="L224" s="174" t="s">
        <v>16</v>
      </c>
      <c r="M224" s="175" t="s">
        <v>472</v>
      </c>
      <c r="N224" s="176">
        <v>16</v>
      </c>
      <c r="O224" s="177">
        <v>0</v>
      </c>
      <c r="P224" s="178">
        <v>16</v>
      </c>
      <c r="Q224" s="179">
        <v>0</v>
      </c>
      <c r="R224" s="180">
        <v>16</v>
      </c>
    </row>
    <row r="225" spans="1:18" ht="17">
      <c r="A225" s="60" t="str">
        <f>IFERROR(VLOOKUP(Data_Base[[#This Row],[Distributor Name]],Target[SS 2],1,FALSE),"Delete")</f>
        <v>J.K. BROTHERS</v>
      </c>
      <c r="B225" s="60">
        <f ca="1">IFERROR(VLOOKUP(Data_Base[[#This Row],[Item Sub Category]],Table2[[Sub Category]:[Billing Group]],3,0),99)</f>
        <v>58</v>
      </c>
      <c r="C225" s="167" t="str">
        <f>VLOOKUP(Data_Base[[#This Row],[Item Description]],Table2[[Item Name]:[Sub Category]],6,0)</f>
        <v>Butter Delite - 10</v>
      </c>
      <c r="D225" s="60" t="s">
        <v>893</v>
      </c>
      <c r="E225" s="60" t="s">
        <v>82</v>
      </c>
      <c r="F225" s="168" t="s">
        <v>1607</v>
      </c>
      <c r="G225" s="169" t="s">
        <v>1608</v>
      </c>
      <c r="H225" s="170" t="s">
        <v>1609</v>
      </c>
      <c r="I225" s="171" t="s">
        <v>980</v>
      </c>
      <c r="J225" s="172" t="s">
        <v>299</v>
      </c>
      <c r="K225" s="173" t="s">
        <v>300</v>
      </c>
      <c r="L225" s="174" t="s">
        <v>0</v>
      </c>
      <c r="M225" s="175" t="s">
        <v>196</v>
      </c>
      <c r="N225" s="176">
        <v>4</v>
      </c>
      <c r="O225" s="177">
        <v>0</v>
      </c>
      <c r="P225" s="178">
        <v>4</v>
      </c>
      <c r="Q225" s="179">
        <v>0</v>
      </c>
      <c r="R225" s="180">
        <v>4</v>
      </c>
    </row>
    <row r="226" spans="1:18" ht="17">
      <c r="A226" s="60" t="str">
        <f>IFERROR(VLOOKUP(Data_Base[[#This Row],[Distributor Name]],Target[SS 2],1,FALSE),"Delete")</f>
        <v>J.K. BROTHERS</v>
      </c>
      <c r="B226" s="60">
        <f ca="1">IFERROR(VLOOKUP(Data_Base[[#This Row],[Item Sub Category]],Table2[[Sub Category]:[Billing Group]],3,0),99)</f>
        <v>59</v>
      </c>
      <c r="C226" s="167" t="str">
        <f>VLOOKUP(Data_Base[[#This Row],[Item Description]],Table2[[Item Name]:[Sub Category]],6,0)</f>
        <v>Butter Delite - 20</v>
      </c>
      <c r="D226" s="60" t="s">
        <v>893</v>
      </c>
      <c r="E226" s="60" t="s">
        <v>82</v>
      </c>
      <c r="F226" s="168" t="s">
        <v>1607</v>
      </c>
      <c r="G226" s="169" t="s">
        <v>1608</v>
      </c>
      <c r="H226" s="170" t="s">
        <v>1609</v>
      </c>
      <c r="I226" s="171" t="s">
        <v>980</v>
      </c>
      <c r="J226" s="172" t="s">
        <v>301</v>
      </c>
      <c r="K226" s="173" t="s">
        <v>302</v>
      </c>
      <c r="L226" s="174" t="s">
        <v>0</v>
      </c>
      <c r="M226" s="175" t="s">
        <v>190</v>
      </c>
      <c r="N226" s="176">
        <v>14</v>
      </c>
      <c r="O226" s="177">
        <v>0</v>
      </c>
      <c r="P226" s="178">
        <v>14</v>
      </c>
      <c r="Q226" s="179">
        <v>0</v>
      </c>
      <c r="R226" s="180">
        <v>14</v>
      </c>
    </row>
    <row r="227" spans="1:18" ht="17">
      <c r="A227" s="60" t="str">
        <f>IFERROR(VLOOKUP(Data_Base[[#This Row],[Distributor Name]],Target[SS 2],1,FALSE),"Delete")</f>
        <v>J.K. BROTHERS</v>
      </c>
      <c r="B227" s="60">
        <f ca="1">IFERROR(VLOOKUP(Data_Base[[#This Row],[Item Sub Category]],Table2[[Sub Category]:[Billing Group]],3,0),99)</f>
        <v>99</v>
      </c>
      <c r="C227" s="167" t="str">
        <f>VLOOKUP(Data_Base[[#This Row],[Item Description]],Table2[[Item Name]:[Sub Category]],6,0)</f>
        <v>Big Gold - 20</v>
      </c>
      <c r="D227" s="60" t="s">
        <v>893</v>
      </c>
      <c r="E227" s="60" t="s">
        <v>82</v>
      </c>
      <c r="F227" s="168" t="s">
        <v>1607</v>
      </c>
      <c r="G227" s="169" t="s">
        <v>1608</v>
      </c>
      <c r="H227" s="170" t="s">
        <v>1609</v>
      </c>
      <c r="I227" s="171" t="s">
        <v>980</v>
      </c>
      <c r="J227" s="172" t="s">
        <v>331</v>
      </c>
      <c r="K227" s="173" t="s">
        <v>332</v>
      </c>
      <c r="L227" s="174" t="s">
        <v>0</v>
      </c>
      <c r="M227" s="175" t="s">
        <v>234</v>
      </c>
      <c r="N227" s="176">
        <v>125</v>
      </c>
      <c r="O227" s="177">
        <v>0</v>
      </c>
      <c r="P227" s="178">
        <v>125</v>
      </c>
      <c r="Q227" s="179">
        <v>0</v>
      </c>
      <c r="R227" s="180">
        <v>125</v>
      </c>
    </row>
    <row r="228" spans="1:18" ht="17">
      <c r="A228" s="60" t="str">
        <f>IFERROR(VLOOKUP(Data_Base[[#This Row],[Distributor Name]],Target[SS 2],1,FALSE),"Delete")</f>
        <v>J.K. BROTHERS</v>
      </c>
      <c r="B228" s="60">
        <f ca="1">IFERROR(VLOOKUP(Data_Base[[#This Row],[Item Sub Category]],Table2[[Sub Category]:[Billing Group]],3,0),99)</f>
        <v>25</v>
      </c>
      <c r="C228" s="167" t="str">
        <f>VLOOKUP(Data_Base[[#This Row],[Item Description]],Table2[[Item Name]:[Sub Category]],6,0)</f>
        <v>Bourbon-.20/-</v>
      </c>
      <c r="D228" s="60" t="s">
        <v>893</v>
      </c>
      <c r="E228" s="60" t="s">
        <v>82</v>
      </c>
      <c r="F228" s="168" t="s">
        <v>1607</v>
      </c>
      <c r="G228" s="169" t="s">
        <v>1608</v>
      </c>
      <c r="H228" s="170" t="s">
        <v>1609</v>
      </c>
      <c r="I228" s="171" t="s">
        <v>980</v>
      </c>
      <c r="J228" s="172" t="s">
        <v>140</v>
      </c>
      <c r="K228" s="173" t="s">
        <v>141</v>
      </c>
      <c r="L228" s="174" t="s">
        <v>0</v>
      </c>
      <c r="M228" s="175" t="s">
        <v>142</v>
      </c>
      <c r="N228" s="176">
        <v>5</v>
      </c>
      <c r="O228" s="177">
        <v>0</v>
      </c>
      <c r="P228" s="178">
        <v>5</v>
      </c>
      <c r="Q228" s="179">
        <v>0</v>
      </c>
      <c r="R228" s="180">
        <v>5</v>
      </c>
    </row>
    <row r="229" spans="1:18" ht="17">
      <c r="A229" s="60" t="str">
        <f>IFERROR(VLOOKUP(Data_Base[[#This Row],[Distributor Name]],Target[SS 2],1,FALSE),"Delete")</f>
        <v>J.K. BROTHERS</v>
      </c>
      <c r="B229" s="60">
        <f ca="1">IFERROR(VLOOKUP(Data_Base[[#This Row],[Item Sub Category]],Table2[[Sub Category]:[Billing Group]],3,0),99)</f>
        <v>49</v>
      </c>
      <c r="C229" s="167" t="str">
        <f>VLOOKUP(Data_Base[[#This Row],[Item Description]],Table2[[Item Name]:[Sub Category]],6,0)</f>
        <v>Snacks - F.P.</v>
      </c>
      <c r="D229" s="60" t="s">
        <v>893</v>
      </c>
      <c r="E229" s="60" t="s">
        <v>82</v>
      </c>
      <c r="F229" s="168" t="s">
        <v>1607</v>
      </c>
      <c r="G229" s="169" t="s">
        <v>1608</v>
      </c>
      <c r="H229" s="170" t="s">
        <v>1609</v>
      </c>
      <c r="I229" s="171" t="s">
        <v>980</v>
      </c>
      <c r="J229" s="172" t="s">
        <v>333</v>
      </c>
      <c r="K229" s="173" t="s">
        <v>334</v>
      </c>
      <c r="L229" s="174" t="s">
        <v>0</v>
      </c>
      <c r="M229" s="175" t="s">
        <v>335</v>
      </c>
      <c r="N229" s="176">
        <v>1200</v>
      </c>
      <c r="O229" s="177">
        <v>0</v>
      </c>
      <c r="P229" s="178">
        <v>1200</v>
      </c>
      <c r="Q229" s="179">
        <v>1154</v>
      </c>
      <c r="R229" s="180">
        <v>46</v>
      </c>
    </row>
    <row r="230" spans="1:18" ht="17">
      <c r="A230" s="60" t="str">
        <f>IFERROR(VLOOKUP(Data_Base[[#This Row],[Distributor Name]],Target[SS 2],1,FALSE),"Delete")</f>
        <v>J.K. BROTHERS</v>
      </c>
      <c r="B230" s="60">
        <f ca="1">IFERROR(VLOOKUP(Data_Base[[#This Row],[Item Sub Category]],Table2[[Sub Category]:[Billing Group]],3,0),99)</f>
        <v>7</v>
      </c>
      <c r="C230" s="167" t="str">
        <f>VLOOKUP(Data_Base[[#This Row],[Item Description]],Table2[[Item Name]:[Sub Category]],6,0)</f>
        <v>B.B Cashew -10</v>
      </c>
      <c r="D230" s="60" t="s">
        <v>893</v>
      </c>
      <c r="E230" s="60" t="s">
        <v>82</v>
      </c>
      <c r="F230" s="168" t="s">
        <v>1607</v>
      </c>
      <c r="G230" s="169" t="s">
        <v>1608</v>
      </c>
      <c r="H230" s="170" t="s">
        <v>1609</v>
      </c>
      <c r="I230" s="171" t="s">
        <v>980</v>
      </c>
      <c r="J230" s="172" t="s">
        <v>389</v>
      </c>
      <c r="K230" s="173" t="s">
        <v>390</v>
      </c>
      <c r="L230" s="174" t="s">
        <v>0</v>
      </c>
      <c r="M230" s="175" t="s">
        <v>97</v>
      </c>
      <c r="N230" s="176">
        <v>17</v>
      </c>
      <c r="O230" s="177">
        <v>0</v>
      </c>
      <c r="P230" s="178">
        <v>17</v>
      </c>
      <c r="Q230" s="179">
        <v>0</v>
      </c>
      <c r="R230" s="180">
        <v>17</v>
      </c>
    </row>
    <row r="231" spans="1:18" ht="17">
      <c r="A231" s="60" t="str">
        <f>IFERROR(VLOOKUP(Data_Base[[#This Row],[Distributor Name]],Target[SS 2],1,FALSE),"Delete")</f>
        <v>J.K. BROTHERS</v>
      </c>
      <c r="B231" s="60">
        <f ca="1">IFERROR(VLOOKUP(Data_Base[[#This Row],[Item Sub Category]],Table2[[Sub Category]:[Billing Group]],3,0),99)</f>
        <v>62</v>
      </c>
      <c r="C231" s="167" t="str">
        <f>VLOOKUP(Data_Base[[#This Row],[Item Description]],Table2[[Item Name]:[Sub Category]],6,0)</f>
        <v>Cheese/ Top Cracker - 10</v>
      </c>
      <c r="D231" s="60" t="s">
        <v>893</v>
      </c>
      <c r="E231" s="60" t="s">
        <v>82</v>
      </c>
      <c r="F231" s="168" t="s">
        <v>1607</v>
      </c>
      <c r="G231" s="169" t="s">
        <v>1608</v>
      </c>
      <c r="H231" s="170" t="s">
        <v>1609</v>
      </c>
      <c r="I231" s="171" t="s">
        <v>980</v>
      </c>
      <c r="J231" s="172" t="s">
        <v>545</v>
      </c>
      <c r="K231" s="173" t="s">
        <v>546</v>
      </c>
      <c r="L231" s="174" t="s">
        <v>0</v>
      </c>
      <c r="M231" s="175" t="s">
        <v>202</v>
      </c>
      <c r="N231" s="176">
        <v>47</v>
      </c>
      <c r="O231" s="177">
        <v>0</v>
      </c>
      <c r="P231" s="178">
        <v>47</v>
      </c>
      <c r="Q231" s="179">
        <v>0</v>
      </c>
      <c r="R231" s="180">
        <v>47</v>
      </c>
    </row>
    <row r="232" spans="1:18" ht="17">
      <c r="A232" s="60" t="str">
        <f>IFERROR(VLOOKUP(Data_Base[[#This Row],[Distributor Name]],Target[SS 2],1,FALSE),"Delete")</f>
        <v>J.K. BROTHERS</v>
      </c>
      <c r="B232" s="60">
        <f ca="1">IFERROR(VLOOKUP(Data_Base[[#This Row],[Item Sub Category]],Table2[[Sub Category]:[Billing Group]],3,0),99)</f>
        <v>28</v>
      </c>
      <c r="C232" s="167" t="str">
        <f>VLOOKUP(Data_Base[[#This Row],[Item Description]],Table2[[Item Name]:[Sub Category]],6,0)</f>
        <v>Classic Cream Choco -.20/-</v>
      </c>
      <c r="D232" s="60" t="s">
        <v>893</v>
      </c>
      <c r="E232" s="60" t="s">
        <v>82</v>
      </c>
      <c r="F232" s="168" t="s">
        <v>1607</v>
      </c>
      <c r="G232" s="169" t="s">
        <v>1608</v>
      </c>
      <c r="H232" s="170" t="s">
        <v>1609</v>
      </c>
      <c r="I232" s="171" t="s">
        <v>980</v>
      </c>
      <c r="J232" s="172" t="s">
        <v>272</v>
      </c>
      <c r="K232" s="173" t="s">
        <v>273</v>
      </c>
      <c r="L232" s="174" t="s">
        <v>0</v>
      </c>
      <c r="M232" s="175" t="s">
        <v>145</v>
      </c>
      <c r="N232" s="176">
        <v>376</v>
      </c>
      <c r="O232" s="177">
        <v>0</v>
      </c>
      <c r="P232" s="178">
        <v>376</v>
      </c>
      <c r="Q232" s="179">
        <v>0</v>
      </c>
      <c r="R232" s="180">
        <v>376</v>
      </c>
    </row>
    <row r="233" spans="1:18" ht="17">
      <c r="A233" s="60" t="str">
        <f>IFERROR(VLOOKUP(Data_Base[[#This Row],[Distributor Name]],Target[SS 2],1,FALSE),"Delete")</f>
        <v>J.K. BROTHERS</v>
      </c>
      <c r="B233" s="60">
        <f ca="1">IFERROR(VLOOKUP(Data_Base[[#This Row],[Item Sub Category]],Table2[[Sub Category]:[Billing Group]],3,0),99)</f>
        <v>26</v>
      </c>
      <c r="C233" s="167" t="str">
        <f>VLOOKUP(Data_Base[[#This Row],[Item Description]],Table2[[Item Name]:[Sub Category]],6,0)</f>
        <v>Classic Cream Choco -.5/-</v>
      </c>
      <c r="D233" s="60" t="s">
        <v>893</v>
      </c>
      <c r="E233" s="60" t="s">
        <v>82</v>
      </c>
      <c r="F233" s="168" t="s">
        <v>1607</v>
      </c>
      <c r="G233" s="169" t="s">
        <v>1608</v>
      </c>
      <c r="H233" s="170" t="s">
        <v>1609</v>
      </c>
      <c r="I233" s="171" t="s">
        <v>980</v>
      </c>
      <c r="J233" s="172" t="s">
        <v>149</v>
      </c>
      <c r="K233" s="173" t="s">
        <v>150</v>
      </c>
      <c r="L233" s="174" t="s">
        <v>0</v>
      </c>
      <c r="M233" s="175" t="s">
        <v>151</v>
      </c>
      <c r="N233" s="176">
        <v>1</v>
      </c>
      <c r="O233" s="177">
        <v>0</v>
      </c>
      <c r="P233" s="178">
        <v>1</v>
      </c>
      <c r="Q233" s="179">
        <v>0</v>
      </c>
      <c r="R233" s="180">
        <v>1</v>
      </c>
    </row>
    <row r="234" spans="1:18" ht="17">
      <c r="A234" s="60" t="str">
        <f>IFERROR(VLOOKUP(Data_Base[[#This Row],[Distributor Name]],Target[SS 2],1,FALSE),"Delete")</f>
        <v>J.K. BROTHERS</v>
      </c>
      <c r="B234" s="60">
        <f ca="1">IFERROR(VLOOKUP(Data_Base[[#This Row],[Item Sub Category]],Table2[[Sub Category]:[Billing Group]],3,0),99)</f>
        <v>27</v>
      </c>
      <c r="C234" s="167" t="str">
        <f>VLOOKUP(Data_Base[[#This Row],[Item Description]],Table2[[Item Name]:[Sub Category]],6,0)</f>
        <v>Classic Cream Choco -.10/-</v>
      </c>
      <c r="D234" s="60" t="s">
        <v>893</v>
      </c>
      <c r="E234" s="60" t="s">
        <v>82</v>
      </c>
      <c r="F234" s="168" t="s">
        <v>1607</v>
      </c>
      <c r="G234" s="169" t="s">
        <v>1608</v>
      </c>
      <c r="H234" s="170" t="s">
        <v>1609</v>
      </c>
      <c r="I234" s="171" t="s">
        <v>980</v>
      </c>
      <c r="J234" s="172" t="s">
        <v>152</v>
      </c>
      <c r="K234" s="173" t="s">
        <v>153</v>
      </c>
      <c r="L234" s="174" t="s">
        <v>0</v>
      </c>
      <c r="M234" s="175" t="s">
        <v>154</v>
      </c>
      <c r="N234" s="176">
        <v>6</v>
      </c>
      <c r="O234" s="177">
        <v>0</v>
      </c>
      <c r="P234" s="178">
        <v>6</v>
      </c>
      <c r="Q234" s="179">
        <v>0</v>
      </c>
      <c r="R234" s="180">
        <v>6</v>
      </c>
    </row>
    <row r="235" spans="1:18" ht="17">
      <c r="A235" s="60" t="str">
        <f>IFERROR(VLOOKUP(Data_Base[[#This Row],[Distributor Name]],Target[SS 2],1,FALSE),"Delete")</f>
        <v>J.K. BROTHERS</v>
      </c>
      <c r="B235" s="60">
        <f ca="1">IFERROR(VLOOKUP(Data_Base[[#This Row],[Item Sub Category]],Table2[[Sub Category]:[Billing Group]],3,0),99)</f>
        <v>34</v>
      </c>
      <c r="C235" s="167" t="str">
        <f>VLOOKUP(Data_Base[[#This Row],[Item Description]],Table2[[Item Name]:[Sub Category]],6,0)</f>
        <v>Classic Cream Elaichi -.20/-</v>
      </c>
      <c r="D235" s="60" t="s">
        <v>893</v>
      </c>
      <c r="E235" s="60" t="s">
        <v>82</v>
      </c>
      <c r="F235" s="168" t="s">
        <v>1607</v>
      </c>
      <c r="G235" s="169" t="s">
        <v>1608</v>
      </c>
      <c r="H235" s="170" t="s">
        <v>1609</v>
      </c>
      <c r="I235" s="171" t="s">
        <v>980</v>
      </c>
      <c r="J235" s="172" t="s">
        <v>155</v>
      </c>
      <c r="K235" s="173" t="s">
        <v>156</v>
      </c>
      <c r="L235" s="174" t="s">
        <v>0</v>
      </c>
      <c r="M235" s="175" t="s">
        <v>157</v>
      </c>
      <c r="N235" s="176">
        <v>4</v>
      </c>
      <c r="O235" s="177">
        <v>0</v>
      </c>
      <c r="P235" s="178">
        <v>4</v>
      </c>
      <c r="Q235" s="179">
        <v>0</v>
      </c>
      <c r="R235" s="180">
        <v>4</v>
      </c>
    </row>
    <row r="236" spans="1:18" ht="17">
      <c r="A236" s="60" t="str">
        <f>IFERROR(VLOOKUP(Data_Base[[#This Row],[Distributor Name]],Target[SS 2],1,FALSE),"Delete")</f>
        <v>J.K. BROTHERS</v>
      </c>
      <c r="B236" s="60">
        <f ca="1">IFERROR(VLOOKUP(Data_Base[[#This Row],[Item Sub Category]],Table2[[Sub Category]:[Billing Group]],3,0),99)</f>
        <v>32</v>
      </c>
      <c r="C236" s="167" t="str">
        <f>VLOOKUP(Data_Base[[#This Row],[Item Description]],Table2[[Item Name]:[Sub Category]],6,0)</f>
        <v>Classic Cream Elaichi -.5/-</v>
      </c>
      <c r="D236" s="60" t="s">
        <v>893</v>
      </c>
      <c r="E236" s="60" t="s">
        <v>82</v>
      </c>
      <c r="F236" s="168" t="s">
        <v>1607</v>
      </c>
      <c r="G236" s="169" t="s">
        <v>1608</v>
      </c>
      <c r="H236" s="170" t="s">
        <v>1609</v>
      </c>
      <c r="I236" s="171" t="s">
        <v>980</v>
      </c>
      <c r="J236" s="172" t="s">
        <v>158</v>
      </c>
      <c r="K236" s="173" t="s">
        <v>159</v>
      </c>
      <c r="L236" s="174" t="s">
        <v>0</v>
      </c>
      <c r="M236" s="175" t="s">
        <v>160</v>
      </c>
      <c r="N236" s="176">
        <v>548</v>
      </c>
      <c r="O236" s="177">
        <v>0</v>
      </c>
      <c r="P236" s="178">
        <v>548</v>
      </c>
      <c r="Q236" s="179">
        <v>195</v>
      </c>
      <c r="R236" s="180">
        <v>353</v>
      </c>
    </row>
    <row r="237" spans="1:18" ht="17">
      <c r="A237" s="60" t="str">
        <f>IFERROR(VLOOKUP(Data_Base[[#This Row],[Distributor Name]],Target[SS 2],1,FALSE),"Delete")</f>
        <v>J.K. BROTHERS</v>
      </c>
      <c r="B237" s="60">
        <f ca="1">IFERROR(VLOOKUP(Data_Base[[#This Row],[Item Sub Category]],Table2[[Sub Category]:[Billing Group]],3,0),99)</f>
        <v>33</v>
      </c>
      <c r="C237" s="167" t="str">
        <f>VLOOKUP(Data_Base[[#This Row],[Item Description]],Table2[[Item Name]:[Sub Category]],6,0)</f>
        <v>Classic Cream Elaichi -.10/-</v>
      </c>
      <c r="D237" s="60" t="s">
        <v>893</v>
      </c>
      <c r="E237" s="60" t="s">
        <v>82</v>
      </c>
      <c r="F237" s="168" t="s">
        <v>1607</v>
      </c>
      <c r="G237" s="169" t="s">
        <v>1608</v>
      </c>
      <c r="H237" s="170" t="s">
        <v>1609</v>
      </c>
      <c r="I237" s="171" t="s">
        <v>980</v>
      </c>
      <c r="J237" s="172" t="s">
        <v>161</v>
      </c>
      <c r="K237" s="173" t="s">
        <v>162</v>
      </c>
      <c r="L237" s="174" t="s">
        <v>0</v>
      </c>
      <c r="M237" s="175" t="s">
        <v>163</v>
      </c>
      <c r="N237" s="176">
        <v>389</v>
      </c>
      <c r="O237" s="177">
        <v>0</v>
      </c>
      <c r="P237" s="178">
        <v>389</v>
      </c>
      <c r="Q237" s="179">
        <v>0</v>
      </c>
      <c r="R237" s="180">
        <v>389</v>
      </c>
    </row>
    <row r="238" spans="1:18" ht="17">
      <c r="A238" s="60" t="str">
        <f>IFERROR(VLOOKUP(Data_Base[[#This Row],[Distributor Name]],Target[SS 2],1,FALSE),"Delete")</f>
        <v>J.K. BROTHERS</v>
      </c>
      <c r="B238" s="60">
        <f ca="1">IFERROR(VLOOKUP(Data_Base[[#This Row],[Item Sub Category]],Table2[[Sub Category]:[Billing Group]],3,0),99)</f>
        <v>31</v>
      </c>
      <c r="C238" s="167" t="str">
        <f>VLOOKUP(Data_Base[[#This Row],[Item Description]],Table2[[Item Name]:[Sub Category]],6,0)</f>
        <v>Classic Cream Orange -.20/-</v>
      </c>
      <c r="D238" s="60" t="s">
        <v>893</v>
      </c>
      <c r="E238" s="60" t="s">
        <v>82</v>
      </c>
      <c r="F238" s="168" t="s">
        <v>1607</v>
      </c>
      <c r="G238" s="169" t="s">
        <v>1608</v>
      </c>
      <c r="H238" s="170" t="s">
        <v>1609</v>
      </c>
      <c r="I238" s="171" t="s">
        <v>980</v>
      </c>
      <c r="J238" s="172" t="s">
        <v>164</v>
      </c>
      <c r="K238" s="173" t="s">
        <v>165</v>
      </c>
      <c r="L238" s="174" t="s">
        <v>0</v>
      </c>
      <c r="M238" s="175" t="s">
        <v>166</v>
      </c>
      <c r="N238" s="176">
        <v>20</v>
      </c>
      <c r="O238" s="177">
        <v>0</v>
      </c>
      <c r="P238" s="178">
        <v>20</v>
      </c>
      <c r="Q238" s="179">
        <v>0</v>
      </c>
      <c r="R238" s="180">
        <v>20</v>
      </c>
    </row>
    <row r="239" spans="1:18" ht="17">
      <c r="A239" s="60" t="str">
        <f>IFERROR(VLOOKUP(Data_Base[[#This Row],[Distributor Name]],Target[SS 2],1,FALSE),"Delete")</f>
        <v>J.K. BROTHERS</v>
      </c>
      <c r="B239" s="60">
        <f ca="1">IFERROR(VLOOKUP(Data_Base[[#This Row],[Item Sub Category]],Table2[[Sub Category]:[Billing Group]],3,0),99)</f>
        <v>29</v>
      </c>
      <c r="C239" s="167" t="str">
        <f>VLOOKUP(Data_Base[[#This Row],[Item Description]],Table2[[Item Name]:[Sub Category]],6,0)</f>
        <v>Classic Cream Orange -.5/-</v>
      </c>
      <c r="D239" s="60" t="s">
        <v>893</v>
      </c>
      <c r="E239" s="60" t="s">
        <v>82</v>
      </c>
      <c r="F239" s="168" t="s">
        <v>1607</v>
      </c>
      <c r="G239" s="169" t="s">
        <v>1608</v>
      </c>
      <c r="H239" s="170" t="s">
        <v>1609</v>
      </c>
      <c r="I239" s="171" t="s">
        <v>980</v>
      </c>
      <c r="J239" s="172" t="s">
        <v>167</v>
      </c>
      <c r="K239" s="173" t="s">
        <v>168</v>
      </c>
      <c r="L239" s="174" t="s">
        <v>0</v>
      </c>
      <c r="M239" s="175" t="s">
        <v>169</v>
      </c>
      <c r="N239" s="176">
        <v>741</v>
      </c>
      <c r="O239" s="177">
        <v>0</v>
      </c>
      <c r="P239" s="178">
        <v>741</v>
      </c>
      <c r="Q239" s="179">
        <v>210</v>
      </c>
      <c r="R239" s="180">
        <v>531</v>
      </c>
    </row>
    <row r="240" spans="1:18" ht="17">
      <c r="A240" s="60" t="str">
        <f>IFERROR(VLOOKUP(Data_Base[[#This Row],[Distributor Name]],Target[SS 2],1,FALSE),"Delete")</f>
        <v>J.K. BROTHERS</v>
      </c>
      <c r="B240" s="60">
        <f ca="1">IFERROR(VLOOKUP(Data_Base[[#This Row],[Item Sub Category]],Table2[[Sub Category]:[Billing Group]],3,0),99)</f>
        <v>30</v>
      </c>
      <c r="C240" s="167" t="str">
        <f>VLOOKUP(Data_Base[[#This Row],[Item Description]],Table2[[Item Name]:[Sub Category]],6,0)</f>
        <v>Classic Cream Orange -.10/-</v>
      </c>
      <c r="D240" s="60" t="s">
        <v>893</v>
      </c>
      <c r="E240" s="60" t="s">
        <v>82</v>
      </c>
      <c r="F240" s="168" t="s">
        <v>1607</v>
      </c>
      <c r="G240" s="169" t="s">
        <v>1608</v>
      </c>
      <c r="H240" s="170" t="s">
        <v>1609</v>
      </c>
      <c r="I240" s="171" t="s">
        <v>980</v>
      </c>
      <c r="J240" s="172" t="s">
        <v>170</v>
      </c>
      <c r="K240" s="173" t="s">
        <v>171</v>
      </c>
      <c r="L240" s="174" t="s">
        <v>0</v>
      </c>
      <c r="M240" s="175" t="s">
        <v>172</v>
      </c>
      <c r="N240" s="176">
        <v>21</v>
      </c>
      <c r="O240" s="177">
        <v>0</v>
      </c>
      <c r="P240" s="178">
        <v>21</v>
      </c>
      <c r="Q240" s="179">
        <v>0</v>
      </c>
      <c r="R240" s="180">
        <v>21</v>
      </c>
    </row>
    <row r="241" spans="1:18" ht="17">
      <c r="A241" s="60" t="str">
        <f>IFERROR(VLOOKUP(Data_Base[[#This Row],[Distributor Name]],Target[SS 2],1,FALSE),"Delete")</f>
        <v>J.K. BROTHERS</v>
      </c>
      <c r="B241" s="60">
        <f ca="1">IFERROR(VLOOKUP(Data_Base[[#This Row],[Item Sub Category]],Table2[[Sub Category]:[Billing Group]],3,0),99)</f>
        <v>21</v>
      </c>
      <c r="C241" s="167" t="str">
        <f>VLOOKUP(Data_Base[[#This Row],[Item Description]],Table2[[Item Name]:[Sub Category]],6,0)</f>
        <v>Coconut Crunch-.20/-</v>
      </c>
      <c r="D241" s="60" t="s">
        <v>893</v>
      </c>
      <c r="E241" s="60" t="s">
        <v>82</v>
      </c>
      <c r="F241" s="168" t="s">
        <v>1607</v>
      </c>
      <c r="G241" s="169" t="s">
        <v>1608</v>
      </c>
      <c r="H241" s="170" t="s">
        <v>1609</v>
      </c>
      <c r="I241" s="171" t="s">
        <v>980</v>
      </c>
      <c r="J241" s="172" t="s">
        <v>173</v>
      </c>
      <c r="K241" s="173" t="s">
        <v>174</v>
      </c>
      <c r="L241" s="174" t="s">
        <v>0</v>
      </c>
      <c r="M241" s="175" t="s">
        <v>175</v>
      </c>
      <c r="N241" s="176">
        <v>88</v>
      </c>
      <c r="O241" s="177">
        <v>0</v>
      </c>
      <c r="P241" s="178">
        <v>88</v>
      </c>
      <c r="Q241" s="179">
        <v>0</v>
      </c>
      <c r="R241" s="180">
        <v>88</v>
      </c>
    </row>
    <row r="242" spans="1:18" ht="17">
      <c r="A242" s="60" t="str">
        <f>IFERROR(VLOOKUP(Data_Base[[#This Row],[Distributor Name]],Target[SS 2],1,FALSE),"Delete")</f>
        <v>J.K. BROTHERS</v>
      </c>
      <c r="B242" s="60">
        <f ca="1">IFERROR(VLOOKUP(Data_Base[[#This Row],[Item Sub Category]],Table2[[Sub Category]:[Billing Group]],3,0),99)</f>
        <v>46</v>
      </c>
      <c r="C242" s="167" t="str">
        <f>VLOOKUP(Data_Base[[#This Row],[Item Description]],Table2[[Item Name]:[Sub Category]],6,0)</f>
        <v>Marie Lite -F.P.</v>
      </c>
      <c r="D242" s="60" t="s">
        <v>893</v>
      </c>
      <c r="E242" s="60" t="s">
        <v>82</v>
      </c>
      <c r="F242" s="168" t="s">
        <v>1607</v>
      </c>
      <c r="G242" s="169" t="s">
        <v>1608</v>
      </c>
      <c r="H242" s="170" t="s">
        <v>1609</v>
      </c>
      <c r="I242" s="171" t="s">
        <v>980</v>
      </c>
      <c r="J242" s="172" t="s">
        <v>425</v>
      </c>
      <c r="K242" s="173" t="s">
        <v>426</v>
      </c>
      <c r="L242" s="174" t="s">
        <v>0</v>
      </c>
      <c r="M242" s="175" t="s">
        <v>427</v>
      </c>
      <c r="N242" s="176">
        <v>88</v>
      </c>
      <c r="O242" s="177">
        <v>0</v>
      </c>
      <c r="P242" s="178">
        <v>88</v>
      </c>
      <c r="Q242" s="179">
        <v>50</v>
      </c>
      <c r="R242" s="180">
        <v>38</v>
      </c>
    </row>
    <row r="243" spans="1:18" ht="17">
      <c r="A243" s="60" t="str">
        <f>IFERROR(VLOOKUP(Data_Base[[#This Row],[Distributor Name]],Target[SS 2],1,FALSE),"Delete")</f>
        <v>J.K. BROTHERS</v>
      </c>
      <c r="B243" s="60">
        <f ca="1">IFERROR(VLOOKUP(Data_Base[[#This Row],[Item Sub Category]],Table2[[Sub Category]:[Billing Group]],3,0),99)</f>
        <v>99</v>
      </c>
      <c r="C243" s="167" t="str">
        <f>VLOOKUP(Data_Base[[#This Row],[Item Description]],Table2[[Item Name]:[Sub Category]],6,0)</f>
        <v>RAIL</v>
      </c>
      <c r="D243" s="60" t="s">
        <v>893</v>
      </c>
      <c r="E243" s="60" t="s">
        <v>82</v>
      </c>
      <c r="F243" s="168" t="s">
        <v>1607</v>
      </c>
      <c r="G243" s="169" t="s">
        <v>1608</v>
      </c>
      <c r="H243" s="170" t="s">
        <v>1609</v>
      </c>
      <c r="I243" s="171" t="s">
        <v>980</v>
      </c>
      <c r="J243" s="172" t="s">
        <v>529</v>
      </c>
      <c r="K243" s="173" t="s">
        <v>530</v>
      </c>
      <c r="L243" s="174" t="s">
        <v>978</v>
      </c>
      <c r="M243" s="175" t="s">
        <v>531</v>
      </c>
      <c r="N243" s="176">
        <v>4</v>
      </c>
      <c r="O243" s="177">
        <v>0</v>
      </c>
      <c r="P243" s="178">
        <v>4</v>
      </c>
      <c r="Q243" s="179">
        <v>0</v>
      </c>
      <c r="R243" s="180">
        <v>4</v>
      </c>
    </row>
    <row r="244" spans="1:18" ht="17">
      <c r="A244" s="60" t="str">
        <f>IFERROR(VLOOKUP(Data_Base[[#This Row],[Distributor Name]],Target[SS 2],1,FALSE),"Delete")</f>
        <v>J.K. BROTHERS</v>
      </c>
      <c r="B244" s="60">
        <f ca="1">IFERROR(VLOOKUP(Data_Base[[#This Row],[Item Sub Category]],Table2[[Sub Category]:[Billing Group]],3,0),99)</f>
        <v>99</v>
      </c>
      <c r="C244" s="167" t="str">
        <f>VLOOKUP(Data_Base[[#This Row],[Item Description]],Table2[[Item Name]:[Sub Category]],6,0)</f>
        <v>RAIL</v>
      </c>
      <c r="D244" s="60" t="s">
        <v>893</v>
      </c>
      <c r="E244" s="60" t="s">
        <v>82</v>
      </c>
      <c r="F244" s="168" t="s">
        <v>1607</v>
      </c>
      <c r="G244" s="169" t="s">
        <v>1608</v>
      </c>
      <c r="H244" s="170" t="s">
        <v>1609</v>
      </c>
      <c r="I244" s="171" t="s">
        <v>980</v>
      </c>
      <c r="J244" s="172" t="s">
        <v>547</v>
      </c>
      <c r="K244" s="173" t="s">
        <v>548</v>
      </c>
      <c r="L244" s="174" t="s">
        <v>978</v>
      </c>
      <c r="M244" s="175" t="s">
        <v>531</v>
      </c>
      <c r="N244" s="176">
        <v>336</v>
      </c>
      <c r="O244" s="177">
        <v>0</v>
      </c>
      <c r="P244" s="178">
        <v>336</v>
      </c>
      <c r="Q244" s="179">
        <v>332</v>
      </c>
      <c r="R244" s="180">
        <v>4</v>
      </c>
    </row>
    <row r="245" spans="1:18" ht="17">
      <c r="A245" s="60" t="str">
        <f>IFERROR(VLOOKUP(Data_Base[[#This Row],[Distributor Name]],Target[SS 2],1,FALSE),"Delete")</f>
        <v>J.K. BROTHERS</v>
      </c>
      <c r="B245" s="60">
        <f ca="1">IFERROR(VLOOKUP(Data_Base[[#This Row],[Item Sub Category]],Table2[[Sub Category]:[Billing Group]],3,0),99)</f>
        <v>48</v>
      </c>
      <c r="C245" s="167" t="str">
        <f>VLOOKUP(Data_Base[[#This Row],[Item Description]],Table2[[Item Name]:[Sub Category]],6,0)</f>
        <v>Snacks - 10</v>
      </c>
      <c r="D245" s="60" t="s">
        <v>893</v>
      </c>
      <c r="E245" s="60" t="s">
        <v>82</v>
      </c>
      <c r="F245" s="168" t="s">
        <v>1607</v>
      </c>
      <c r="G245" s="169" t="s">
        <v>1608</v>
      </c>
      <c r="H245" s="170" t="s">
        <v>1609</v>
      </c>
      <c r="I245" s="171" t="s">
        <v>980</v>
      </c>
      <c r="J245" s="172" t="s">
        <v>800</v>
      </c>
      <c r="K245" s="173" t="s">
        <v>801</v>
      </c>
      <c r="L245" s="174" t="s">
        <v>0</v>
      </c>
      <c r="M245" s="175" t="s">
        <v>284</v>
      </c>
      <c r="N245" s="176">
        <v>229</v>
      </c>
      <c r="O245" s="177">
        <v>0</v>
      </c>
      <c r="P245" s="178">
        <v>229</v>
      </c>
      <c r="Q245" s="179">
        <v>225</v>
      </c>
      <c r="R245" s="180">
        <v>4</v>
      </c>
    </row>
    <row r="246" spans="1:18" ht="17">
      <c r="A246" s="60" t="str">
        <f>IFERROR(VLOOKUP(Data_Base[[#This Row],[Distributor Name]],Target[SS 2],1,FALSE),"Delete")</f>
        <v>J.K. BROTHERS</v>
      </c>
      <c r="B246" s="60">
        <f ca="1">IFERROR(VLOOKUP(Data_Base[[#This Row],[Item Sub Category]],Table2[[Sub Category]:[Billing Group]],3,0),99)</f>
        <v>130</v>
      </c>
      <c r="C246" s="167" t="str">
        <f>VLOOKUP(Data_Base[[#This Row],[Item Description]],Table2[[Item Name]:[Sub Category]],6,0)</f>
        <v>Snakker- 5/-</v>
      </c>
      <c r="D246" s="60" t="s">
        <v>893</v>
      </c>
      <c r="E246" s="60" t="s">
        <v>82</v>
      </c>
      <c r="F246" s="168" t="s">
        <v>1607</v>
      </c>
      <c r="G246" s="169" t="s">
        <v>1608</v>
      </c>
      <c r="H246" s="170" t="s">
        <v>1609</v>
      </c>
      <c r="I246" s="171" t="s">
        <v>980</v>
      </c>
      <c r="J246" s="172" t="s">
        <v>274</v>
      </c>
      <c r="K246" s="173" t="s">
        <v>275</v>
      </c>
      <c r="L246" s="174" t="s">
        <v>16</v>
      </c>
      <c r="M246" s="175" t="s">
        <v>187</v>
      </c>
      <c r="N246" s="176">
        <v>1154</v>
      </c>
      <c r="O246" s="177">
        <v>0</v>
      </c>
      <c r="P246" s="178">
        <v>1154</v>
      </c>
      <c r="Q246" s="179">
        <v>1146.5999999999999</v>
      </c>
      <c r="R246" s="180">
        <v>7.4</v>
      </c>
    </row>
    <row r="247" spans="1:18" ht="17">
      <c r="A247" s="60" t="str">
        <f>IFERROR(VLOOKUP(Data_Base[[#This Row],[Distributor Name]],Target[SS 2],1,FALSE),"Delete")</f>
        <v>J.K. BROTHERS</v>
      </c>
      <c r="B247" s="60">
        <f ca="1">IFERROR(VLOOKUP(Data_Base[[#This Row],[Item Sub Category]],Table2[[Sub Category]:[Billing Group]],3,0),99)</f>
        <v>149</v>
      </c>
      <c r="C247" s="167" t="str">
        <f>VLOOKUP(Data_Base[[#This Row],[Item Description]],Table2[[Item Name]:[Sub Category]],6,0)</f>
        <v>Snakker Minty Pouch</v>
      </c>
      <c r="D247" s="60" t="s">
        <v>893</v>
      </c>
      <c r="E247" s="60" t="s">
        <v>82</v>
      </c>
      <c r="F247" s="168" t="s">
        <v>1607</v>
      </c>
      <c r="G247" s="169" t="s">
        <v>1608</v>
      </c>
      <c r="H247" s="170" t="s">
        <v>1609</v>
      </c>
      <c r="I247" s="171" t="s">
        <v>980</v>
      </c>
      <c r="J247" s="172" t="s">
        <v>276</v>
      </c>
      <c r="K247" s="173" t="s">
        <v>277</v>
      </c>
      <c r="L247" s="174" t="s">
        <v>16</v>
      </c>
      <c r="M247" s="175" t="s">
        <v>278</v>
      </c>
      <c r="N247" s="176">
        <v>2</v>
      </c>
      <c r="O247" s="177">
        <v>0</v>
      </c>
      <c r="P247" s="178">
        <v>2</v>
      </c>
      <c r="Q247" s="179">
        <v>0</v>
      </c>
      <c r="R247" s="180">
        <v>2</v>
      </c>
    </row>
    <row r="248" spans="1:18" ht="17">
      <c r="A248" s="60" t="str">
        <f>IFERROR(VLOOKUP(Data_Base[[#This Row],[Distributor Name]],Target[SS 2],1,FALSE),"Delete")</f>
        <v>J.K. BROTHERS</v>
      </c>
      <c r="B248" s="60">
        <f ca="1">IFERROR(VLOOKUP(Data_Base[[#This Row],[Item Sub Category]],Table2[[Sub Category]:[Billing Group]],3,0),99)</f>
        <v>2</v>
      </c>
      <c r="C248" s="167" t="str">
        <f>VLOOKUP(Data_Base[[#This Row],[Item Description]],Table2[[Item Name]:[Sub Category]],6,0)</f>
        <v>Butter Bite -.5/-</v>
      </c>
      <c r="D248" s="60" t="s">
        <v>893</v>
      </c>
      <c r="E248" s="60" t="s">
        <v>82</v>
      </c>
      <c r="F248" s="168" t="s">
        <v>1607</v>
      </c>
      <c r="G248" s="169" t="s">
        <v>1608</v>
      </c>
      <c r="H248" s="170" t="s">
        <v>1609</v>
      </c>
      <c r="I248" s="171" t="s">
        <v>980</v>
      </c>
      <c r="J248" s="172" t="s">
        <v>525</v>
      </c>
      <c r="K248" s="173" t="s">
        <v>526</v>
      </c>
      <c r="L248" s="174" t="s">
        <v>0</v>
      </c>
      <c r="M248" s="175" t="s">
        <v>222</v>
      </c>
      <c r="N248" s="176">
        <v>43</v>
      </c>
      <c r="O248" s="177">
        <v>0</v>
      </c>
      <c r="P248" s="178">
        <v>43</v>
      </c>
      <c r="Q248" s="179">
        <v>0</v>
      </c>
      <c r="R248" s="180">
        <v>43</v>
      </c>
    </row>
    <row r="249" spans="1:18" ht="17">
      <c r="A249" s="60" t="str">
        <f>IFERROR(VLOOKUP(Data_Base[[#This Row],[Distributor Name]],Target[SS 2],1,FALSE),"Delete")</f>
        <v>J.K. BROTHERS</v>
      </c>
      <c r="B249" s="60">
        <f ca="1">IFERROR(VLOOKUP(Data_Base[[#This Row],[Item Sub Category]],Table2[[Sub Category]:[Billing Group]],3,0),99)</f>
        <v>50</v>
      </c>
      <c r="C249" s="167" t="str">
        <f>VLOOKUP(Data_Base[[#This Row],[Item Description]],Table2[[Item Name]:[Sub Category]],6,0)</f>
        <v>C.N.C. - 5</v>
      </c>
      <c r="D249" s="60" t="s">
        <v>893</v>
      </c>
      <c r="E249" s="60" t="s">
        <v>82</v>
      </c>
      <c r="F249" s="168" t="s">
        <v>1607</v>
      </c>
      <c r="G249" s="169" t="s">
        <v>1608</v>
      </c>
      <c r="H249" s="170" t="s">
        <v>1609</v>
      </c>
      <c r="I249" s="171" t="s">
        <v>980</v>
      </c>
      <c r="J249" s="172" t="s">
        <v>305</v>
      </c>
      <c r="K249" s="173" t="s">
        <v>306</v>
      </c>
      <c r="L249" s="174" t="s">
        <v>0</v>
      </c>
      <c r="M249" s="175" t="s">
        <v>148</v>
      </c>
      <c r="N249" s="176">
        <v>2</v>
      </c>
      <c r="O249" s="177">
        <v>0</v>
      </c>
      <c r="P249" s="178">
        <v>2</v>
      </c>
      <c r="Q249" s="179">
        <v>0</v>
      </c>
      <c r="R249" s="180">
        <v>2</v>
      </c>
    </row>
    <row r="250" spans="1:18" ht="17">
      <c r="A250" s="60" t="str">
        <f>IFERROR(VLOOKUP(Data_Base[[#This Row],[Distributor Name]],Target[SS 2],1,FALSE),"Delete")</f>
        <v>J.K. BROTHERS</v>
      </c>
      <c r="B250" s="60">
        <f ca="1">IFERROR(VLOOKUP(Data_Base[[#This Row],[Item Sub Category]],Table2[[Sub Category]:[Billing Group]],3,0),99)</f>
        <v>50</v>
      </c>
      <c r="C250" s="167" t="str">
        <f>VLOOKUP(Data_Base[[#This Row],[Item Description]],Table2[[Item Name]:[Sub Category]],6,0)</f>
        <v>C.N.C. - 5</v>
      </c>
      <c r="D250" s="60" t="s">
        <v>893</v>
      </c>
      <c r="E250" s="60" t="s">
        <v>82</v>
      </c>
      <c r="F250" s="168" t="s">
        <v>1607</v>
      </c>
      <c r="G250" s="169" t="s">
        <v>1608</v>
      </c>
      <c r="H250" s="170" t="s">
        <v>1609</v>
      </c>
      <c r="I250" s="171" t="s">
        <v>980</v>
      </c>
      <c r="J250" s="172" t="s">
        <v>215</v>
      </c>
      <c r="K250" s="173" t="s">
        <v>216</v>
      </c>
      <c r="L250" s="174" t="s">
        <v>0</v>
      </c>
      <c r="M250" s="175" t="s">
        <v>148</v>
      </c>
      <c r="N250" s="176">
        <v>552</v>
      </c>
      <c r="O250" s="177">
        <v>0</v>
      </c>
      <c r="P250" s="178">
        <v>552</v>
      </c>
      <c r="Q250" s="179">
        <v>550</v>
      </c>
      <c r="R250" s="180">
        <v>2</v>
      </c>
    </row>
    <row r="251" spans="1:18" ht="17">
      <c r="A251" s="60" t="str">
        <f>IFERROR(VLOOKUP(Data_Base[[#This Row],[Distributor Name]],Target[SS 2],1,FALSE),"Delete")</f>
        <v>J.K. BROTHERS</v>
      </c>
      <c r="B251" s="60">
        <f ca="1">IFERROR(VLOOKUP(Data_Base[[#This Row],[Item Sub Category]],Table2[[Sub Category]:[Billing Group]],3,0),99)</f>
        <v>148</v>
      </c>
      <c r="C251" s="167" t="str">
        <f>VLOOKUP(Data_Base[[#This Row],[Item Description]],Table2[[Item Name]:[Sub Category]],6,0)</f>
        <v>TOFFITO Jar</v>
      </c>
      <c r="D251" s="60" t="s">
        <v>893</v>
      </c>
      <c r="E251" s="60" t="s">
        <v>82</v>
      </c>
      <c r="F251" s="168" t="s">
        <v>1607</v>
      </c>
      <c r="G251" s="169" t="s">
        <v>1608</v>
      </c>
      <c r="H251" s="170" t="s">
        <v>1609</v>
      </c>
      <c r="I251" s="171" t="s">
        <v>980</v>
      </c>
      <c r="J251" s="172" t="s">
        <v>694</v>
      </c>
      <c r="K251" s="173" t="s">
        <v>695</v>
      </c>
      <c r="L251" s="174" t="s">
        <v>16</v>
      </c>
      <c r="M251" s="175" t="s">
        <v>472</v>
      </c>
      <c r="N251" s="176">
        <v>12</v>
      </c>
      <c r="O251" s="177">
        <v>0</v>
      </c>
      <c r="P251" s="178">
        <v>12</v>
      </c>
      <c r="Q251" s="179">
        <v>0</v>
      </c>
      <c r="R251" s="180">
        <v>12</v>
      </c>
    </row>
    <row r="252" spans="1:18" ht="17">
      <c r="A252" s="60" t="str">
        <f>IFERROR(VLOOKUP(Data_Base[[#This Row],[Distributor Name]],Target[SS 2],1,FALSE),"Delete")</f>
        <v>J.K. BROTHERS</v>
      </c>
      <c r="B252" s="60">
        <f>IFERROR(VLOOKUP(Data_Base[[#This Row],[Item Sub Category]],Table2[[Sub Category]:[Billing Group]],3,0),99)</f>
        <v>85</v>
      </c>
      <c r="C252" s="167" t="str">
        <f>VLOOKUP(Data_Base[[#This Row],[Item Description]],Table2[[Item Name]:[Sub Category]],6,0)</f>
        <v>Milky Brust-.5/-</v>
      </c>
      <c r="D252" s="60" t="s">
        <v>893</v>
      </c>
      <c r="E252" s="60" t="s">
        <v>82</v>
      </c>
      <c r="F252" s="168" t="s">
        <v>1607</v>
      </c>
      <c r="G252" s="169" t="s">
        <v>1608</v>
      </c>
      <c r="H252" s="170" t="s">
        <v>1609</v>
      </c>
      <c r="I252" s="171" t="s">
        <v>980</v>
      </c>
      <c r="J252" s="172" t="s">
        <v>956</v>
      </c>
      <c r="K252" s="173" t="s">
        <v>957</v>
      </c>
      <c r="L252" s="174" t="s">
        <v>0</v>
      </c>
      <c r="M252" s="175" t="s">
        <v>958</v>
      </c>
      <c r="N252" s="176">
        <v>34</v>
      </c>
      <c r="O252" s="177">
        <v>0</v>
      </c>
      <c r="P252" s="178">
        <v>34</v>
      </c>
      <c r="Q252" s="179">
        <v>0</v>
      </c>
      <c r="R252" s="180">
        <v>34</v>
      </c>
    </row>
    <row r="253" spans="1:18" ht="17">
      <c r="A253" s="60" t="str">
        <f>IFERROR(VLOOKUP(Data_Base[[#This Row],[Distributor Name]],Target[SS 2],1,FALSE),"Delete")</f>
        <v>PRABHAT TRADING COM.</v>
      </c>
      <c r="B253" s="60">
        <f ca="1">IFERROR(VLOOKUP(Data_Base[[#This Row],[Item Sub Category]],Table2[[Sub Category]:[Billing Group]],3,0),99)</f>
        <v>47</v>
      </c>
      <c r="C253" s="167" t="str">
        <f>VLOOKUP(Data_Base[[#This Row],[Item Description]],Table2[[Item Name]:[Sub Category]],6,0)</f>
        <v>Snacks - 5</v>
      </c>
      <c r="D253" s="60" t="s">
        <v>893</v>
      </c>
      <c r="E253" s="60" t="s">
        <v>82</v>
      </c>
      <c r="F253" s="168" t="s">
        <v>1829</v>
      </c>
      <c r="G253" s="169" t="s">
        <v>1830</v>
      </c>
      <c r="H253" s="170" t="s">
        <v>1831</v>
      </c>
      <c r="I253" s="171" t="s">
        <v>980</v>
      </c>
      <c r="J253" s="172" t="s">
        <v>349</v>
      </c>
      <c r="K253" s="173" t="s">
        <v>350</v>
      </c>
      <c r="L253" s="174" t="s">
        <v>0</v>
      </c>
      <c r="M253" s="175" t="s">
        <v>211</v>
      </c>
      <c r="N253" s="176">
        <v>59</v>
      </c>
      <c r="O253" s="177">
        <v>1165</v>
      </c>
      <c r="P253" s="178">
        <v>1224</v>
      </c>
      <c r="Q253" s="179">
        <v>1350</v>
      </c>
      <c r="R253" s="180">
        <v>-126</v>
      </c>
    </row>
    <row r="254" spans="1:18" ht="17">
      <c r="A254" s="60" t="str">
        <f>IFERROR(VLOOKUP(Data_Base[[#This Row],[Distributor Name]],Target[SS 2],1,FALSE),"Delete")</f>
        <v>PRABHAT TRADING COM.</v>
      </c>
      <c r="B254" s="60">
        <f ca="1">IFERROR(VLOOKUP(Data_Base[[#This Row],[Item Sub Category]],Table2[[Sub Category]:[Billing Group]],3,0),99)</f>
        <v>39</v>
      </c>
      <c r="C254" s="167" t="str">
        <f>VLOOKUP(Data_Base[[#This Row],[Item Description]],Table2[[Item Name]:[Sub Category]],6,0)</f>
        <v>Puff Crme - Lemon -5</v>
      </c>
      <c r="D254" s="60" t="s">
        <v>893</v>
      </c>
      <c r="E254" s="60" t="s">
        <v>82</v>
      </c>
      <c r="F254" s="168" t="s">
        <v>1829</v>
      </c>
      <c r="G254" s="169" t="s">
        <v>1830</v>
      </c>
      <c r="H254" s="170" t="s">
        <v>1831</v>
      </c>
      <c r="I254" s="171" t="s">
        <v>980</v>
      </c>
      <c r="J254" s="172" t="s">
        <v>83</v>
      </c>
      <c r="K254" s="173" t="s">
        <v>84</v>
      </c>
      <c r="L254" s="174" t="s">
        <v>0</v>
      </c>
      <c r="M254" s="175" t="s">
        <v>85</v>
      </c>
      <c r="N254" s="176">
        <v>0</v>
      </c>
      <c r="O254" s="177">
        <v>40</v>
      </c>
      <c r="P254" s="178">
        <v>40</v>
      </c>
      <c r="Q254" s="179">
        <v>10</v>
      </c>
      <c r="R254" s="180">
        <v>30</v>
      </c>
    </row>
    <row r="255" spans="1:18" ht="17">
      <c r="A255" s="60" t="str">
        <f>IFERROR(VLOOKUP(Data_Base[[#This Row],[Distributor Name]],Target[SS 2],1,FALSE),"Delete")</f>
        <v>PRABHAT TRADING COM.</v>
      </c>
      <c r="B255" s="60">
        <f ca="1">IFERROR(VLOOKUP(Data_Base[[#This Row],[Item Sub Category]],Table2[[Sub Category]:[Billing Group]],3,0),99)</f>
        <v>66</v>
      </c>
      <c r="C255" s="167" t="str">
        <f>VLOOKUP(Data_Base[[#This Row],[Item Description]],Table2[[Item Name]:[Sub Category]],6,0)</f>
        <v>Cheez Bit - 50</v>
      </c>
      <c r="D255" s="60" t="s">
        <v>893</v>
      </c>
      <c r="E255" s="60" t="s">
        <v>82</v>
      </c>
      <c r="F255" s="168" t="s">
        <v>1829</v>
      </c>
      <c r="G255" s="169" t="s">
        <v>1830</v>
      </c>
      <c r="H255" s="170" t="s">
        <v>1831</v>
      </c>
      <c r="I255" s="171" t="s">
        <v>980</v>
      </c>
      <c r="J255" s="172" t="s">
        <v>760</v>
      </c>
      <c r="K255" s="173" t="s">
        <v>965</v>
      </c>
      <c r="L255" s="174" t="s">
        <v>0</v>
      </c>
      <c r="M255" s="175" t="s">
        <v>262</v>
      </c>
      <c r="N255" s="176">
        <v>0</v>
      </c>
      <c r="O255" s="177">
        <v>195</v>
      </c>
      <c r="P255" s="178">
        <v>195</v>
      </c>
      <c r="Q255" s="179">
        <v>220</v>
      </c>
      <c r="R255" s="180">
        <v>-25</v>
      </c>
    </row>
    <row r="256" spans="1:18" ht="17">
      <c r="A256" s="60" t="str">
        <f>IFERROR(VLOOKUP(Data_Base[[#This Row],[Distributor Name]],Target[SS 2],1,FALSE),"Delete")</f>
        <v>PRABHAT TRADING COM.</v>
      </c>
      <c r="B256" s="60">
        <f ca="1">IFERROR(VLOOKUP(Data_Base[[#This Row],[Item Sub Category]],Table2[[Sub Category]:[Billing Group]],3,0),99)</f>
        <v>81</v>
      </c>
      <c r="C256" s="167" t="str">
        <f>VLOOKUP(Data_Base[[#This Row],[Item Description]],Table2[[Item Name]:[Sub Category]],6,0)</f>
        <v>Trojan-ATC</v>
      </c>
      <c r="D256" s="60" t="s">
        <v>893</v>
      </c>
      <c r="E256" s="60" t="s">
        <v>82</v>
      </c>
      <c r="F256" s="168" t="s">
        <v>1829</v>
      </c>
      <c r="G256" s="169" t="s">
        <v>1830</v>
      </c>
      <c r="H256" s="170" t="s">
        <v>1831</v>
      </c>
      <c r="I256" s="171" t="s">
        <v>980</v>
      </c>
      <c r="J256" s="172" t="s">
        <v>86</v>
      </c>
      <c r="K256" s="173" t="s">
        <v>87</v>
      </c>
      <c r="L256" s="174" t="s">
        <v>0</v>
      </c>
      <c r="M256" s="175" t="s">
        <v>88</v>
      </c>
      <c r="N256" s="176">
        <v>0</v>
      </c>
      <c r="O256" s="177">
        <v>30</v>
      </c>
      <c r="P256" s="178">
        <v>30</v>
      </c>
      <c r="Q256" s="179">
        <v>22</v>
      </c>
      <c r="R256" s="180">
        <v>8</v>
      </c>
    </row>
    <row r="257" spans="1:18" ht="17">
      <c r="A257" s="60" t="str">
        <f>IFERROR(VLOOKUP(Data_Base[[#This Row],[Distributor Name]],Target[SS 2],1,FALSE),"Delete")</f>
        <v>PRABHAT TRADING COM.</v>
      </c>
      <c r="B257" s="60">
        <f ca="1">IFERROR(VLOOKUP(Data_Base[[#This Row],[Item Sub Category]],Table2[[Sub Category]:[Billing Group]],3,0),99)</f>
        <v>4</v>
      </c>
      <c r="C257" s="167" t="str">
        <f>VLOOKUP(Data_Base[[#This Row],[Item Description]],Table2[[Item Name]:[Sub Category]],6,0)</f>
        <v>Butter Bite -.20/-</v>
      </c>
      <c r="D257" s="60" t="s">
        <v>893</v>
      </c>
      <c r="E257" s="60" t="s">
        <v>82</v>
      </c>
      <c r="F257" s="168" t="s">
        <v>1829</v>
      </c>
      <c r="G257" s="169" t="s">
        <v>1830</v>
      </c>
      <c r="H257" s="170" t="s">
        <v>1831</v>
      </c>
      <c r="I257" s="171" t="s">
        <v>980</v>
      </c>
      <c r="J257" s="172" t="s">
        <v>92</v>
      </c>
      <c r="K257" s="173" t="s">
        <v>93</v>
      </c>
      <c r="L257" s="174" t="s">
        <v>0</v>
      </c>
      <c r="M257" s="175" t="s">
        <v>94</v>
      </c>
      <c r="N257" s="176">
        <v>81</v>
      </c>
      <c r="O257" s="177">
        <v>66</v>
      </c>
      <c r="P257" s="178">
        <v>147</v>
      </c>
      <c r="Q257" s="179">
        <v>70</v>
      </c>
      <c r="R257" s="180">
        <v>77</v>
      </c>
    </row>
    <row r="258" spans="1:18" ht="17">
      <c r="A258" s="60" t="str">
        <f>IFERROR(VLOOKUP(Data_Base[[#This Row],[Distributor Name]],Target[SS 2],1,FALSE),"Delete")</f>
        <v>PRABHAT TRADING COM.</v>
      </c>
      <c r="B258" s="60">
        <f ca="1">IFERROR(VLOOKUP(Data_Base[[#This Row],[Item Sub Category]],Table2[[Sub Category]:[Billing Group]],3,0),99)</f>
        <v>7</v>
      </c>
      <c r="C258" s="167" t="str">
        <f>VLOOKUP(Data_Base[[#This Row],[Item Description]],Table2[[Item Name]:[Sub Category]],6,0)</f>
        <v>B.B Cashew -10</v>
      </c>
      <c r="D258" s="60" t="s">
        <v>893</v>
      </c>
      <c r="E258" s="60" t="s">
        <v>82</v>
      </c>
      <c r="F258" s="168" t="s">
        <v>1829</v>
      </c>
      <c r="G258" s="169" t="s">
        <v>1830</v>
      </c>
      <c r="H258" s="170" t="s">
        <v>1831</v>
      </c>
      <c r="I258" s="171" t="s">
        <v>980</v>
      </c>
      <c r="J258" s="172" t="s">
        <v>95</v>
      </c>
      <c r="K258" s="173" t="s">
        <v>96</v>
      </c>
      <c r="L258" s="174" t="s">
        <v>0</v>
      </c>
      <c r="M258" s="175" t="s">
        <v>97</v>
      </c>
      <c r="N258" s="176">
        <v>7</v>
      </c>
      <c r="O258" s="177">
        <v>0</v>
      </c>
      <c r="P258" s="178">
        <v>7</v>
      </c>
      <c r="Q258" s="179">
        <v>0</v>
      </c>
      <c r="R258" s="180">
        <v>7</v>
      </c>
    </row>
    <row r="259" spans="1:18" ht="17">
      <c r="A259" s="60" t="str">
        <f>IFERROR(VLOOKUP(Data_Base[[#This Row],[Distributor Name]],Target[SS 2],1,FALSE),"Delete")</f>
        <v>PRABHAT TRADING COM.</v>
      </c>
      <c r="B259" s="60">
        <f ca="1">IFERROR(VLOOKUP(Data_Base[[#This Row],[Item Sub Category]],Table2[[Sub Category]:[Billing Group]],3,0),99)</f>
        <v>13</v>
      </c>
      <c r="C259" s="167" t="str">
        <f>VLOOKUP(Data_Base[[#This Row],[Item Description]],Table2[[Item Name]:[Sub Category]],6,0)</f>
        <v>Chooo Chekkers-.5/-</v>
      </c>
      <c r="D259" s="60" t="s">
        <v>893</v>
      </c>
      <c r="E259" s="60" t="s">
        <v>82</v>
      </c>
      <c r="F259" s="168" t="s">
        <v>1829</v>
      </c>
      <c r="G259" s="169" t="s">
        <v>1830</v>
      </c>
      <c r="H259" s="170" t="s">
        <v>1831</v>
      </c>
      <c r="I259" s="171" t="s">
        <v>980</v>
      </c>
      <c r="J259" s="172" t="s">
        <v>104</v>
      </c>
      <c r="K259" s="173" t="s">
        <v>105</v>
      </c>
      <c r="L259" s="174" t="s">
        <v>0</v>
      </c>
      <c r="M259" s="175" t="s">
        <v>106</v>
      </c>
      <c r="N259" s="176">
        <v>0</v>
      </c>
      <c r="O259" s="177">
        <v>40</v>
      </c>
      <c r="P259" s="178">
        <v>40</v>
      </c>
      <c r="Q259" s="179">
        <v>22</v>
      </c>
      <c r="R259" s="180">
        <v>18</v>
      </c>
    </row>
    <row r="260" spans="1:18" ht="17">
      <c r="A260" s="60" t="str">
        <f>IFERROR(VLOOKUP(Data_Base[[#This Row],[Distributor Name]],Target[SS 2],1,FALSE),"Delete")</f>
        <v>PRABHAT TRADING COM.</v>
      </c>
      <c r="B260" s="60">
        <f ca="1">IFERROR(VLOOKUP(Data_Base[[#This Row],[Item Sub Category]],Table2[[Sub Category]:[Billing Group]],3,0),99)</f>
        <v>14</v>
      </c>
      <c r="C260" s="167" t="str">
        <f>VLOOKUP(Data_Base[[#This Row],[Item Description]],Table2[[Item Name]:[Sub Category]],6,0)</f>
        <v>Chooo Chekkers-.10/-</v>
      </c>
      <c r="D260" s="60" t="s">
        <v>893</v>
      </c>
      <c r="E260" s="60" t="s">
        <v>82</v>
      </c>
      <c r="F260" s="168" t="s">
        <v>1829</v>
      </c>
      <c r="G260" s="169" t="s">
        <v>1830</v>
      </c>
      <c r="H260" s="170" t="s">
        <v>1831</v>
      </c>
      <c r="I260" s="171" t="s">
        <v>980</v>
      </c>
      <c r="J260" s="172" t="s">
        <v>107</v>
      </c>
      <c r="K260" s="173" t="s">
        <v>108</v>
      </c>
      <c r="L260" s="174" t="s">
        <v>0</v>
      </c>
      <c r="M260" s="175" t="s">
        <v>109</v>
      </c>
      <c r="N260" s="176">
        <v>3</v>
      </c>
      <c r="O260" s="177">
        <v>10</v>
      </c>
      <c r="P260" s="178">
        <v>13</v>
      </c>
      <c r="Q260" s="179">
        <v>2</v>
      </c>
      <c r="R260" s="180">
        <v>11</v>
      </c>
    </row>
    <row r="261" spans="1:18" ht="17">
      <c r="A261" s="60" t="str">
        <f>IFERROR(VLOOKUP(Data_Base[[#This Row],[Distributor Name]],Target[SS 2],1,FALSE),"Delete")</f>
        <v>PRABHAT TRADING COM.</v>
      </c>
      <c r="B261" s="60">
        <f ca="1">IFERROR(VLOOKUP(Data_Base[[#This Row],[Item Sub Category]],Table2[[Sub Category]:[Billing Group]],3,0),99)</f>
        <v>15</v>
      </c>
      <c r="C261" s="167" t="str">
        <f>VLOOKUP(Data_Base[[#This Row],[Item Description]],Table2[[Item Name]:[Sub Category]],6,0)</f>
        <v>Chooo Chekkers-.20/-</v>
      </c>
      <c r="D261" s="60" t="s">
        <v>893</v>
      </c>
      <c r="E261" s="60" t="s">
        <v>82</v>
      </c>
      <c r="F261" s="168" t="s">
        <v>1829</v>
      </c>
      <c r="G261" s="169" t="s">
        <v>1830</v>
      </c>
      <c r="H261" s="170" t="s">
        <v>1831</v>
      </c>
      <c r="I261" s="171" t="s">
        <v>980</v>
      </c>
      <c r="J261" s="172" t="s">
        <v>353</v>
      </c>
      <c r="K261" s="173" t="s">
        <v>354</v>
      </c>
      <c r="L261" s="174" t="s">
        <v>0</v>
      </c>
      <c r="M261" s="175" t="s">
        <v>340</v>
      </c>
      <c r="N261" s="176">
        <v>11</v>
      </c>
      <c r="O261" s="177">
        <v>10</v>
      </c>
      <c r="P261" s="178">
        <v>21</v>
      </c>
      <c r="Q261" s="179">
        <v>9</v>
      </c>
      <c r="R261" s="180">
        <v>12</v>
      </c>
    </row>
    <row r="262" spans="1:18" ht="17">
      <c r="A262" s="60" t="str">
        <f>IFERROR(VLOOKUP(Data_Base[[#This Row],[Distributor Name]],Target[SS 2],1,FALSE),"Delete")</f>
        <v>PRABHAT TRADING COM.</v>
      </c>
      <c r="B262" s="60">
        <f ca="1">IFERROR(VLOOKUP(Data_Base[[#This Row],[Item Sub Category]],Table2[[Sub Category]:[Billing Group]],3,0),99)</f>
        <v>22</v>
      </c>
      <c r="C262" s="167" t="str">
        <f>VLOOKUP(Data_Base[[#This Row],[Item Description]],Table2[[Item Name]:[Sub Category]],6,0)</f>
        <v>Snakker Creme-.10/-</v>
      </c>
      <c r="D262" s="60" t="s">
        <v>893</v>
      </c>
      <c r="E262" s="60" t="s">
        <v>82</v>
      </c>
      <c r="F262" s="168" t="s">
        <v>1829</v>
      </c>
      <c r="G262" s="169" t="s">
        <v>1830</v>
      </c>
      <c r="H262" s="170" t="s">
        <v>1831</v>
      </c>
      <c r="I262" s="171" t="s">
        <v>980</v>
      </c>
      <c r="J262" s="172" t="s">
        <v>314</v>
      </c>
      <c r="K262" s="173" t="s">
        <v>315</v>
      </c>
      <c r="L262" s="174" t="s">
        <v>0</v>
      </c>
      <c r="M262" s="175" t="s">
        <v>316</v>
      </c>
      <c r="N262" s="176">
        <v>14</v>
      </c>
      <c r="O262" s="177">
        <v>0</v>
      </c>
      <c r="P262" s="178">
        <v>14</v>
      </c>
      <c r="Q262" s="179">
        <v>8</v>
      </c>
      <c r="R262" s="180">
        <v>6</v>
      </c>
    </row>
    <row r="263" spans="1:18" ht="17">
      <c r="A263" s="60" t="str">
        <f>IFERROR(VLOOKUP(Data_Base[[#This Row],[Distributor Name]],Target[SS 2],1,FALSE),"Delete")</f>
        <v>PRABHAT TRADING COM.</v>
      </c>
      <c r="B263" s="60">
        <f ca="1">IFERROR(VLOOKUP(Data_Base[[#This Row],[Item Sub Category]],Table2[[Sub Category]:[Billing Group]],3,0),99)</f>
        <v>24</v>
      </c>
      <c r="C263" s="167" t="str">
        <f>VLOOKUP(Data_Base[[#This Row],[Item Description]],Table2[[Item Name]:[Sub Category]],6,0)</f>
        <v>Bourbon-.10/-</v>
      </c>
      <c r="D263" s="60" t="s">
        <v>893</v>
      </c>
      <c r="E263" s="60" t="s">
        <v>82</v>
      </c>
      <c r="F263" s="168" t="s">
        <v>1829</v>
      </c>
      <c r="G263" s="169" t="s">
        <v>1830</v>
      </c>
      <c r="H263" s="170" t="s">
        <v>1831</v>
      </c>
      <c r="I263" s="171" t="s">
        <v>980</v>
      </c>
      <c r="J263" s="172" t="s">
        <v>110</v>
      </c>
      <c r="K263" s="173" t="s">
        <v>111</v>
      </c>
      <c r="L263" s="174" t="s">
        <v>0</v>
      </c>
      <c r="M263" s="175" t="s">
        <v>112</v>
      </c>
      <c r="N263" s="176">
        <v>22</v>
      </c>
      <c r="O263" s="177">
        <v>0</v>
      </c>
      <c r="P263" s="178">
        <v>22</v>
      </c>
      <c r="Q263" s="179">
        <v>10.83</v>
      </c>
      <c r="R263" s="180">
        <v>11.17</v>
      </c>
    </row>
    <row r="264" spans="1:18" ht="17">
      <c r="A264" s="60" t="str">
        <f>IFERROR(VLOOKUP(Data_Base[[#This Row],[Distributor Name]],Target[SS 2],1,FALSE),"Delete")</f>
        <v>PRABHAT TRADING COM.</v>
      </c>
      <c r="B264" s="60">
        <f ca="1">IFERROR(VLOOKUP(Data_Base[[#This Row],[Item Sub Category]],Table2[[Sub Category]:[Billing Group]],3,0),99)</f>
        <v>35</v>
      </c>
      <c r="C264" s="167" t="str">
        <f>VLOOKUP(Data_Base[[#This Row],[Item Description]],Table2[[Item Name]:[Sub Category]],6,0)</f>
        <v>Puff Crme - Choco -5</v>
      </c>
      <c r="D264" s="60" t="s">
        <v>893</v>
      </c>
      <c r="E264" s="60" t="s">
        <v>82</v>
      </c>
      <c r="F264" s="168" t="s">
        <v>1829</v>
      </c>
      <c r="G264" s="169" t="s">
        <v>1830</v>
      </c>
      <c r="H264" s="170" t="s">
        <v>1831</v>
      </c>
      <c r="I264" s="171" t="s">
        <v>980</v>
      </c>
      <c r="J264" s="172" t="s">
        <v>113</v>
      </c>
      <c r="K264" s="173" t="s">
        <v>114</v>
      </c>
      <c r="L264" s="174" t="s">
        <v>0</v>
      </c>
      <c r="M264" s="175" t="s">
        <v>115</v>
      </c>
      <c r="N264" s="176">
        <v>383</v>
      </c>
      <c r="O264" s="177">
        <v>140</v>
      </c>
      <c r="P264" s="178">
        <v>523</v>
      </c>
      <c r="Q264" s="179">
        <v>55</v>
      </c>
      <c r="R264" s="180">
        <v>468</v>
      </c>
    </row>
    <row r="265" spans="1:18" ht="17">
      <c r="A265" s="60" t="str">
        <f>IFERROR(VLOOKUP(Data_Base[[#This Row],[Distributor Name]],Target[SS 2],1,FALSE),"Delete")</f>
        <v>PRABHAT TRADING COM.</v>
      </c>
      <c r="B265" s="60">
        <f ca="1">IFERROR(VLOOKUP(Data_Base[[#This Row],[Item Sub Category]],Table2[[Sub Category]:[Billing Group]],3,0),99)</f>
        <v>36</v>
      </c>
      <c r="C265" s="167" t="str">
        <f>VLOOKUP(Data_Base[[#This Row],[Item Description]],Table2[[Item Name]:[Sub Category]],6,0)</f>
        <v>Puff Crme - Choco -10</v>
      </c>
      <c r="D265" s="60" t="s">
        <v>893</v>
      </c>
      <c r="E265" s="60" t="s">
        <v>82</v>
      </c>
      <c r="F265" s="168" t="s">
        <v>1829</v>
      </c>
      <c r="G265" s="169" t="s">
        <v>1830</v>
      </c>
      <c r="H265" s="170" t="s">
        <v>1831</v>
      </c>
      <c r="I265" s="171" t="s">
        <v>980</v>
      </c>
      <c r="J265" s="172" t="s">
        <v>223</v>
      </c>
      <c r="K265" s="173" t="s">
        <v>224</v>
      </c>
      <c r="L265" s="174" t="s">
        <v>0</v>
      </c>
      <c r="M265" s="175" t="s">
        <v>225</v>
      </c>
      <c r="N265" s="176">
        <v>0</v>
      </c>
      <c r="O265" s="177">
        <v>60</v>
      </c>
      <c r="P265" s="178">
        <v>60</v>
      </c>
      <c r="Q265" s="179">
        <v>28</v>
      </c>
      <c r="R265" s="180">
        <v>32</v>
      </c>
    </row>
    <row r="266" spans="1:18" ht="17">
      <c r="A266" s="60" t="str">
        <f>IFERROR(VLOOKUP(Data_Base[[#This Row],[Distributor Name]],Target[SS 2],1,FALSE),"Delete")</f>
        <v>PRABHAT TRADING COM.</v>
      </c>
      <c r="B266" s="60">
        <f ca="1">IFERROR(VLOOKUP(Data_Base[[#This Row],[Item Sub Category]],Table2[[Sub Category]:[Billing Group]],3,0),99)</f>
        <v>37</v>
      </c>
      <c r="C266" s="167" t="str">
        <f>VLOOKUP(Data_Base[[#This Row],[Item Description]],Table2[[Item Name]:[Sub Category]],6,0)</f>
        <v>Puff Crme - Straw -5</v>
      </c>
      <c r="D266" s="60" t="s">
        <v>893</v>
      </c>
      <c r="E266" s="60" t="s">
        <v>82</v>
      </c>
      <c r="F266" s="168" t="s">
        <v>1829</v>
      </c>
      <c r="G266" s="169" t="s">
        <v>1830</v>
      </c>
      <c r="H266" s="170" t="s">
        <v>1831</v>
      </c>
      <c r="I266" s="171" t="s">
        <v>980</v>
      </c>
      <c r="J266" s="172" t="s">
        <v>116</v>
      </c>
      <c r="K266" s="173" t="s">
        <v>117</v>
      </c>
      <c r="L266" s="174" t="s">
        <v>0</v>
      </c>
      <c r="M266" s="175" t="s">
        <v>118</v>
      </c>
      <c r="N266" s="176">
        <v>387</v>
      </c>
      <c r="O266" s="177">
        <v>100</v>
      </c>
      <c r="P266" s="178">
        <v>487</v>
      </c>
      <c r="Q266" s="179">
        <v>95</v>
      </c>
      <c r="R266" s="180">
        <v>392</v>
      </c>
    </row>
    <row r="267" spans="1:18" ht="17">
      <c r="A267" s="60" t="str">
        <f>IFERROR(VLOOKUP(Data_Base[[#This Row],[Distributor Name]],Target[SS 2],1,FALSE),"Delete")</f>
        <v>PRABHAT TRADING COM.</v>
      </c>
      <c r="B267" s="60">
        <f ca="1">IFERROR(VLOOKUP(Data_Base[[#This Row],[Item Sub Category]],Table2[[Sub Category]:[Billing Group]],3,0),99)</f>
        <v>38</v>
      </c>
      <c r="C267" s="167" t="str">
        <f>VLOOKUP(Data_Base[[#This Row],[Item Description]],Table2[[Item Name]:[Sub Category]],6,0)</f>
        <v>Puff Crme - Straw -10</v>
      </c>
      <c r="D267" s="60" t="s">
        <v>893</v>
      </c>
      <c r="E267" s="60" t="s">
        <v>82</v>
      </c>
      <c r="F267" s="168" t="s">
        <v>1829</v>
      </c>
      <c r="G267" s="169" t="s">
        <v>1830</v>
      </c>
      <c r="H267" s="170" t="s">
        <v>1831</v>
      </c>
      <c r="I267" s="171" t="s">
        <v>980</v>
      </c>
      <c r="J267" s="172" t="s">
        <v>226</v>
      </c>
      <c r="K267" s="173" t="s">
        <v>227</v>
      </c>
      <c r="L267" s="174" t="s">
        <v>0</v>
      </c>
      <c r="M267" s="175" t="s">
        <v>228</v>
      </c>
      <c r="N267" s="176">
        <v>36</v>
      </c>
      <c r="O267" s="177">
        <v>20</v>
      </c>
      <c r="P267" s="178">
        <v>56</v>
      </c>
      <c r="Q267" s="179">
        <v>28</v>
      </c>
      <c r="R267" s="180">
        <v>28</v>
      </c>
    </row>
    <row r="268" spans="1:18" ht="17">
      <c r="A268" s="60" t="str">
        <f>IFERROR(VLOOKUP(Data_Base[[#This Row],[Distributor Name]],Target[SS 2],1,FALSE),"Delete")</f>
        <v>PRABHAT TRADING COM.</v>
      </c>
      <c r="B268" s="60">
        <f ca="1">IFERROR(VLOOKUP(Data_Base[[#This Row],[Item Sub Category]],Table2[[Sub Category]:[Billing Group]],3,0),99)</f>
        <v>40</v>
      </c>
      <c r="C268" s="167" t="str">
        <f>VLOOKUP(Data_Base[[#This Row],[Item Description]],Table2[[Item Name]:[Sub Category]],6,0)</f>
        <v>Puff Crme - Lemon -10</v>
      </c>
      <c r="D268" s="60" t="s">
        <v>893</v>
      </c>
      <c r="E268" s="60" t="s">
        <v>82</v>
      </c>
      <c r="F268" s="168" t="s">
        <v>1829</v>
      </c>
      <c r="G268" s="169" t="s">
        <v>1830</v>
      </c>
      <c r="H268" s="170" t="s">
        <v>1831</v>
      </c>
      <c r="I268" s="171" t="s">
        <v>980</v>
      </c>
      <c r="J268" s="172" t="s">
        <v>229</v>
      </c>
      <c r="K268" s="173" t="s">
        <v>230</v>
      </c>
      <c r="L268" s="174" t="s">
        <v>0</v>
      </c>
      <c r="M268" s="175" t="s">
        <v>231</v>
      </c>
      <c r="N268" s="176">
        <v>15</v>
      </c>
      <c r="O268" s="177">
        <v>0</v>
      </c>
      <c r="P268" s="178">
        <v>15</v>
      </c>
      <c r="Q268" s="179">
        <v>0</v>
      </c>
      <c r="R268" s="180">
        <v>15</v>
      </c>
    </row>
    <row r="269" spans="1:18" ht="17">
      <c r="A269" s="60" t="str">
        <f>IFERROR(VLOOKUP(Data_Base[[#This Row],[Distributor Name]],Target[SS 2],1,FALSE),"Delete")</f>
        <v>PRABHAT TRADING COM.</v>
      </c>
      <c r="B269" s="60">
        <f ca="1">IFERROR(VLOOKUP(Data_Base[[#This Row],[Item Sub Category]],Table2[[Sub Category]:[Billing Group]],3,0),99)</f>
        <v>43</v>
      </c>
      <c r="C269" s="167" t="str">
        <f>VLOOKUP(Data_Base[[#This Row],[Item Description]],Table2[[Item Name]:[Sub Category]],6,0)</f>
        <v>Marie Lite -5</v>
      </c>
      <c r="D269" s="60" t="s">
        <v>893</v>
      </c>
      <c r="E269" s="60" t="s">
        <v>82</v>
      </c>
      <c r="F269" s="168" t="s">
        <v>1829</v>
      </c>
      <c r="G269" s="169" t="s">
        <v>1830</v>
      </c>
      <c r="H269" s="170" t="s">
        <v>1831</v>
      </c>
      <c r="I269" s="171" t="s">
        <v>980</v>
      </c>
      <c r="J269" s="172" t="s">
        <v>367</v>
      </c>
      <c r="K269" s="173" t="s">
        <v>368</v>
      </c>
      <c r="L269" s="174" t="s">
        <v>0</v>
      </c>
      <c r="M269" s="175" t="s">
        <v>205</v>
      </c>
      <c r="N269" s="176">
        <v>28</v>
      </c>
      <c r="O269" s="177">
        <v>64</v>
      </c>
      <c r="P269" s="178">
        <v>92</v>
      </c>
      <c r="Q269" s="179">
        <v>25</v>
      </c>
      <c r="R269" s="180">
        <v>67</v>
      </c>
    </row>
    <row r="270" spans="1:18" ht="17">
      <c r="A270" s="60" t="str">
        <f>IFERROR(VLOOKUP(Data_Base[[#This Row],[Distributor Name]],Target[SS 2],1,FALSE),"Delete")</f>
        <v>PRABHAT TRADING COM.</v>
      </c>
      <c r="B270" s="60">
        <f ca="1">IFERROR(VLOOKUP(Data_Base[[#This Row],[Item Sub Category]],Table2[[Sub Category]:[Billing Group]],3,0),99)</f>
        <v>19</v>
      </c>
      <c r="C270" s="167" t="str">
        <f>VLOOKUP(Data_Base[[#This Row],[Item Description]],Table2[[Item Name]:[Sub Category]],6,0)</f>
        <v>Coconut Crunch-.5/-</v>
      </c>
      <c r="D270" s="60" t="s">
        <v>893</v>
      </c>
      <c r="E270" s="60" t="s">
        <v>82</v>
      </c>
      <c r="F270" s="168" t="s">
        <v>1829</v>
      </c>
      <c r="G270" s="169" t="s">
        <v>1830</v>
      </c>
      <c r="H270" s="170" t="s">
        <v>1831</v>
      </c>
      <c r="I270" s="171" t="s">
        <v>980</v>
      </c>
      <c r="J270" s="172" t="s">
        <v>119</v>
      </c>
      <c r="K270" s="173" t="s">
        <v>120</v>
      </c>
      <c r="L270" s="174" t="s">
        <v>0</v>
      </c>
      <c r="M270" s="175" t="s">
        <v>121</v>
      </c>
      <c r="N270" s="176">
        <v>150</v>
      </c>
      <c r="O270" s="177">
        <v>0</v>
      </c>
      <c r="P270" s="178">
        <v>150</v>
      </c>
      <c r="Q270" s="179">
        <v>68</v>
      </c>
      <c r="R270" s="180">
        <v>82</v>
      </c>
    </row>
    <row r="271" spans="1:18" ht="17">
      <c r="A271" s="60" t="str">
        <f>IFERROR(VLOOKUP(Data_Base[[#This Row],[Distributor Name]],Target[SS 2],1,FALSE),"Delete")</f>
        <v>PRABHAT TRADING COM.</v>
      </c>
      <c r="B271" s="60">
        <f ca="1">IFERROR(VLOOKUP(Data_Base[[#This Row],[Item Sub Category]],Table2[[Sub Category]:[Billing Group]],3,0),99)</f>
        <v>20</v>
      </c>
      <c r="C271" s="167" t="str">
        <f>VLOOKUP(Data_Base[[#This Row],[Item Description]],Table2[[Item Name]:[Sub Category]],6,0)</f>
        <v>Coconut Crunch-.10/-</v>
      </c>
      <c r="D271" s="60" t="s">
        <v>893</v>
      </c>
      <c r="E271" s="60" t="s">
        <v>82</v>
      </c>
      <c r="F271" s="168" t="s">
        <v>1829</v>
      </c>
      <c r="G271" s="169" t="s">
        <v>1830</v>
      </c>
      <c r="H271" s="170" t="s">
        <v>1831</v>
      </c>
      <c r="I271" s="171" t="s">
        <v>980</v>
      </c>
      <c r="J271" s="172" t="s">
        <v>122</v>
      </c>
      <c r="K271" s="173" t="s">
        <v>123</v>
      </c>
      <c r="L271" s="174" t="s">
        <v>0</v>
      </c>
      <c r="M271" s="175" t="s">
        <v>124</v>
      </c>
      <c r="N271" s="176">
        <v>105</v>
      </c>
      <c r="O271" s="177">
        <v>0</v>
      </c>
      <c r="P271" s="178">
        <v>105</v>
      </c>
      <c r="Q271" s="179">
        <v>35</v>
      </c>
      <c r="R271" s="180">
        <v>70</v>
      </c>
    </row>
    <row r="272" spans="1:18" ht="17">
      <c r="A272" s="60" t="str">
        <f>IFERROR(VLOOKUP(Data_Base[[#This Row],[Distributor Name]],Target[SS 2],1,FALSE),"Delete")</f>
        <v>PRABHAT TRADING COM.</v>
      </c>
      <c r="B272" s="60">
        <f ca="1">IFERROR(VLOOKUP(Data_Base[[#This Row],[Item Sub Category]],Table2[[Sub Category]:[Billing Group]],3,0),99)</f>
        <v>57</v>
      </c>
      <c r="C272" s="167" t="str">
        <f>VLOOKUP(Data_Base[[#This Row],[Item Description]],Table2[[Item Name]:[Sub Category]],6,0)</f>
        <v>Butter Delite - 5</v>
      </c>
      <c r="D272" s="60" t="s">
        <v>893</v>
      </c>
      <c r="E272" s="60" t="s">
        <v>82</v>
      </c>
      <c r="F272" s="168" t="s">
        <v>1829</v>
      </c>
      <c r="G272" s="169" t="s">
        <v>1830</v>
      </c>
      <c r="H272" s="170" t="s">
        <v>1831</v>
      </c>
      <c r="I272" s="171" t="s">
        <v>980</v>
      </c>
      <c r="J272" s="172" t="s">
        <v>125</v>
      </c>
      <c r="K272" s="173" t="s">
        <v>126</v>
      </c>
      <c r="L272" s="174" t="s">
        <v>0</v>
      </c>
      <c r="M272" s="175" t="s">
        <v>127</v>
      </c>
      <c r="N272" s="176">
        <v>236</v>
      </c>
      <c r="O272" s="177">
        <v>198</v>
      </c>
      <c r="P272" s="178">
        <v>434</v>
      </c>
      <c r="Q272" s="179">
        <v>215</v>
      </c>
      <c r="R272" s="180">
        <v>219</v>
      </c>
    </row>
    <row r="273" spans="1:18" ht="17">
      <c r="A273" s="60" t="str">
        <f>IFERROR(VLOOKUP(Data_Base[[#This Row],[Distributor Name]],Target[SS 2],1,FALSE),"Delete")</f>
        <v>PRABHAT TRADING COM.</v>
      </c>
      <c r="B273" s="60">
        <f ca="1">IFERROR(VLOOKUP(Data_Base[[#This Row],[Item Sub Category]],Table2[[Sub Category]:[Billing Group]],3,0),99)</f>
        <v>59</v>
      </c>
      <c r="C273" s="167" t="str">
        <f>VLOOKUP(Data_Base[[#This Row],[Item Description]],Table2[[Item Name]:[Sub Category]],6,0)</f>
        <v>Butter Delite - 20</v>
      </c>
      <c r="D273" s="60" t="s">
        <v>893</v>
      </c>
      <c r="E273" s="60" t="s">
        <v>82</v>
      </c>
      <c r="F273" s="168" t="s">
        <v>1829</v>
      </c>
      <c r="G273" s="169" t="s">
        <v>1830</v>
      </c>
      <c r="H273" s="170" t="s">
        <v>1831</v>
      </c>
      <c r="I273" s="171" t="s">
        <v>980</v>
      </c>
      <c r="J273" s="172" t="s">
        <v>373</v>
      </c>
      <c r="K273" s="173" t="s">
        <v>374</v>
      </c>
      <c r="L273" s="174" t="s">
        <v>0</v>
      </c>
      <c r="M273" s="175" t="s">
        <v>190</v>
      </c>
      <c r="N273" s="176">
        <v>9</v>
      </c>
      <c r="O273" s="177">
        <v>0</v>
      </c>
      <c r="P273" s="178">
        <v>9</v>
      </c>
      <c r="Q273" s="179">
        <v>11</v>
      </c>
      <c r="R273" s="180">
        <v>-2</v>
      </c>
    </row>
    <row r="274" spans="1:18" ht="17">
      <c r="A274" s="60" t="str">
        <f>IFERROR(VLOOKUP(Data_Base[[#This Row],[Distributor Name]],Target[SS 2],1,FALSE),"Delete")</f>
        <v>PRABHAT TRADING COM.</v>
      </c>
      <c r="B274" s="60">
        <f ca="1">IFERROR(VLOOKUP(Data_Base[[#This Row],[Item Sub Category]],Table2[[Sub Category]:[Billing Group]],3,0),99)</f>
        <v>51</v>
      </c>
      <c r="C274" s="167" t="str">
        <f>VLOOKUP(Data_Base[[#This Row],[Item Description]],Table2[[Item Name]:[Sub Category]],6,0)</f>
        <v>C.N.C. - 10</v>
      </c>
      <c r="D274" s="60" t="s">
        <v>893</v>
      </c>
      <c r="E274" s="60" t="s">
        <v>82</v>
      </c>
      <c r="F274" s="168" t="s">
        <v>1829</v>
      </c>
      <c r="G274" s="169" t="s">
        <v>1830</v>
      </c>
      <c r="H274" s="170" t="s">
        <v>1831</v>
      </c>
      <c r="I274" s="171" t="s">
        <v>980</v>
      </c>
      <c r="J274" s="172" t="s">
        <v>383</v>
      </c>
      <c r="K274" s="173" t="s">
        <v>384</v>
      </c>
      <c r="L274" s="174" t="s">
        <v>0</v>
      </c>
      <c r="M274" s="175" t="s">
        <v>193</v>
      </c>
      <c r="N274" s="176">
        <v>81</v>
      </c>
      <c r="O274" s="177">
        <v>50</v>
      </c>
      <c r="P274" s="178">
        <v>131</v>
      </c>
      <c r="Q274" s="179">
        <v>80</v>
      </c>
      <c r="R274" s="180">
        <v>51</v>
      </c>
    </row>
    <row r="275" spans="1:18" ht="17">
      <c r="A275" s="60" t="str">
        <f>IFERROR(VLOOKUP(Data_Base[[#This Row],[Distributor Name]],Target[SS 2],1,FALSE),"Delete")</f>
        <v>PRABHAT TRADING COM.</v>
      </c>
      <c r="B275" s="60">
        <f ca="1">IFERROR(VLOOKUP(Data_Base[[#This Row],[Item Sub Category]],Table2[[Sub Category]:[Billing Group]],3,0),99)</f>
        <v>61</v>
      </c>
      <c r="C275" s="167" t="str">
        <f>VLOOKUP(Data_Base[[#This Row],[Item Description]],Table2[[Item Name]:[Sub Category]],6,0)</f>
        <v>Cheese/ Top Cracker - 5</v>
      </c>
      <c r="D275" s="60" t="s">
        <v>893</v>
      </c>
      <c r="E275" s="60" t="s">
        <v>82</v>
      </c>
      <c r="F275" s="168" t="s">
        <v>1829</v>
      </c>
      <c r="G275" s="169" t="s">
        <v>1830</v>
      </c>
      <c r="H275" s="170" t="s">
        <v>1831</v>
      </c>
      <c r="I275" s="171" t="s">
        <v>980</v>
      </c>
      <c r="J275" s="172" t="s">
        <v>285</v>
      </c>
      <c r="K275" s="173" t="s">
        <v>286</v>
      </c>
      <c r="L275" s="174" t="s">
        <v>0</v>
      </c>
      <c r="M275" s="175" t="s">
        <v>199</v>
      </c>
      <c r="N275" s="176">
        <v>42</v>
      </c>
      <c r="O275" s="177">
        <v>198</v>
      </c>
      <c r="P275" s="178">
        <v>240</v>
      </c>
      <c r="Q275" s="179">
        <v>144</v>
      </c>
      <c r="R275" s="180">
        <v>96</v>
      </c>
    </row>
    <row r="276" spans="1:18" ht="17">
      <c r="A276" s="60" t="str">
        <f>IFERROR(VLOOKUP(Data_Base[[#This Row],[Distributor Name]],Target[SS 2],1,FALSE),"Delete")</f>
        <v>PRABHAT TRADING COM.</v>
      </c>
      <c r="B276" s="60">
        <f ca="1">IFERROR(VLOOKUP(Data_Base[[#This Row],[Item Sub Category]],Table2[[Sub Category]:[Billing Group]],3,0),99)</f>
        <v>63</v>
      </c>
      <c r="C276" s="167" t="str">
        <f>VLOOKUP(Data_Base[[#This Row],[Item Description]],Table2[[Item Name]:[Sub Category]],6,0)</f>
        <v>Cheese/ Top Cracker - 20</v>
      </c>
      <c r="D276" s="60" t="s">
        <v>893</v>
      </c>
      <c r="E276" s="60" t="s">
        <v>82</v>
      </c>
      <c r="F276" s="168" t="s">
        <v>1829</v>
      </c>
      <c r="G276" s="169" t="s">
        <v>1830</v>
      </c>
      <c r="H276" s="170" t="s">
        <v>1831</v>
      </c>
      <c r="I276" s="171" t="s">
        <v>980</v>
      </c>
      <c r="J276" s="172" t="s">
        <v>287</v>
      </c>
      <c r="K276" s="173" t="s">
        <v>288</v>
      </c>
      <c r="L276" s="174" t="s">
        <v>0</v>
      </c>
      <c r="M276" s="175" t="s">
        <v>214</v>
      </c>
      <c r="N276" s="176">
        <v>16</v>
      </c>
      <c r="O276" s="177">
        <v>18</v>
      </c>
      <c r="P276" s="178">
        <v>34</v>
      </c>
      <c r="Q276" s="179">
        <v>11</v>
      </c>
      <c r="R276" s="180">
        <v>23</v>
      </c>
    </row>
    <row r="277" spans="1:18" ht="17">
      <c r="A277" s="60" t="str">
        <f>IFERROR(VLOOKUP(Data_Base[[#This Row],[Distributor Name]],Target[SS 2],1,FALSE),"Delete")</f>
        <v>PRABHAT TRADING COM.</v>
      </c>
      <c r="B277" s="60">
        <f ca="1">IFERROR(VLOOKUP(Data_Base[[#This Row],[Item Sub Category]],Table2[[Sub Category]:[Billing Group]],3,0),99)</f>
        <v>110</v>
      </c>
      <c r="C277" s="167" t="str">
        <f>VLOOKUP(Data_Base[[#This Row],[Item Description]],Table2[[Item Name]:[Sub Category]],6,0)</f>
        <v>Treat-160 ML</v>
      </c>
      <c r="D277" s="60" t="s">
        <v>893</v>
      </c>
      <c r="E277" s="60" t="s">
        <v>82</v>
      </c>
      <c r="F277" s="168" t="s">
        <v>1829</v>
      </c>
      <c r="G277" s="169" t="s">
        <v>1830</v>
      </c>
      <c r="H277" s="170" t="s">
        <v>1831</v>
      </c>
      <c r="I277" s="171" t="s">
        <v>980</v>
      </c>
      <c r="J277" s="172" t="s">
        <v>322</v>
      </c>
      <c r="K277" s="173" t="s">
        <v>323</v>
      </c>
      <c r="L277" s="174" t="s">
        <v>16</v>
      </c>
      <c r="M277" s="175" t="s">
        <v>324</v>
      </c>
      <c r="N277" s="176">
        <v>420</v>
      </c>
      <c r="O277" s="177">
        <v>0</v>
      </c>
      <c r="P277" s="178">
        <v>420</v>
      </c>
      <c r="Q277" s="179">
        <v>115</v>
      </c>
      <c r="R277" s="180">
        <v>305</v>
      </c>
    </row>
    <row r="278" spans="1:18" ht="17">
      <c r="A278" s="60" t="str">
        <f>IFERROR(VLOOKUP(Data_Base[[#This Row],[Distributor Name]],Target[SS 2],1,FALSE),"Delete")</f>
        <v>PRABHAT TRADING COM.</v>
      </c>
      <c r="B278" s="60">
        <f ca="1">IFERROR(VLOOKUP(Data_Base[[#This Row],[Item Sub Category]],Table2[[Sub Category]:[Billing Group]],3,0),99)</f>
        <v>129</v>
      </c>
      <c r="C278" s="167" t="str">
        <f>VLOOKUP(Data_Base[[#This Row],[Item Description]],Table2[[Item Name]:[Sub Category]],6,0)</f>
        <v>Snakker- 2/-</v>
      </c>
      <c r="D278" s="60" t="s">
        <v>893</v>
      </c>
      <c r="E278" s="60" t="s">
        <v>82</v>
      </c>
      <c r="F278" s="168" t="s">
        <v>1829</v>
      </c>
      <c r="G278" s="169" t="s">
        <v>1830</v>
      </c>
      <c r="H278" s="170" t="s">
        <v>1831</v>
      </c>
      <c r="I278" s="171" t="s">
        <v>980</v>
      </c>
      <c r="J278" s="172" t="s">
        <v>235</v>
      </c>
      <c r="K278" s="173" t="s">
        <v>236</v>
      </c>
      <c r="L278" s="174" t="s">
        <v>16</v>
      </c>
      <c r="M278" s="175" t="s">
        <v>237</v>
      </c>
      <c r="N278" s="176">
        <v>23</v>
      </c>
      <c r="O278" s="177">
        <v>0</v>
      </c>
      <c r="P278" s="178">
        <v>23</v>
      </c>
      <c r="Q278" s="179">
        <v>5</v>
      </c>
      <c r="R278" s="180">
        <v>18</v>
      </c>
    </row>
    <row r="279" spans="1:18" ht="17">
      <c r="A279" s="60" t="str">
        <f>IFERROR(VLOOKUP(Data_Base[[#This Row],[Distributor Name]],Target[SS 2],1,FALSE),"Delete")</f>
        <v>PRABHAT TRADING COM.</v>
      </c>
      <c r="B279" s="60">
        <f ca="1">IFERROR(VLOOKUP(Data_Base[[#This Row],[Item Sub Category]],Table2[[Sub Category]:[Billing Group]],3,0),99)</f>
        <v>127</v>
      </c>
      <c r="C279" s="167" t="str">
        <f>VLOOKUP(Data_Base[[#This Row],[Item Description]],Table2[[Item Name]:[Sub Category]],6,0)</f>
        <v>Chocogold- 5/-</v>
      </c>
      <c r="D279" s="60" t="s">
        <v>893</v>
      </c>
      <c r="E279" s="60" t="s">
        <v>82</v>
      </c>
      <c r="F279" s="168" t="s">
        <v>1829</v>
      </c>
      <c r="G279" s="169" t="s">
        <v>1830</v>
      </c>
      <c r="H279" s="170" t="s">
        <v>1831</v>
      </c>
      <c r="I279" s="171" t="s">
        <v>980</v>
      </c>
      <c r="J279" s="172" t="s">
        <v>238</v>
      </c>
      <c r="K279" s="173" t="s">
        <v>239</v>
      </c>
      <c r="L279" s="174" t="s">
        <v>16</v>
      </c>
      <c r="M279" s="175" t="s">
        <v>240</v>
      </c>
      <c r="N279" s="176">
        <v>0</v>
      </c>
      <c r="O279" s="177">
        <v>100</v>
      </c>
      <c r="P279" s="178">
        <v>100</v>
      </c>
      <c r="Q279" s="179">
        <v>50</v>
      </c>
      <c r="R279" s="180">
        <v>50</v>
      </c>
    </row>
    <row r="280" spans="1:18" ht="17">
      <c r="A280" s="60" t="str">
        <f>IFERROR(VLOOKUP(Data_Base[[#This Row],[Distributor Name]],Target[SS 2],1,FALSE),"Delete")</f>
        <v>PRABHAT TRADING COM.</v>
      </c>
      <c r="B280" s="60">
        <f ca="1">IFERROR(VLOOKUP(Data_Base[[#This Row],[Item Sub Category]],Table2[[Sub Category]:[Billing Group]],3,0),99)</f>
        <v>136</v>
      </c>
      <c r="C280" s="167" t="str">
        <f>VLOOKUP(Data_Base[[#This Row],[Item Description]],Table2[[Item Name]:[Sub Category]],6,0)</f>
        <v>Partner Choco</v>
      </c>
      <c r="D280" s="60" t="s">
        <v>893</v>
      </c>
      <c r="E280" s="60" t="s">
        <v>82</v>
      </c>
      <c r="F280" s="168" t="s">
        <v>1829</v>
      </c>
      <c r="G280" s="169" t="s">
        <v>1830</v>
      </c>
      <c r="H280" s="170" t="s">
        <v>1831</v>
      </c>
      <c r="I280" s="171" t="s">
        <v>980</v>
      </c>
      <c r="J280" s="172" t="s">
        <v>244</v>
      </c>
      <c r="K280" s="173" t="s">
        <v>245</v>
      </c>
      <c r="L280" s="174" t="s">
        <v>16</v>
      </c>
      <c r="M280" s="175" t="s">
        <v>246</v>
      </c>
      <c r="N280" s="176">
        <v>18</v>
      </c>
      <c r="O280" s="177">
        <v>5</v>
      </c>
      <c r="P280" s="178">
        <v>23</v>
      </c>
      <c r="Q280" s="179">
        <v>11</v>
      </c>
      <c r="R280" s="180">
        <v>12</v>
      </c>
    </row>
    <row r="281" spans="1:18" ht="17">
      <c r="A281" s="60" t="str">
        <f>IFERROR(VLOOKUP(Data_Base[[#This Row],[Distributor Name]],Target[SS 2],1,FALSE),"Delete")</f>
        <v>PRABHAT TRADING COM.</v>
      </c>
      <c r="B281" s="60">
        <f ca="1">IFERROR(VLOOKUP(Data_Base[[#This Row],[Item Sub Category]],Table2[[Sub Category]:[Billing Group]],3,0),99)</f>
        <v>137</v>
      </c>
      <c r="C281" s="167" t="str">
        <f>VLOOKUP(Data_Base[[#This Row],[Item Description]],Table2[[Item Name]:[Sub Category]],6,0)</f>
        <v>Partner Orange</v>
      </c>
      <c r="D281" s="60" t="s">
        <v>893</v>
      </c>
      <c r="E281" s="60" t="s">
        <v>82</v>
      </c>
      <c r="F281" s="168" t="s">
        <v>1829</v>
      </c>
      <c r="G281" s="169" t="s">
        <v>1830</v>
      </c>
      <c r="H281" s="170" t="s">
        <v>1831</v>
      </c>
      <c r="I281" s="171" t="s">
        <v>980</v>
      </c>
      <c r="J281" s="172" t="s">
        <v>247</v>
      </c>
      <c r="K281" s="173" t="s">
        <v>248</v>
      </c>
      <c r="L281" s="174" t="s">
        <v>16</v>
      </c>
      <c r="M281" s="175" t="s">
        <v>249</v>
      </c>
      <c r="N281" s="176">
        <v>8</v>
      </c>
      <c r="O281" s="177">
        <v>0</v>
      </c>
      <c r="P281" s="178">
        <v>8</v>
      </c>
      <c r="Q281" s="179">
        <v>3</v>
      </c>
      <c r="R281" s="180">
        <v>5</v>
      </c>
    </row>
    <row r="282" spans="1:18" ht="17">
      <c r="A282" s="60" t="str">
        <f>IFERROR(VLOOKUP(Data_Base[[#This Row],[Distributor Name]],Target[SS 2],1,FALSE),"Delete")</f>
        <v>PRABHAT TRADING COM.</v>
      </c>
      <c r="B282" s="60">
        <f ca="1">IFERROR(VLOOKUP(Data_Base[[#This Row],[Item Sub Category]],Table2[[Sub Category]:[Billing Group]],3,0),99)</f>
        <v>138</v>
      </c>
      <c r="C282" s="167" t="str">
        <f>VLOOKUP(Data_Base[[#This Row],[Item Description]],Table2[[Item Name]:[Sub Category]],6,0)</f>
        <v>Partner Straw.</v>
      </c>
      <c r="D282" s="60" t="s">
        <v>893</v>
      </c>
      <c r="E282" s="60" t="s">
        <v>82</v>
      </c>
      <c r="F282" s="168" t="s">
        <v>1829</v>
      </c>
      <c r="G282" s="169" t="s">
        <v>1830</v>
      </c>
      <c r="H282" s="170" t="s">
        <v>1831</v>
      </c>
      <c r="I282" s="171" t="s">
        <v>980</v>
      </c>
      <c r="J282" s="172" t="s">
        <v>250</v>
      </c>
      <c r="K282" s="173" t="s">
        <v>251</v>
      </c>
      <c r="L282" s="174" t="s">
        <v>16</v>
      </c>
      <c r="M282" s="175" t="s">
        <v>252</v>
      </c>
      <c r="N282" s="176">
        <v>12</v>
      </c>
      <c r="O282" s="177">
        <v>0</v>
      </c>
      <c r="P282" s="178">
        <v>12</v>
      </c>
      <c r="Q282" s="179">
        <v>3</v>
      </c>
      <c r="R282" s="180">
        <v>9</v>
      </c>
    </row>
    <row r="283" spans="1:18" ht="17">
      <c r="A283" s="60" t="str">
        <f>IFERROR(VLOOKUP(Data_Base[[#This Row],[Distributor Name]],Target[SS 2],1,FALSE),"Delete")</f>
        <v>PRABHAT TRADING COM.</v>
      </c>
      <c r="B283" s="60">
        <f ca="1">IFERROR(VLOOKUP(Data_Base[[#This Row],[Item Sub Category]],Table2[[Sub Category]:[Billing Group]],3,0),99)</f>
        <v>153</v>
      </c>
      <c r="C283" s="167" t="str">
        <f>VLOOKUP(Data_Base[[#This Row],[Item Description]],Table2[[Item Name]:[Sub Category]],6,0)</f>
        <v>Eclair-Pouch  10/-</v>
      </c>
      <c r="D283" s="60" t="s">
        <v>893</v>
      </c>
      <c r="E283" s="60" t="s">
        <v>82</v>
      </c>
      <c r="F283" s="168" t="s">
        <v>1829</v>
      </c>
      <c r="G283" s="169" t="s">
        <v>1830</v>
      </c>
      <c r="H283" s="170" t="s">
        <v>1831</v>
      </c>
      <c r="I283" s="171" t="s">
        <v>980</v>
      </c>
      <c r="J283" s="172" t="s">
        <v>134</v>
      </c>
      <c r="K283" s="173" t="s">
        <v>135</v>
      </c>
      <c r="L283" s="174" t="s">
        <v>16</v>
      </c>
      <c r="M283" s="175" t="s">
        <v>136</v>
      </c>
      <c r="N283" s="176">
        <v>5</v>
      </c>
      <c r="O283" s="177">
        <v>0</v>
      </c>
      <c r="P283" s="178">
        <v>5</v>
      </c>
      <c r="Q283" s="179">
        <v>0</v>
      </c>
      <c r="R283" s="180">
        <v>5</v>
      </c>
    </row>
    <row r="284" spans="1:18" ht="17">
      <c r="A284" s="60" t="str">
        <f>IFERROR(VLOOKUP(Data_Base[[#This Row],[Distributor Name]],Target[SS 2],1,FALSE),"Delete")</f>
        <v>PRABHAT TRADING COM.</v>
      </c>
      <c r="B284" s="60">
        <f ca="1">IFERROR(VLOOKUP(Data_Base[[#This Row],[Item Sub Category]],Table2[[Sub Category]:[Billing Group]],3,0),99)</f>
        <v>140</v>
      </c>
      <c r="C284" s="167" t="str">
        <f>VLOOKUP(Data_Base[[#This Row],[Item Description]],Table2[[Item Name]:[Sub Category]],6,0)</f>
        <v>Eclair-Pouch  50/-</v>
      </c>
      <c r="D284" s="60" t="s">
        <v>893</v>
      </c>
      <c r="E284" s="60" t="s">
        <v>82</v>
      </c>
      <c r="F284" s="168" t="s">
        <v>1829</v>
      </c>
      <c r="G284" s="169" t="s">
        <v>1830</v>
      </c>
      <c r="H284" s="170" t="s">
        <v>1831</v>
      </c>
      <c r="I284" s="171" t="s">
        <v>980</v>
      </c>
      <c r="J284" s="172" t="s">
        <v>253</v>
      </c>
      <c r="K284" s="173" t="s">
        <v>254</v>
      </c>
      <c r="L284" s="174" t="s">
        <v>16</v>
      </c>
      <c r="M284" s="175" t="s">
        <v>178</v>
      </c>
      <c r="N284" s="176">
        <v>0</v>
      </c>
      <c r="O284" s="177">
        <v>15</v>
      </c>
      <c r="P284" s="178">
        <v>15</v>
      </c>
      <c r="Q284" s="179">
        <v>3</v>
      </c>
      <c r="R284" s="180">
        <v>12</v>
      </c>
    </row>
    <row r="285" spans="1:18" ht="17">
      <c r="A285" s="60" t="str">
        <f>IFERROR(VLOOKUP(Data_Base[[#This Row],[Distributor Name]],Target[SS 2],1,FALSE),"Delete")</f>
        <v>PRABHAT TRADING COM.</v>
      </c>
      <c r="B285" s="60">
        <f ca="1">IFERROR(VLOOKUP(Data_Base[[#This Row],[Item Sub Category]],Table2[[Sub Category]:[Billing Group]],3,0),99)</f>
        <v>141</v>
      </c>
      <c r="C285" s="167" t="str">
        <f>VLOOKUP(Data_Base[[#This Row],[Item Description]],Table2[[Item Name]:[Sub Category]],6,0)</f>
        <v>clair-Mini Jar</v>
      </c>
      <c r="D285" s="60" t="s">
        <v>893</v>
      </c>
      <c r="E285" s="60" t="s">
        <v>82</v>
      </c>
      <c r="F285" s="168" t="s">
        <v>1829</v>
      </c>
      <c r="G285" s="169" t="s">
        <v>1830</v>
      </c>
      <c r="H285" s="170" t="s">
        <v>1831</v>
      </c>
      <c r="I285" s="171" t="s">
        <v>980</v>
      </c>
      <c r="J285" s="172" t="s">
        <v>255</v>
      </c>
      <c r="K285" s="173" t="s">
        <v>256</v>
      </c>
      <c r="L285" s="174" t="s">
        <v>16</v>
      </c>
      <c r="M285" s="175" t="s">
        <v>257</v>
      </c>
      <c r="N285" s="176">
        <v>12</v>
      </c>
      <c r="O285" s="177">
        <v>0</v>
      </c>
      <c r="P285" s="178">
        <v>12</v>
      </c>
      <c r="Q285" s="179">
        <v>12</v>
      </c>
      <c r="R285" s="180">
        <v>0</v>
      </c>
    </row>
    <row r="286" spans="1:18" ht="17">
      <c r="A286" s="60" t="str">
        <f>IFERROR(VLOOKUP(Data_Base[[#This Row],[Distributor Name]],Target[SS 2],1,FALSE),"Delete")</f>
        <v>PRABHAT TRADING COM.</v>
      </c>
      <c r="B286" s="60">
        <f ca="1">IFERROR(VLOOKUP(Data_Base[[#This Row],[Item Sub Category]],Table2[[Sub Category]:[Billing Group]],3,0),99)</f>
        <v>143</v>
      </c>
      <c r="C286" s="167" t="str">
        <f>VLOOKUP(Data_Base[[#This Row],[Item Description]],Table2[[Item Name]:[Sub Category]],6,0)</f>
        <v>Shokk Pouch</v>
      </c>
      <c r="D286" s="60" t="s">
        <v>893</v>
      </c>
      <c r="E286" s="60" t="s">
        <v>82</v>
      </c>
      <c r="F286" s="168" t="s">
        <v>1829</v>
      </c>
      <c r="G286" s="169" t="s">
        <v>1830</v>
      </c>
      <c r="H286" s="170" t="s">
        <v>1831</v>
      </c>
      <c r="I286" s="171" t="s">
        <v>980</v>
      </c>
      <c r="J286" s="172" t="s">
        <v>289</v>
      </c>
      <c r="K286" s="173" t="s">
        <v>290</v>
      </c>
      <c r="L286" s="174" t="s">
        <v>16</v>
      </c>
      <c r="M286" s="175" t="s">
        <v>291</v>
      </c>
      <c r="N286" s="176">
        <v>2</v>
      </c>
      <c r="O286" s="177">
        <v>0</v>
      </c>
      <c r="P286" s="178">
        <v>2</v>
      </c>
      <c r="Q286" s="179">
        <v>0</v>
      </c>
      <c r="R286" s="180">
        <v>2</v>
      </c>
    </row>
    <row r="287" spans="1:18" ht="17">
      <c r="A287" s="60" t="str">
        <f>IFERROR(VLOOKUP(Data_Base[[#This Row],[Distributor Name]],Target[SS 2],1,FALSE),"Delete")</f>
        <v>PRABHAT TRADING COM.</v>
      </c>
      <c r="B287" s="60">
        <f ca="1">IFERROR(VLOOKUP(Data_Base[[#This Row],[Item Sub Category]],Table2[[Sub Category]:[Billing Group]],3,0),99)</f>
        <v>144</v>
      </c>
      <c r="C287" s="167" t="str">
        <f>VLOOKUP(Data_Base[[#This Row],[Item Description]],Table2[[Item Name]:[Sub Category]],6,0)</f>
        <v>Shokk Jar</v>
      </c>
      <c r="D287" s="60" t="s">
        <v>893</v>
      </c>
      <c r="E287" s="60" t="s">
        <v>82</v>
      </c>
      <c r="F287" s="168" t="s">
        <v>1829</v>
      </c>
      <c r="G287" s="169" t="s">
        <v>1830</v>
      </c>
      <c r="H287" s="170" t="s">
        <v>1831</v>
      </c>
      <c r="I287" s="171" t="s">
        <v>980</v>
      </c>
      <c r="J287" s="172" t="s">
        <v>418</v>
      </c>
      <c r="K287" s="173" t="s">
        <v>419</v>
      </c>
      <c r="L287" s="174" t="s">
        <v>16</v>
      </c>
      <c r="M287" s="175" t="s">
        <v>343</v>
      </c>
      <c r="N287" s="176">
        <v>0</v>
      </c>
      <c r="O287" s="177">
        <v>5</v>
      </c>
      <c r="P287" s="178">
        <v>5</v>
      </c>
      <c r="Q287" s="179">
        <v>0</v>
      </c>
      <c r="R287" s="180">
        <v>5</v>
      </c>
    </row>
    <row r="288" spans="1:18" ht="17">
      <c r="A288" s="60" t="str">
        <f>IFERROR(VLOOKUP(Data_Base[[#This Row],[Distributor Name]],Target[SS 2],1,FALSE),"Delete")</f>
        <v>PRABHAT TRADING COM.</v>
      </c>
      <c r="B288" s="60">
        <f ca="1">IFERROR(VLOOKUP(Data_Base[[#This Row],[Item Sub Category]],Table2[[Sub Category]:[Billing Group]],3,0),99)</f>
        <v>58</v>
      </c>
      <c r="C288" s="167" t="str">
        <f>VLOOKUP(Data_Base[[#This Row],[Item Description]],Table2[[Item Name]:[Sub Category]],6,0)</f>
        <v>Butter Delite - 10</v>
      </c>
      <c r="D288" s="60" t="s">
        <v>893</v>
      </c>
      <c r="E288" s="60" t="s">
        <v>82</v>
      </c>
      <c r="F288" s="168" t="s">
        <v>1829</v>
      </c>
      <c r="G288" s="169" t="s">
        <v>1830</v>
      </c>
      <c r="H288" s="170" t="s">
        <v>1831</v>
      </c>
      <c r="I288" s="171" t="s">
        <v>980</v>
      </c>
      <c r="J288" s="172" t="s">
        <v>299</v>
      </c>
      <c r="K288" s="173" t="s">
        <v>300</v>
      </c>
      <c r="L288" s="174" t="s">
        <v>0</v>
      </c>
      <c r="M288" s="175" t="s">
        <v>196</v>
      </c>
      <c r="N288" s="176">
        <v>125</v>
      </c>
      <c r="O288" s="177">
        <v>18</v>
      </c>
      <c r="P288" s="178">
        <v>143</v>
      </c>
      <c r="Q288" s="179">
        <v>70</v>
      </c>
      <c r="R288" s="180">
        <v>73</v>
      </c>
    </row>
    <row r="289" spans="1:18" ht="17">
      <c r="A289" s="60" t="str">
        <f>IFERROR(VLOOKUP(Data_Base[[#This Row],[Distributor Name]],Target[SS 2],1,FALSE),"Delete")</f>
        <v>PRABHAT TRADING COM.</v>
      </c>
      <c r="B289" s="60">
        <f ca="1">IFERROR(VLOOKUP(Data_Base[[#This Row],[Item Sub Category]],Table2[[Sub Category]:[Billing Group]],3,0),99)</f>
        <v>25</v>
      </c>
      <c r="C289" s="167" t="str">
        <f>VLOOKUP(Data_Base[[#This Row],[Item Description]],Table2[[Item Name]:[Sub Category]],6,0)</f>
        <v>Bourbon-.20/-</v>
      </c>
      <c r="D289" s="60" t="s">
        <v>893</v>
      </c>
      <c r="E289" s="60" t="s">
        <v>82</v>
      </c>
      <c r="F289" s="168" t="s">
        <v>1829</v>
      </c>
      <c r="G289" s="169" t="s">
        <v>1830</v>
      </c>
      <c r="H289" s="170" t="s">
        <v>1831</v>
      </c>
      <c r="I289" s="171" t="s">
        <v>980</v>
      </c>
      <c r="J289" s="172" t="s">
        <v>140</v>
      </c>
      <c r="K289" s="173" t="s">
        <v>141</v>
      </c>
      <c r="L289" s="174" t="s">
        <v>0</v>
      </c>
      <c r="M289" s="175" t="s">
        <v>142</v>
      </c>
      <c r="N289" s="176">
        <v>10</v>
      </c>
      <c r="O289" s="177">
        <v>0</v>
      </c>
      <c r="P289" s="178">
        <v>10</v>
      </c>
      <c r="Q289" s="179">
        <v>5</v>
      </c>
      <c r="R289" s="180">
        <v>5</v>
      </c>
    </row>
    <row r="290" spans="1:18" ht="17">
      <c r="A290" s="60" t="str">
        <f>IFERROR(VLOOKUP(Data_Base[[#This Row],[Distributor Name]],Target[SS 2],1,FALSE),"Delete")</f>
        <v>PRABHAT TRADING COM.</v>
      </c>
      <c r="B290" s="60">
        <f ca="1">IFERROR(VLOOKUP(Data_Base[[#This Row],[Item Sub Category]],Table2[[Sub Category]:[Billing Group]],3,0),99)</f>
        <v>49</v>
      </c>
      <c r="C290" s="167" t="str">
        <f>VLOOKUP(Data_Base[[#This Row],[Item Description]],Table2[[Item Name]:[Sub Category]],6,0)</f>
        <v>Snacks - F.P.</v>
      </c>
      <c r="D290" s="60" t="s">
        <v>893</v>
      </c>
      <c r="E290" s="60" t="s">
        <v>82</v>
      </c>
      <c r="F290" s="168" t="s">
        <v>1829</v>
      </c>
      <c r="G290" s="169" t="s">
        <v>1830</v>
      </c>
      <c r="H290" s="170" t="s">
        <v>1831</v>
      </c>
      <c r="I290" s="171" t="s">
        <v>980</v>
      </c>
      <c r="J290" s="172" t="s">
        <v>333</v>
      </c>
      <c r="K290" s="173" t="s">
        <v>334</v>
      </c>
      <c r="L290" s="174" t="s">
        <v>0</v>
      </c>
      <c r="M290" s="175" t="s">
        <v>335</v>
      </c>
      <c r="N290" s="176">
        <v>10</v>
      </c>
      <c r="O290" s="177">
        <v>0</v>
      </c>
      <c r="P290" s="178">
        <v>10</v>
      </c>
      <c r="Q290" s="179">
        <v>3</v>
      </c>
      <c r="R290" s="180">
        <v>7</v>
      </c>
    </row>
    <row r="291" spans="1:18" ht="17">
      <c r="A291" s="60" t="str">
        <f>IFERROR(VLOOKUP(Data_Base[[#This Row],[Distributor Name]],Target[SS 2],1,FALSE),"Delete")</f>
        <v>PRABHAT TRADING COM.</v>
      </c>
      <c r="B291" s="60">
        <f ca="1">IFERROR(VLOOKUP(Data_Base[[#This Row],[Item Sub Category]],Table2[[Sub Category]:[Billing Group]],3,0),99)</f>
        <v>62</v>
      </c>
      <c r="C291" s="167" t="str">
        <f>VLOOKUP(Data_Base[[#This Row],[Item Description]],Table2[[Item Name]:[Sub Category]],6,0)</f>
        <v>Cheese/ Top Cracker - 10</v>
      </c>
      <c r="D291" s="60" t="s">
        <v>893</v>
      </c>
      <c r="E291" s="60" t="s">
        <v>82</v>
      </c>
      <c r="F291" s="168" t="s">
        <v>1829</v>
      </c>
      <c r="G291" s="169" t="s">
        <v>1830</v>
      </c>
      <c r="H291" s="170" t="s">
        <v>1831</v>
      </c>
      <c r="I291" s="171" t="s">
        <v>980</v>
      </c>
      <c r="J291" s="172" t="s">
        <v>545</v>
      </c>
      <c r="K291" s="173" t="s">
        <v>546</v>
      </c>
      <c r="L291" s="174" t="s">
        <v>0</v>
      </c>
      <c r="M291" s="175" t="s">
        <v>202</v>
      </c>
      <c r="N291" s="176">
        <v>50</v>
      </c>
      <c r="O291" s="177">
        <v>63</v>
      </c>
      <c r="P291" s="178">
        <v>113</v>
      </c>
      <c r="Q291" s="179">
        <v>60</v>
      </c>
      <c r="R291" s="180">
        <v>53</v>
      </c>
    </row>
    <row r="292" spans="1:18" ht="17">
      <c r="A292" s="60" t="str">
        <f>IFERROR(VLOOKUP(Data_Base[[#This Row],[Distributor Name]],Target[SS 2],1,FALSE),"Delete")</f>
        <v>PRABHAT TRADING COM.</v>
      </c>
      <c r="B292" s="60">
        <f ca="1">IFERROR(VLOOKUP(Data_Base[[#This Row],[Item Sub Category]],Table2[[Sub Category]:[Billing Group]],3,0),99)</f>
        <v>28</v>
      </c>
      <c r="C292" s="167" t="str">
        <f>VLOOKUP(Data_Base[[#This Row],[Item Description]],Table2[[Item Name]:[Sub Category]],6,0)</f>
        <v>Classic Cream Choco -.20/-</v>
      </c>
      <c r="D292" s="60" t="s">
        <v>893</v>
      </c>
      <c r="E292" s="60" t="s">
        <v>82</v>
      </c>
      <c r="F292" s="168" t="s">
        <v>1829</v>
      </c>
      <c r="G292" s="169" t="s">
        <v>1830</v>
      </c>
      <c r="H292" s="170" t="s">
        <v>1831</v>
      </c>
      <c r="I292" s="171" t="s">
        <v>980</v>
      </c>
      <c r="J292" s="172" t="s">
        <v>272</v>
      </c>
      <c r="K292" s="173" t="s">
        <v>273</v>
      </c>
      <c r="L292" s="174" t="s">
        <v>0</v>
      </c>
      <c r="M292" s="175" t="s">
        <v>145</v>
      </c>
      <c r="N292" s="176">
        <v>11</v>
      </c>
      <c r="O292" s="177">
        <v>0</v>
      </c>
      <c r="P292" s="178">
        <v>11</v>
      </c>
      <c r="Q292" s="179">
        <v>3</v>
      </c>
      <c r="R292" s="180">
        <v>8</v>
      </c>
    </row>
    <row r="293" spans="1:18" ht="17">
      <c r="A293" s="60" t="str">
        <f>IFERROR(VLOOKUP(Data_Base[[#This Row],[Distributor Name]],Target[SS 2],1,FALSE),"Delete")</f>
        <v>PRABHAT TRADING COM.</v>
      </c>
      <c r="B293" s="60">
        <f ca="1">IFERROR(VLOOKUP(Data_Base[[#This Row],[Item Sub Category]],Table2[[Sub Category]:[Billing Group]],3,0),99)</f>
        <v>26</v>
      </c>
      <c r="C293" s="167" t="str">
        <f>VLOOKUP(Data_Base[[#This Row],[Item Description]],Table2[[Item Name]:[Sub Category]],6,0)</f>
        <v>Classic Cream Choco -.5/-</v>
      </c>
      <c r="D293" s="60" t="s">
        <v>893</v>
      </c>
      <c r="E293" s="60" t="s">
        <v>82</v>
      </c>
      <c r="F293" s="168" t="s">
        <v>1829</v>
      </c>
      <c r="G293" s="169" t="s">
        <v>1830</v>
      </c>
      <c r="H293" s="170" t="s">
        <v>1831</v>
      </c>
      <c r="I293" s="171" t="s">
        <v>980</v>
      </c>
      <c r="J293" s="172" t="s">
        <v>149</v>
      </c>
      <c r="K293" s="173" t="s">
        <v>150</v>
      </c>
      <c r="L293" s="174" t="s">
        <v>0</v>
      </c>
      <c r="M293" s="175" t="s">
        <v>151</v>
      </c>
      <c r="N293" s="176">
        <v>7</v>
      </c>
      <c r="O293" s="177">
        <v>60</v>
      </c>
      <c r="P293" s="178">
        <v>67</v>
      </c>
      <c r="Q293" s="179">
        <v>47</v>
      </c>
      <c r="R293" s="180">
        <v>20</v>
      </c>
    </row>
    <row r="294" spans="1:18" ht="17">
      <c r="A294" s="60" t="str">
        <f>IFERROR(VLOOKUP(Data_Base[[#This Row],[Distributor Name]],Target[SS 2],1,FALSE),"Delete")</f>
        <v>PRABHAT TRADING COM.</v>
      </c>
      <c r="B294" s="60">
        <f ca="1">IFERROR(VLOOKUP(Data_Base[[#This Row],[Item Sub Category]],Table2[[Sub Category]:[Billing Group]],3,0),99)</f>
        <v>27</v>
      </c>
      <c r="C294" s="167" t="str">
        <f>VLOOKUP(Data_Base[[#This Row],[Item Description]],Table2[[Item Name]:[Sub Category]],6,0)</f>
        <v>Classic Cream Choco -.10/-</v>
      </c>
      <c r="D294" s="60" t="s">
        <v>893</v>
      </c>
      <c r="E294" s="60" t="s">
        <v>82</v>
      </c>
      <c r="F294" s="168" t="s">
        <v>1829</v>
      </c>
      <c r="G294" s="169" t="s">
        <v>1830</v>
      </c>
      <c r="H294" s="170" t="s">
        <v>1831</v>
      </c>
      <c r="I294" s="171" t="s">
        <v>980</v>
      </c>
      <c r="J294" s="172" t="s">
        <v>152</v>
      </c>
      <c r="K294" s="173" t="s">
        <v>153</v>
      </c>
      <c r="L294" s="174" t="s">
        <v>0</v>
      </c>
      <c r="M294" s="175" t="s">
        <v>154</v>
      </c>
      <c r="N294" s="176">
        <v>11</v>
      </c>
      <c r="O294" s="177">
        <v>10</v>
      </c>
      <c r="P294" s="178">
        <v>21</v>
      </c>
      <c r="Q294" s="179">
        <v>7</v>
      </c>
      <c r="R294" s="180">
        <v>14</v>
      </c>
    </row>
    <row r="295" spans="1:18" ht="17">
      <c r="A295" s="60" t="str">
        <f>IFERROR(VLOOKUP(Data_Base[[#This Row],[Distributor Name]],Target[SS 2],1,FALSE),"Delete")</f>
        <v>PRABHAT TRADING COM.</v>
      </c>
      <c r="B295" s="60">
        <f ca="1">IFERROR(VLOOKUP(Data_Base[[#This Row],[Item Sub Category]],Table2[[Sub Category]:[Billing Group]],3,0),99)</f>
        <v>34</v>
      </c>
      <c r="C295" s="167" t="str">
        <f>VLOOKUP(Data_Base[[#This Row],[Item Description]],Table2[[Item Name]:[Sub Category]],6,0)</f>
        <v>Classic Cream Elaichi -.20/-</v>
      </c>
      <c r="D295" s="60" t="s">
        <v>893</v>
      </c>
      <c r="E295" s="60" t="s">
        <v>82</v>
      </c>
      <c r="F295" s="168" t="s">
        <v>1829</v>
      </c>
      <c r="G295" s="169" t="s">
        <v>1830</v>
      </c>
      <c r="H295" s="170" t="s">
        <v>1831</v>
      </c>
      <c r="I295" s="171" t="s">
        <v>980</v>
      </c>
      <c r="J295" s="172" t="s">
        <v>155</v>
      </c>
      <c r="K295" s="173" t="s">
        <v>156</v>
      </c>
      <c r="L295" s="174" t="s">
        <v>0</v>
      </c>
      <c r="M295" s="175" t="s">
        <v>157</v>
      </c>
      <c r="N295" s="176">
        <v>11</v>
      </c>
      <c r="O295" s="177">
        <v>0</v>
      </c>
      <c r="P295" s="178">
        <v>11</v>
      </c>
      <c r="Q295" s="179">
        <v>5</v>
      </c>
      <c r="R295" s="180">
        <v>6</v>
      </c>
    </row>
    <row r="296" spans="1:18" ht="17">
      <c r="A296" s="60" t="str">
        <f>IFERROR(VLOOKUP(Data_Base[[#This Row],[Distributor Name]],Target[SS 2],1,FALSE),"Delete")</f>
        <v>PRABHAT TRADING COM.</v>
      </c>
      <c r="B296" s="60">
        <f ca="1">IFERROR(VLOOKUP(Data_Base[[#This Row],[Item Sub Category]],Table2[[Sub Category]:[Billing Group]],3,0),99)</f>
        <v>32</v>
      </c>
      <c r="C296" s="167" t="str">
        <f>VLOOKUP(Data_Base[[#This Row],[Item Description]],Table2[[Item Name]:[Sub Category]],6,0)</f>
        <v>Classic Cream Elaichi -.5/-</v>
      </c>
      <c r="D296" s="60" t="s">
        <v>893</v>
      </c>
      <c r="E296" s="60" t="s">
        <v>82</v>
      </c>
      <c r="F296" s="168" t="s">
        <v>1829</v>
      </c>
      <c r="G296" s="169" t="s">
        <v>1830</v>
      </c>
      <c r="H296" s="170" t="s">
        <v>1831</v>
      </c>
      <c r="I296" s="171" t="s">
        <v>980</v>
      </c>
      <c r="J296" s="172" t="s">
        <v>158</v>
      </c>
      <c r="K296" s="173" t="s">
        <v>159</v>
      </c>
      <c r="L296" s="174" t="s">
        <v>0</v>
      </c>
      <c r="M296" s="175" t="s">
        <v>160</v>
      </c>
      <c r="N296" s="176">
        <v>5</v>
      </c>
      <c r="O296" s="177">
        <v>45</v>
      </c>
      <c r="P296" s="178">
        <v>50</v>
      </c>
      <c r="Q296" s="179">
        <v>45</v>
      </c>
      <c r="R296" s="180">
        <v>5</v>
      </c>
    </row>
    <row r="297" spans="1:18" ht="17">
      <c r="A297" s="60" t="str">
        <f>IFERROR(VLOOKUP(Data_Base[[#This Row],[Distributor Name]],Target[SS 2],1,FALSE),"Delete")</f>
        <v>PRABHAT TRADING COM.</v>
      </c>
      <c r="B297" s="60">
        <f ca="1">IFERROR(VLOOKUP(Data_Base[[#This Row],[Item Sub Category]],Table2[[Sub Category]:[Billing Group]],3,0),99)</f>
        <v>33</v>
      </c>
      <c r="C297" s="167" t="str">
        <f>VLOOKUP(Data_Base[[#This Row],[Item Description]],Table2[[Item Name]:[Sub Category]],6,0)</f>
        <v>Classic Cream Elaichi -.10/-</v>
      </c>
      <c r="D297" s="60" t="s">
        <v>893</v>
      </c>
      <c r="E297" s="60" t="s">
        <v>82</v>
      </c>
      <c r="F297" s="168" t="s">
        <v>1829</v>
      </c>
      <c r="G297" s="169" t="s">
        <v>1830</v>
      </c>
      <c r="H297" s="170" t="s">
        <v>1831</v>
      </c>
      <c r="I297" s="171" t="s">
        <v>980</v>
      </c>
      <c r="J297" s="172" t="s">
        <v>161</v>
      </c>
      <c r="K297" s="173" t="s">
        <v>162</v>
      </c>
      <c r="L297" s="174" t="s">
        <v>0</v>
      </c>
      <c r="M297" s="175" t="s">
        <v>163</v>
      </c>
      <c r="N297" s="176">
        <v>2</v>
      </c>
      <c r="O297" s="177">
        <v>15</v>
      </c>
      <c r="P297" s="178">
        <v>17</v>
      </c>
      <c r="Q297" s="179">
        <v>2</v>
      </c>
      <c r="R297" s="180">
        <v>15</v>
      </c>
    </row>
    <row r="298" spans="1:18" ht="17">
      <c r="A298" s="60" t="str">
        <f>IFERROR(VLOOKUP(Data_Base[[#This Row],[Distributor Name]],Target[SS 2],1,FALSE),"Delete")</f>
        <v>PRABHAT TRADING COM.</v>
      </c>
      <c r="B298" s="60">
        <f ca="1">IFERROR(VLOOKUP(Data_Base[[#This Row],[Item Sub Category]],Table2[[Sub Category]:[Billing Group]],3,0),99)</f>
        <v>31</v>
      </c>
      <c r="C298" s="167" t="str">
        <f>VLOOKUP(Data_Base[[#This Row],[Item Description]],Table2[[Item Name]:[Sub Category]],6,0)</f>
        <v>Classic Cream Orange -.20/-</v>
      </c>
      <c r="D298" s="60" t="s">
        <v>893</v>
      </c>
      <c r="E298" s="60" t="s">
        <v>82</v>
      </c>
      <c r="F298" s="168" t="s">
        <v>1829</v>
      </c>
      <c r="G298" s="169" t="s">
        <v>1830</v>
      </c>
      <c r="H298" s="170" t="s">
        <v>1831</v>
      </c>
      <c r="I298" s="171" t="s">
        <v>980</v>
      </c>
      <c r="J298" s="172" t="s">
        <v>164</v>
      </c>
      <c r="K298" s="173" t="s">
        <v>165</v>
      </c>
      <c r="L298" s="174" t="s">
        <v>0</v>
      </c>
      <c r="M298" s="175" t="s">
        <v>166</v>
      </c>
      <c r="N298" s="176">
        <v>7</v>
      </c>
      <c r="O298" s="177">
        <v>0</v>
      </c>
      <c r="P298" s="178">
        <v>7</v>
      </c>
      <c r="Q298" s="179">
        <v>4</v>
      </c>
      <c r="R298" s="180">
        <v>3</v>
      </c>
    </row>
    <row r="299" spans="1:18" ht="17">
      <c r="A299" s="60" t="str">
        <f>IFERROR(VLOOKUP(Data_Base[[#This Row],[Distributor Name]],Target[SS 2],1,FALSE),"Delete")</f>
        <v>PRABHAT TRADING COM.</v>
      </c>
      <c r="B299" s="60">
        <f ca="1">IFERROR(VLOOKUP(Data_Base[[#This Row],[Item Sub Category]],Table2[[Sub Category]:[Billing Group]],3,0),99)</f>
        <v>29</v>
      </c>
      <c r="C299" s="167" t="str">
        <f>VLOOKUP(Data_Base[[#This Row],[Item Description]],Table2[[Item Name]:[Sub Category]],6,0)</f>
        <v>Classic Cream Orange -.5/-</v>
      </c>
      <c r="D299" s="60" t="s">
        <v>893</v>
      </c>
      <c r="E299" s="60" t="s">
        <v>82</v>
      </c>
      <c r="F299" s="168" t="s">
        <v>1829</v>
      </c>
      <c r="G299" s="169" t="s">
        <v>1830</v>
      </c>
      <c r="H299" s="170" t="s">
        <v>1831</v>
      </c>
      <c r="I299" s="171" t="s">
        <v>980</v>
      </c>
      <c r="J299" s="172" t="s">
        <v>167</v>
      </c>
      <c r="K299" s="173" t="s">
        <v>168</v>
      </c>
      <c r="L299" s="174" t="s">
        <v>0</v>
      </c>
      <c r="M299" s="175" t="s">
        <v>169</v>
      </c>
      <c r="N299" s="176">
        <v>6</v>
      </c>
      <c r="O299" s="177">
        <v>45</v>
      </c>
      <c r="P299" s="178">
        <v>51</v>
      </c>
      <c r="Q299" s="179">
        <v>46</v>
      </c>
      <c r="R299" s="180">
        <v>5</v>
      </c>
    </row>
    <row r="300" spans="1:18" ht="17">
      <c r="A300" s="60" t="str">
        <f>IFERROR(VLOOKUP(Data_Base[[#This Row],[Distributor Name]],Target[SS 2],1,FALSE),"Delete")</f>
        <v>PRABHAT TRADING COM.</v>
      </c>
      <c r="B300" s="60">
        <f ca="1">IFERROR(VLOOKUP(Data_Base[[#This Row],[Item Sub Category]],Table2[[Sub Category]:[Billing Group]],3,0),99)</f>
        <v>30</v>
      </c>
      <c r="C300" s="167" t="str">
        <f>VLOOKUP(Data_Base[[#This Row],[Item Description]],Table2[[Item Name]:[Sub Category]],6,0)</f>
        <v>Classic Cream Orange -.10/-</v>
      </c>
      <c r="D300" s="60" t="s">
        <v>893</v>
      </c>
      <c r="E300" s="60" t="s">
        <v>82</v>
      </c>
      <c r="F300" s="168" t="s">
        <v>1829</v>
      </c>
      <c r="G300" s="169" t="s">
        <v>1830</v>
      </c>
      <c r="H300" s="170" t="s">
        <v>1831</v>
      </c>
      <c r="I300" s="171" t="s">
        <v>980</v>
      </c>
      <c r="J300" s="172" t="s">
        <v>170</v>
      </c>
      <c r="K300" s="173" t="s">
        <v>171</v>
      </c>
      <c r="L300" s="174" t="s">
        <v>0</v>
      </c>
      <c r="M300" s="175" t="s">
        <v>172</v>
      </c>
      <c r="N300" s="176">
        <v>14</v>
      </c>
      <c r="O300" s="177">
        <v>10</v>
      </c>
      <c r="P300" s="178">
        <v>24</v>
      </c>
      <c r="Q300" s="179">
        <v>9</v>
      </c>
      <c r="R300" s="180">
        <v>15</v>
      </c>
    </row>
    <row r="301" spans="1:18" ht="17">
      <c r="A301" s="60" t="str">
        <f>IFERROR(VLOOKUP(Data_Base[[#This Row],[Distributor Name]],Target[SS 2],1,FALSE),"Delete")</f>
        <v>PRABHAT TRADING COM.</v>
      </c>
      <c r="B301" s="60">
        <f ca="1">IFERROR(VLOOKUP(Data_Base[[#This Row],[Item Sub Category]],Table2[[Sub Category]:[Billing Group]],3,0),99)</f>
        <v>21</v>
      </c>
      <c r="C301" s="167" t="str">
        <f>VLOOKUP(Data_Base[[#This Row],[Item Description]],Table2[[Item Name]:[Sub Category]],6,0)</f>
        <v>Coconut Crunch-.20/-</v>
      </c>
      <c r="D301" s="60" t="s">
        <v>893</v>
      </c>
      <c r="E301" s="60" t="s">
        <v>82</v>
      </c>
      <c r="F301" s="168" t="s">
        <v>1829</v>
      </c>
      <c r="G301" s="169" t="s">
        <v>1830</v>
      </c>
      <c r="H301" s="170" t="s">
        <v>1831</v>
      </c>
      <c r="I301" s="171" t="s">
        <v>980</v>
      </c>
      <c r="J301" s="172" t="s">
        <v>173</v>
      </c>
      <c r="K301" s="173" t="s">
        <v>174</v>
      </c>
      <c r="L301" s="174" t="s">
        <v>0</v>
      </c>
      <c r="M301" s="175" t="s">
        <v>175</v>
      </c>
      <c r="N301" s="176">
        <v>25</v>
      </c>
      <c r="O301" s="177">
        <v>0</v>
      </c>
      <c r="P301" s="178">
        <v>25</v>
      </c>
      <c r="Q301" s="179">
        <v>18</v>
      </c>
      <c r="R301" s="180">
        <v>7</v>
      </c>
    </row>
    <row r="302" spans="1:18" ht="17">
      <c r="A302" s="60" t="str">
        <f>IFERROR(VLOOKUP(Data_Base[[#This Row],[Distributor Name]],Target[SS 2],1,FALSE),"Delete")</f>
        <v>PRABHAT TRADING COM.</v>
      </c>
      <c r="B302" s="60">
        <f ca="1">IFERROR(VLOOKUP(Data_Base[[#This Row],[Item Sub Category]],Table2[[Sub Category]:[Billing Group]],3,0),99)</f>
        <v>131</v>
      </c>
      <c r="C302" s="167" t="str">
        <f>VLOOKUP(Data_Base[[#This Row],[Item Description]],Table2[[Item Name]:[Sub Category]],6,0)</f>
        <v>HUNK - 5</v>
      </c>
      <c r="D302" s="60" t="s">
        <v>893</v>
      </c>
      <c r="E302" s="60" t="s">
        <v>82</v>
      </c>
      <c r="F302" s="168" t="s">
        <v>1829</v>
      </c>
      <c r="G302" s="169" t="s">
        <v>1830</v>
      </c>
      <c r="H302" s="170" t="s">
        <v>1831</v>
      </c>
      <c r="I302" s="171" t="s">
        <v>980</v>
      </c>
      <c r="J302" s="172" t="s">
        <v>628</v>
      </c>
      <c r="K302" s="173" t="s">
        <v>629</v>
      </c>
      <c r="L302" s="174" t="s">
        <v>16</v>
      </c>
      <c r="M302" s="175" t="s">
        <v>133</v>
      </c>
      <c r="N302" s="176">
        <v>24</v>
      </c>
      <c r="O302" s="177">
        <v>100</v>
      </c>
      <c r="P302" s="178">
        <v>124</v>
      </c>
      <c r="Q302" s="179">
        <v>65</v>
      </c>
      <c r="R302" s="180">
        <v>59</v>
      </c>
    </row>
    <row r="303" spans="1:18" ht="17">
      <c r="A303" s="60" t="str">
        <f>IFERROR(VLOOKUP(Data_Base[[#This Row],[Distributor Name]],Target[SS 2],1,FALSE),"Delete")</f>
        <v>PRABHAT TRADING COM.</v>
      </c>
      <c r="B303" s="60">
        <f ca="1">IFERROR(VLOOKUP(Data_Base[[#This Row],[Item Sub Category]],Table2[[Sub Category]:[Billing Group]],3,0),99)</f>
        <v>130</v>
      </c>
      <c r="C303" s="167" t="str">
        <f>VLOOKUP(Data_Base[[#This Row],[Item Description]],Table2[[Item Name]:[Sub Category]],6,0)</f>
        <v>Snakker- 5/-</v>
      </c>
      <c r="D303" s="60" t="s">
        <v>893</v>
      </c>
      <c r="E303" s="60" t="s">
        <v>82</v>
      </c>
      <c r="F303" s="168" t="s">
        <v>1829</v>
      </c>
      <c r="G303" s="169" t="s">
        <v>1830</v>
      </c>
      <c r="H303" s="170" t="s">
        <v>1831</v>
      </c>
      <c r="I303" s="171" t="s">
        <v>980</v>
      </c>
      <c r="J303" s="172" t="s">
        <v>537</v>
      </c>
      <c r="K303" s="173" t="s">
        <v>538</v>
      </c>
      <c r="L303" s="174" t="s">
        <v>16</v>
      </c>
      <c r="M303" s="175" t="s">
        <v>187</v>
      </c>
      <c r="N303" s="176">
        <v>475</v>
      </c>
      <c r="O303" s="177">
        <v>735</v>
      </c>
      <c r="P303" s="178">
        <v>1210</v>
      </c>
      <c r="Q303" s="179">
        <v>485</v>
      </c>
      <c r="R303" s="180">
        <v>725</v>
      </c>
    </row>
    <row r="304" spans="1:18" ht="17">
      <c r="A304" s="60" t="str">
        <f>IFERROR(VLOOKUP(Data_Base[[#This Row],[Distributor Name]],Target[SS 2],1,FALSE),"Delete")</f>
        <v>PRABHAT TRADING COM.</v>
      </c>
      <c r="B304" s="60">
        <f ca="1">IFERROR(VLOOKUP(Data_Base[[#This Row],[Item Sub Category]],Table2[[Sub Category]:[Billing Group]],3,0),99)</f>
        <v>149</v>
      </c>
      <c r="C304" s="167" t="str">
        <f>VLOOKUP(Data_Base[[#This Row],[Item Description]],Table2[[Item Name]:[Sub Category]],6,0)</f>
        <v>Snakker Minty Pouch</v>
      </c>
      <c r="D304" s="60" t="s">
        <v>893</v>
      </c>
      <c r="E304" s="60" t="s">
        <v>82</v>
      </c>
      <c r="F304" s="168" t="s">
        <v>1829</v>
      </c>
      <c r="G304" s="169" t="s">
        <v>1830</v>
      </c>
      <c r="H304" s="170" t="s">
        <v>1831</v>
      </c>
      <c r="I304" s="171" t="s">
        <v>980</v>
      </c>
      <c r="J304" s="172" t="s">
        <v>276</v>
      </c>
      <c r="K304" s="173" t="s">
        <v>277</v>
      </c>
      <c r="L304" s="174" t="s">
        <v>16</v>
      </c>
      <c r="M304" s="175" t="s">
        <v>278</v>
      </c>
      <c r="N304" s="176">
        <v>3</v>
      </c>
      <c r="O304" s="177">
        <v>5</v>
      </c>
      <c r="P304" s="178">
        <v>8</v>
      </c>
      <c r="Q304" s="179">
        <v>1</v>
      </c>
      <c r="R304" s="180">
        <v>7</v>
      </c>
    </row>
    <row r="305" spans="1:18" ht="17">
      <c r="A305" s="60" t="str">
        <f>IFERROR(VLOOKUP(Data_Base[[#This Row],[Distributor Name]],Target[SS 2],1,FALSE),"Delete")</f>
        <v>PRABHAT TRADING COM.</v>
      </c>
      <c r="B305" s="60">
        <f ca="1">IFERROR(VLOOKUP(Data_Base[[#This Row],[Item Sub Category]],Table2[[Sub Category]:[Billing Group]],3,0),99)</f>
        <v>150</v>
      </c>
      <c r="C305" s="167" t="str">
        <f>VLOOKUP(Data_Base[[#This Row],[Item Description]],Table2[[Item Name]:[Sub Category]],6,0)</f>
        <v>Snakker Minty Jar</v>
      </c>
      <c r="D305" s="60" t="s">
        <v>893</v>
      </c>
      <c r="E305" s="60" t="s">
        <v>82</v>
      </c>
      <c r="F305" s="168" t="s">
        <v>1829</v>
      </c>
      <c r="G305" s="169" t="s">
        <v>1830</v>
      </c>
      <c r="H305" s="170" t="s">
        <v>1831</v>
      </c>
      <c r="I305" s="171" t="s">
        <v>980</v>
      </c>
      <c r="J305" s="172" t="s">
        <v>182</v>
      </c>
      <c r="K305" s="173" t="s">
        <v>183</v>
      </c>
      <c r="L305" s="174" t="s">
        <v>16</v>
      </c>
      <c r="M305" s="175" t="s">
        <v>184</v>
      </c>
      <c r="N305" s="176">
        <v>2</v>
      </c>
      <c r="O305" s="177">
        <v>0</v>
      </c>
      <c r="P305" s="178">
        <v>2</v>
      </c>
      <c r="Q305" s="179">
        <v>2</v>
      </c>
      <c r="R305" s="180">
        <v>0</v>
      </c>
    </row>
    <row r="306" spans="1:18" ht="17">
      <c r="A306" s="60" t="str">
        <f>IFERROR(VLOOKUP(Data_Base[[#This Row],[Distributor Name]],Target[SS 2],1,FALSE),"Delete")</f>
        <v>PRABHAT TRADING COM.</v>
      </c>
      <c r="B306" s="60">
        <f ca="1">IFERROR(VLOOKUP(Data_Base[[#This Row],[Item Sub Category]],Table2[[Sub Category]:[Billing Group]],3,0),99)</f>
        <v>50</v>
      </c>
      <c r="C306" s="167" t="str">
        <f>VLOOKUP(Data_Base[[#This Row],[Item Description]],Table2[[Item Name]:[Sub Category]],6,0)</f>
        <v>C.N.C. - 5</v>
      </c>
      <c r="D306" s="60" t="s">
        <v>893</v>
      </c>
      <c r="E306" s="60" t="s">
        <v>82</v>
      </c>
      <c r="F306" s="168" t="s">
        <v>1829</v>
      </c>
      <c r="G306" s="169" t="s">
        <v>1830</v>
      </c>
      <c r="H306" s="170" t="s">
        <v>1831</v>
      </c>
      <c r="I306" s="171" t="s">
        <v>980</v>
      </c>
      <c r="J306" s="172" t="s">
        <v>305</v>
      </c>
      <c r="K306" s="173" t="s">
        <v>306</v>
      </c>
      <c r="L306" s="174" t="s">
        <v>0</v>
      </c>
      <c r="M306" s="175" t="s">
        <v>148</v>
      </c>
      <c r="N306" s="176">
        <v>282</v>
      </c>
      <c r="O306" s="177">
        <v>520</v>
      </c>
      <c r="P306" s="178">
        <v>802</v>
      </c>
      <c r="Q306" s="179">
        <v>555</v>
      </c>
      <c r="R306" s="180">
        <v>247</v>
      </c>
    </row>
    <row r="307" spans="1:18" ht="17">
      <c r="A307" s="60" t="str">
        <f>IFERROR(VLOOKUP(Data_Base[[#This Row],[Distributor Name]],Target[SS 2],1,FALSE),"Delete")</f>
        <v>PRABHAT TRADING COM.</v>
      </c>
      <c r="B307" s="60">
        <f ca="1">IFERROR(VLOOKUP(Data_Base[[#This Row],[Item Sub Category]],Table2[[Sub Category]:[Billing Group]],3,0),99)</f>
        <v>45</v>
      </c>
      <c r="C307" s="167" t="str">
        <f>VLOOKUP(Data_Base[[#This Row],[Item Description]],Table2[[Item Name]:[Sub Category]],6,0)</f>
        <v>Marie Lite -20</v>
      </c>
      <c r="D307" s="60" t="s">
        <v>893</v>
      </c>
      <c r="E307" s="60" t="s">
        <v>82</v>
      </c>
      <c r="F307" s="168" t="s">
        <v>1829</v>
      </c>
      <c r="G307" s="169" t="s">
        <v>1830</v>
      </c>
      <c r="H307" s="170" t="s">
        <v>1831</v>
      </c>
      <c r="I307" s="171" t="s">
        <v>980</v>
      </c>
      <c r="J307" s="172" t="s">
        <v>279</v>
      </c>
      <c r="K307" s="173" t="s">
        <v>280</v>
      </c>
      <c r="L307" s="174" t="s">
        <v>0</v>
      </c>
      <c r="M307" s="175" t="s">
        <v>281</v>
      </c>
      <c r="N307" s="176">
        <v>54</v>
      </c>
      <c r="O307" s="177">
        <v>108</v>
      </c>
      <c r="P307" s="178">
        <v>162</v>
      </c>
      <c r="Q307" s="179">
        <v>72</v>
      </c>
      <c r="R307" s="180">
        <v>90</v>
      </c>
    </row>
    <row r="308" spans="1:18" ht="17">
      <c r="A308" s="60" t="str">
        <f>IFERROR(VLOOKUP(Data_Base[[#This Row],[Distributor Name]],Target[SS 2],1,FALSE),"Delete")</f>
        <v>PRABHAT TRADING COM.</v>
      </c>
      <c r="B308" s="60">
        <f ca="1">IFERROR(VLOOKUP(Data_Base[[#This Row],[Item Sub Category]],Table2[[Sub Category]:[Billing Group]],3,0),99)</f>
        <v>44</v>
      </c>
      <c r="C308" s="167" t="str">
        <f>VLOOKUP(Data_Base[[#This Row],[Item Description]],Table2[[Item Name]:[Sub Category]],6,0)</f>
        <v>Marie Lite -10</v>
      </c>
      <c r="D308" s="60" t="s">
        <v>893</v>
      </c>
      <c r="E308" s="60" t="s">
        <v>82</v>
      </c>
      <c r="F308" s="168" t="s">
        <v>1829</v>
      </c>
      <c r="G308" s="169" t="s">
        <v>1830</v>
      </c>
      <c r="H308" s="170" t="s">
        <v>1831</v>
      </c>
      <c r="I308" s="171" t="s">
        <v>980</v>
      </c>
      <c r="J308" s="172" t="s">
        <v>206</v>
      </c>
      <c r="K308" s="173" t="s">
        <v>207</v>
      </c>
      <c r="L308" s="174" t="s">
        <v>0</v>
      </c>
      <c r="M308" s="175" t="s">
        <v>208</v>
      </c>
      <c r="N308" s="176">
        <v>35</v>
      </c>
      <c r="O308" s="177">
        <v>132</v>
      </c>
      <c r="P308" s="178">
        <v>167</v>
      </c>
      <c r="Q308" s="179">
        <v>48</v>
      </c>
      <c r="R308" s="180">
        <v>119</v>
      </c>
    </row>
    <row r="309" spans="1:18" ht="17">
      <c r="A309" s="60" t="str">
        <f>IFERROR(VLOOKUP(Data_Base[[#This Row],[Distributor Name]],Target[SS 2],1,FALSE),"Delete")</f>
        <v>PRABHAT TRADING COM.</v>
      </c>
      <c r="B309" s="60">
        <f ca="1">IFERROR(VLOOKUP(Data_Base[[#This Row],[Item Sub Category]],Table2[[Sub Category]:[Billing Group]],3,0),99)</f>
        <v>48</v>
      </c>
      <c r="C309" s="167" t="str">
        <f>VLOOKUP(Data_Base[[#This Row],[Item Description]],Table2[[Item Name]:[Sub Category]],6,0)</f>
        <v>Snacks - 10</v>
      </c>
      <c r="D309" s="60" t="s">
        <v>893</v>
      </c>
      <c r="E309" s="60" t="s">
        <v>82</v>
      </c>
      <c r="F309" s="168" t="s">
        <v>1829</v>
      </c>
      <c r="G309" s="169" t="s">
        <v>1830</v>
      </c>
      <c r="H309" s="170" t="s">
        <v>1831</v>
      </c>
      <c r="I309" s="171" t="s">
        <v>980</v>
      </c>
      <c r="J309" s="172" t="s">
        <v>307</v>
      </c>
      <c r="K309" s="173" t="s">
        <v>308</v>
      </c>
      <c r="L309" s="174" t="s">
        <v>0</v>
      </c>
      <c r="M309" s="175" t="s">
        <v>284</v>
      </c>
      <c r="N309" s="176">
        <v>0</v>
      </c>
      <c r="O309" s="177">
        <v>349</v>
      </c>
      <c r="P309" s="178">
        <v>349</v>
      </c>
      <c r="Q309" s="179">
        <v>205</v>
      </c>
      <c r="R309" s="180">
        <v>144</v>
      </c>
    </row>
    <row r="310" spans="1:18" ht="17">
      <c r="A310" s="60" t="str">
        <f>IFERROR(VLOOKUP(Data_Base[[#This Row],[Distributor Name]],Target[SS 2],1,FALSE),"Delete")</f>
        <v>PRABHAT TRADING COM.</v>
      </c>
      <c r="B310" s="60">
        <f>IFERROR(VLOOKUP(Data_Base[[#This Row],[Item Sub Category]],Table2[[Sub Category]:[Billing Group]],3,0),99)</f>
        <v>85</v>
      </c>
      <c r="C310" s="167" t="str">
        <f>VLOOKUP(Data_Base[[#This Row],[Item Description]],Table2[[Item Name]:[Sub Category]],6,0)</f>
        <v>Milky Brust-.5/-</v>
      </c>
      <c r="D310" s="60" t="s">
        <v>893</v>
      </c>
      <c r="E310" s="60" t="s">
        <v>82</v>
      </c>
      <c r="F310" s="168" t="s">
        <v>1829</v>
      </c>
      <c r="G310" s="169" t="s">
        <v>1830</v>
      </c>
      <c r="H310" s="170" t="s">
        <v>1831</v>
      </c>
      <c r="I310" s="171" t="s">
        <v>980</v>
      </c>
      <c r="J310" s="172" t="s">
        <v>956</v>
      </c>
      <c r="K310" s="173" t="s">
        <v>957</v>
      </c>
      <c r="L310" s="174" t="s">
        <v>0</v>
      </c>
      <c r="M310" s="175" t="s">
        <v>958</v>
      </c>
      <c r="N310" s="176">
        <v>64</v>
      </c>
      <c r="O310" s="177">
        <v>0</v>
      </c>
      <c r="P310" s="178">
        <v>64</v>
      </c>
      <c r="Q310" s="179">
        <v>12</v>
      </c>
      <c r="R310" s="180">
        <v>52</v>
      </c>
    </row>
    <row r="311" spans="1:18" ht="17">
      <c r="A311" s="60" t="str">
        <f>IFERROR(VLOOKUP(Data_Base[[#This Row],[Distributor Name]],Target[SS 2],1,FALSE),"Delete")</f>
        <v>PRABHAT TRADING COM.</v>
      </c>
      <c r="B311" s="60">
        <f>IFERROR(VLOOKUP(Data_Base[[#This Row],[Item Sub Category]],Table2[[Sub Category]:[Billing Group]],3,0),99)</f>
        <v>86</v>
      </c>
      <c r="C311" s="167" t="str">
        <f>VLOOKUP(Data_Base[[#This Row],[Item Description]],Table2[[Item Name]:[Sub Category]],6,0)</f>
        <v>Milky Brust-.10/-</v>
      </c>
      <c r="D311" s="60" t="s">
        <v>893</v>
      </c>
      <c r="E311" s="60" t="s">
        <v>82</v>
      </c>
      <c r="F311" s="168" t="s">
        <v>1829</v>
      </c>
      <c r="G311" s="169" t="s">
        <v>1830</v>
      </c>
      <c r="H311" s="170" t="s">
        <v>1831</v>
      </c>
      <c r="I311" s="171" t="s">
        <v>980</v>
      </c>
      <c r="J311" s="172" t="s">
        <v>959</v>
      </c>
      <c r="K311" s="173" t="s">
        <v>960</v>
      </c>
      <c r="L311" s="174" t="s">
        <v>0</v>
      </c>
      <c r="M311" s="175" t="s">
        <v>961</v>
      </c>
      <c r="N311" s="176">
        <v>18</v>
      </c>
      <c r="O311" s="177">
        <v>0</v>
      </c>
      <c r="P311" s="178">
        <v>18</v>
      </c>
      <c r="Q311" s="179">
        <v>11</v>
      </c>
      <c r="R311" s="180">
        <v>7</v>
      </c>
    </row>
  </sheetData>
  <phoneticPr fontId="12" type="noConversion"/>
  <conditionalFormatting sqref="H1">
    <cfRule type="expression" dxfId="6" priority="3">
      <formula>MOD(F1,1)=0</formula>
    </cfRule>
  </conditionalFormatting>
  <conditionalFormatting sqref="I1">
    <cfRule type="expression" dxfId="5" priority="4">
      <formula>MOD(F1,1)=0</formula>
    </cfRule>
  </conditionalFormatting>
  <conditionalFormatting sqref="J1">
    <cfRule type="expression" dxfId="4" priority="5">
      <formula>MOD(F1,1)=0</formula>
    </cfRule>
  </conditionalFormatting>
  <conditionalFormatting sqref="K1">
    <cfRule type="expression" dxfId="3" priority="6">
      <formula>MOD(F1,1)=0</formula>
    </cfRule>
  </conditionalFormatting>
  <conditionalFormatting sqref="L1">
    <cfRule type="expression" dxfId="2" priority="7">
      <formula>MOD(F1,1)=0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95671-335F-4DB2-A554-B9B7450D24DE}">
  <dimension ref="A1:W1293"/>
  <sheetViews>
    <sheetView topLeftCell="G1" workbookViewId="0">
      <pane ySplit="1" topLeftCell="A1281" activePane="bottomLeft" state="frozen"/>
      <selection pane="bottomLeft" activeCell="I2" sqref="I2"/>
    </sheetView>
  </sheetViews>
  <sheetFormatPr defaultColWidth="8.81640625" defaultRowHeight="14.5"/>
  <cols>
    <col min="1" max="1" width="18" bestFit="1" customWidth="1"/>
    <col min="2" max="2" width="34" bestFit="1" customWidth="1"/>
    <col min="3" max="3" width="29.36328125" bestFit="1" customWidth="1"/>
    <col min="4" max="4" width="9" bestFit="1" customWidth="1"/>
    <col min="5" max="5" width="7" bestFit="1" customWidth="1"/>
    <col min="6" max="6" width="13.453125" bestFit="1" customWidth="1"/>
    <col min="7" max="7" width="12.453125" bestFit="1" customWidth="1"/>
    <col min="8" max="8" width="18" bestFit="1" customWidth="1"/>
    <col min="9" max="9" width="34" bestFit="1" customWidth="1"/>
    <col min="12" max="12" width="21.1796875" bestFit="1" customWidth="1"/>
    <col min="13" max="13" width="23.453125" customWidth="1"/>
    <col min="14" max="14" width="34" customWidth="1"/>
  </cols>
  <sheetData>
    <row r="1" spans="1:23">
      <c r="A1" s="206" t="s">
        <v>2513</v>
      </c>
      <c r="B1" s="207" t="s">
        <v>2511</v>
      </c>
      <c r="C1" s="207" t="s">
        <v>2382</v>
      </c>
      <c r="D1" s="207" t="s">
        <v>992</v>
      </c>
      <c r="E1" s="207" t="s">
        <v>70</v>
      </c>
      <c r="F1" s="207" t="s">
        <v>17</v>
      </c>
      <c r="G1" s="208" t="s">
        <v>2508</v>
      </c>
      <c r="H1" s="207" t="s">
        <v>2510</v>
      </c>
      <c r="I1" s="207" t="s">
        <v>2512</v>
      </c>
      <c r="P1" s="213"/>
      <c r="Q1" t="s">
        <v>2508</v>
      </c>
      <c r="R1" t="s">
        <v>80</v>
      </c>
      <c r="S1" t="s">
        <v>2509</v>
      </c>
      <c r="T1" t="s">
        <v>797</v>
      </c>
      <c r="U1" t="s">
        <v>739</v>
      </c>
      <c r="V1" t="s">
        <v>897</v>
      </c>
      <c r="W1" t="s">
        <v>735</v>
      </c>
    </row>
    <row r="2" spans="1:23">
      <c r="A2" s="205" t="s">
        <v>1830</v>
      </c>
      <c r="B2" s="205" t="s">
        <v>2383</v>
      </c>
      <c r="C2" s="205" t="s">
        <v>2384</v>
      </c>
      <c r="D2" s="205">
        <v>2308</v>
      </c>
      <c r="E2" s="205" t="s">
        <v>2385</v>
      </c>
      <c r="F2" s="205" t="s">
        <v>80</v>
      </c>
      <c r="G2" s="23" t="s">
        <v>80</v>
      </c>
      <c r="H2" s="205" t="s">
        <v>1830</v>
      </c>
      <c r="I2" s="205" t="s">
        <v>2383</v>
      </c>
      <c r="P2" s="214"/>
    </row>
    <row r="3" spans="1:23">
      <c r="A3" s="205" t="s">
        <v>1830</v>
      </c>
      <c r="B3" s="205" t="s">
        <v>2383</v>
      </c>
      <c r="C3" s="205" t="s">
        <v>2384</v>
      </c>
      <c r="D3" s="205">
        <v>2380.5</v>
      </c>
      <c r="E3" s="205" t="s">
        <v>632</v>
      </c>
      <c r="F3" s="205" t="s">
        <v>80</v>
      </c>
      <c r="G3" s="23" t="s">
        <v>80</v>
      </c>
      <c r="H3" s="205" t="s">
        <v>1830</v>
      </c>
      <c r="I3" s="205" t="s">
        <v>2383</v>
      </c>
    </row>
    <row r="4" spans="1:23">
      <c r="A4" s="205" t="s">
        <v>1830</v>
      </c>
      <c r="B4" s="205" t="s">
        <v>2383</v>
      </c>
      <c r="C4" s="205" t="s">
        <v>2384</v>
      </c>
      <c r="D4" s="205">
        <v>2380.5</v>
      </c>
      <c r="E4" s="205" t="s">
        <v>2389</v>
      </c>
      <c r="F4" s="205" t="s">
        <v>80</v>
      </c>
      <c r="G4" s="23" t="s">
        <v>80</v>
      </c>
      <c r="H4" s="205" t="s">
        <v>1830</v>
      </c>
      <c r="I4" s="205" t="s">
        <v>2383</v>
      </c>
    </row>
    <row r="5" spans="1:23">
      <c r="A5" s="205" t="s">
        <v>1830</v>
      </c>
      <c r="B5" s="205" t="s">
        <v>2390</v>
      </c>
      <c r="C5" s="205" t="s">
        <v>2391</v>
      </c>
      <c r="D5" s="205">
        <v>1221</v>
      </c>
      <c r="E5" s="205" t="s">
        <v>2385</v>
      </c>
      <c r="F5" s="205" t="s">
        <v>80</v>
      </c>
      <c r="G5" s="23" t="s">
        <v>80</v>
      </c>
      <c r="H5" s="205" t="s">
        <v>1830</v>
      </c>
      <c r="I5" s="205" t="s">
        <v>2390</v>
      </c>
    </row>
    <row r="6" spans="1:23">
      <c r="A6" s="205" t="s">
        <v>1830</v>
      </c>
      <c r="B6" s="205" t="s">
        <v>2390</v>
      </c>
      <c r="C6" s="205" t="s">
        <v>2391</v>
      </c>
      <c r="D6" s="205">
        <v>1221</v>
      </c>
      <c r="E6" s="205" t="s">
        <v>632</v>
      </c>
      <c r="F6" s="205" t="s">
        <v>80</v>
      </c>
      <c r="G6" s="23" t="s">
        <v>80</v>
      </c>
      <c r="H6" s="205" t="s">
        <v>1830</v>
      </c>
      <c r="I6" s="205" t="s">
        <v>2390</v>
      </c>
    </row>
    <row r="7" spans="1:23">
      <c r="A7" s="205" t="s">
        <v>1830</v>
      </c>
      <c r="B7" s="205" t="s">
        <v>2390</v>
      </c>
      <c r="C7" s="205" t="s">
        <v>2391</v>
      </c>
      <c r="D7" s="205">
        <v>1857.2499999999998</v>
      </c>
      <c r="E7" s="205" t="s">
        <v>2389</v>
      </c>
      <c r="F7" s="205" t="s">
        <v>80</v>
      </c>
      <c r="G7" s="23" t="s">
        <v>80</v>
      </c>
      <c r="H7" s="205" t="s">
        <v>1830</v>
      </c>
      <c r="I7" s="205" t="s">
        <v>2390</v>
      </c>
    </row>
    <row r="8" spans="1:23">
      <c r="A8" s="205" t="s">
        <v>1830</v>
      </c>
      <c r="B8" s="205" t="s">
        <v>2392</v>
      </c>
      <c r="C8" s="205" t="s">
        <v>2393</v>
      </c>
      <c r="D8" s="205">
        <v>1345.5</v>
      </c>
      <c r="E8" s="205" t="s">
        <v>2385</v>
      </c>
      <c r="F8" s="205" t="s">
        <v>80</v>
      </c>
      <c r="G8" s="23" t="s">
        <v>80</v>
      </c>
      <c r="H8" s="205" t="s">
        <v>1830</v>
      </c>
      <c r="I8" s="205" t="s">
        <v>2392</v>
      </c>
    </row>
    <row r="9" spans="1:23">
      <c r="A9" s="205" t="s">
        <v>1830</v>
      </c>
      <c r="B9" s="205" t="s">
        <v>2392</v>
      </c>
      <c r="C9" s="205" t="s">
        <v>2393</v>
      </c>
      <c r="D9" s="205">
        <v>1346</v>
      </c>
      <c r="E9" s="205" t="s">
        <v>632</v>
      </c>
      <c r="F9" s="205" t="s">
        <v>80</v>
      </c>
      <c r="G9" s="23" t="s">
        <v>80</v>
      </c>
      <c r="H9" s="205" t="s">
        <v>1830</v>
      </c>
      <c r="I9" s="205" t="s">
        <v>2392</v>
      </c>
    </row>
    <row r="10" spans="1:23">
      <c r="A10" s="205" t="s">
        <v>1830</v>
      </c>
      <c r="B10" s="205" t="s">
        <v>2392</v>
      </c>
      <c r="C10" s="205" t="s">
        <v>2393</v>
      </c>
      <c r="D10" s="205">
        <v>1346</v>
      </c>
      <c r="E10" s="205" t="s">
        <v>2389</v>
      </c>
      <c r="F10" s="205" t="s">
        <v>80</v>
      </c>
      <c r="G10" s="23" t="s">
        <v>80</v>
      </c>
      <c r="H10" s="205" t="s">
        <v>1830</v>
      </c>
      <c r="I10" s="205" t="s">
        <v>2392</v>
      </c>
    </row>
    <row r="11" spans="1:23">
      <c r="A11" s="205" t="s">
        <v>1830</v>
      </c>
      <c r="B11" s="205" t="s">
        <v>2394</v>
      </c>
      <c r="C11" s="205" t="s">
        <v>2395</v>
      </c>
      <c r="D11" s="205">
        <v>488.74999999999994</v>
      </c>
      <c r="E11" s="205" t="s">
        <v>2385</v>
      </c>
      <c r="F11" s="205" t="s">
        <v>80</v>
      </c>
      <c r="G11" s="23" t="s">
        <v>80</v>
      </c>
      <c r="H11" s="205" t="s">
        <v>1830</v>
      </c>
      <c r="I11" s="205" t="s">
        <v>2394</v>
      </c>
    </row>
    <row r="12" spans="1:23">
      <c r="A12" s="205" t="s">
        <v>1830</v>
      </c>
      <c r="B12" s="205" t="s">
        <v>2394</v>
      </c>
      <c r="C12" s="205" t="s">
        <v>2395</v>
      </c>
      <c r="D12" s="205">
        <v>768.19999999999993</v>
      </c>
      <c r="E12" s="205" t="s">
        <v>632</v>
      </c>
      <c r="F12" s="205" t="s">
        <v>80</v>
      </c>
      <c r="G12" s="23" t="s">
        <v>80</v>
      </c>
      <c r="H12" s="205" t="s">
        <v>1830</v>
      </c>
      <c r="I12" s="205" t="s">
        <v>2394</v>
      </c>
    </row>
    <row r="13" spans="1:23">
      <c r="A13" s="205" t="s">
        <v>1830</v>
      </c>
      <c r="B13" s="205" t="s">
        <v>2394</v>
      </c>
      <c r="C13" s="205" t="s">
        <v>2395</v>
      </c>
      <c r="D13" s="205">
        <v>768.19999999999993</v>
      </c>
      <c r="E13" s="205" t="s">
        <v>2389</v>
      </c>
      <c r="F13" s="205" t="s">
        <v>80</v>
      </c>
      <c r="G13" s="23" t="s">
        <v>80</v>
      </c>
      <c r="H13" s="205" t="s">
        <v>1830</v>
      </c>
      <c r="I13" s="205" t="s">
        <v>2394</v>
      </c>
    </row>
    <row r="14" spans="1:23">
      <c r="A14" s="205" t="s">
        <v>1830</v>
      </c>
      <c r="B14" s="205" t="s">
        <v>2396</v>
      </c>
      <c r="C14" s="205" t="s">
        <v>2397</v>
      </c>
      <c r="D14" s="205">
        <v>937.24999999999989</v>
      </c>
      <c r="E14" s="205" t="s">
        <v>2385</v>
      </c>
      <c r="F14" s="205" t="s">
        <v>80</v>
      </c>
      <c r="G14" s="23" t="s">
        <v>80</v>
      </c>
      <c r="H14" s="205" t="s">
        <v>1830</v>
      </c>
      <c r="I14" s="205" t="s">
        <v>2396</v>
      </c>
    </row>
    <row r="15" spans="1:23">
      <c r="A15" s="205" t="s">
        <v>1830</v>
      </c>
      <c r="B15" s="205" t="s">
        <v>2396</v>
      </c>
      <c r="C15" s="205" t="s">
        <v>2397</v>
      </c>
      <c r="D15" s="205">
        <v>937</v>
      </c>
      <c r="E15" s="205" t="s">
        <v>632</v>
      </c>
      <c r="F15" s="205" t="s">
        <v>80</v>
      </c>
      <c r="G15" s="23" t="s">
        <v>80</v>
      </c>
      <c r="H15" s="205" t="s">
        <v>1830</v>
      </c>
      <c r="I15" s="205" t="s">
        <v>2396</v>
      </c>
    </row>
    <row r="16" spans="1:23">
      <c r="A16" s="205" t="s">
        <v>1830</v>
      </c>
      <c r="B16" s="205" t="s">
        <v>2396</v>
      </c>
      <c r="C16" s="205" t="s">
        <v>2397</v>
      </c>
      <c r="D16" s="205">
        <v>1440.9499999999998</v>
      </c>
      <c r="E16" s="205" t="s">
        <v>2389</v>
      </c>
      <c r="F16" s="205" t="s">
        <v>80</v>
      </c>
      <c r="G16" s="23" t="s">
        <v>80</v>
      </c>
      <c r="H16" s="205" t="s">
        <v>1830</v>
      </c>
      <c r="I16" s="205" t="s">
        <v>2396</v>
      </c>
    </row>
    <row r="17" spans="1:9">
      <c r="A17" s="205" t="s">
        <v>1830</v>
      </c>
      <c r="B17" s="205" t="s">
        <v>2398</v>
      </c>
      <c r="C17" s="205" t="s">
        <v>2399</v>
      </c>
      <c r="D17" s="205">
        <v>519.79999999999995</v>
      </c>
      <c r="E17" s="205" t="s">
        <v>2385</v>
      </c>
      <c r="F17" s="205" t="s">
        <v>80</v>
      </c>
      <c r="G17" s="23" t="s">
        <v>80</v>
      </c>
      <c r="H17" s="205" t="s">
        <v>1830</v>
      </c>
      <c r="I17" s="205" t="s">
        <v>2398</v>
      </c>
    </row>
    <row r="18" spans="1:9">
      <c r="A18" s="205" t="s">
        <v>1830</v>
      </c>
      <c r="B18" s="205" t="s">
        <v>2398</v>
      </c>
      <c r="C18" s="205" t="s">
        <v>2399</v>
      </c>
      <c r="D18" s="205">
        <v>599.15</v>
      </c>
      <c r="E18" s="205" t="s">
        <v>632</v>
      </c>
      <c r="F18" s="205" t="s">
        <v>80</v>
      </c>
      <c r="G18" s="23" t="s">
        <v>80</v>
      </c>
      <c r="H18" s="205" t="s">
        <v>1830</v>
      </c>
      <c r="I18" s="205" t="s">
        <v>2398</v>
      </c>
    </row>
    <row r="19" spans="1:9">
      <c r="A19" s="205" t="s">
        <v>1830</v>
      </c>
      <c r="B19" s="205" t="s">
        <v>2398</v>
      </c>
      <c r="C19" s="205" t="s">
        <v>2399</v>
      </c>
      <c r="D19" s="205">
        <v>599.15</v>
      </c>
      <c r="E19" s="205" t="s">
        <v>2389</v>
      </c>
      <c r="F19" s="205" t="s">
        <v>80</v>
      </c>
      <c r="G19" s="23" t="s">
        <v>80</v>
      </c>
      <c r="H19" s="205" t="s">
        <v>1830</v>
      </c>
      <c r="I19" s="205" t="s">
        <v>2398</v>
      </c>
    </row>
    <row r="20" spans="1:9">
      <c r="A20" s="205" t="s">
        <v>1830</v>
      </c>
      <c r="B20" s="205" t="s">
        <v>2400</v>
      </c>
      <c r="C20" s="205" t="s">
        <v>2401</v>
      </c>
      <c r="D20" s="205">
        <v>670.44999999999993</v>
      </c>
      <c r="E20" s="205" t="s">
        <v>2385</v>
      </c>
      <c r="F20" s="205" t="s">
        <v>80</v>
      </c>
      <c r="G20" s="23" t="s">
        <v>80</v>
      </c>
      <c r="H20" s="205" t="s">
        <v>1830</v>
      </c>
      <c r="I20" s="205" t="s">
        <v>2400</v>
      </c>
    </row>
    <row r="21" spans="1:9">
      <c r="A21" s="205" t="s">
        <v>1830</v>
      </c>
      <c r="B21" s="205" t="s">
        <v>2400</v>
      </c>
      <c r="C21" s="205" t="s">
        <v>2401</v>
      </c>
      <c r="D21" s="205">
        <v>670</v>
      </c>
      <c r="E21" s="205" t="s">
        <v>632</v>
      </c>
      <c r="F21" s="205" t="s">
        <v>80</v>
      </c>
      <c r="G21" s="23" t="s">
        <v>80</v>
      </c>
      <c r="H21" s="205" t="s">
        <v>1830</v>
      </c>
      <c r="I21" s="205" t="s">
        <v>2400</v>
      </c>
    </row>
    <row r="22" spans="1:9">
      <c r="A22" s="205" t="s">
        <v>1830</v>
      </c>
      <c r="B22" s="205" t="s">
        <v>2400</v>
      </c>
      <c r="C22" s="205" t="s">
        <v>2401</v>
      </c>
      <c r="D22" s="205">
        <v>670</v>
      </c>
      <c r="E22" s="205" t="s">
        <v>2389</v>
      </c>
      <c r="F22" s="205" t="s">
        <v>80</v>
      </c>
      <c r="G22" s="23" t="s">
        <v>80</v>
      </c>
      <c r="H22" s="205" t="s">
        <v>1830</v>
      </c>
      <c r="I22" s="205" t="s">
        <v>2400</v>
      </c>
    </row>
    <row r="23" spans="1:9">
      <c r="A23" s="205" t="s">
        <v>1830</v>
      </c>
      <c r="B23" s="205" t="s">
        <v>2402</v>
      </c>
      <c r="C23" s="205" t="s">
        <v>2403</v>
      </c>
      <c r="D23" s="205">
        <v>106.94999999999999</v>
      </c>
      <c r="E23" s="205" t="s">
        <v>2385</v>
      </c>
      <c r="F23" s="205" t="s">
        <v>80</v>
      </c>
      <c r="G23" s="23" t="s">
        <v>80</v>
      </c>
      <c r="H23" s="205" t="s">
        <v>1830</v>
      </c>
      <c r="I23" s="205" t="s">
        <v>2402</v>
      </c>
    </row>
    <row r="24" spans="1:9">
      <c r="A24" s="205" t="s">
        <v>1830</v>
      </c>
      <c r="B24" s="205" t="s">
        <v>2402</v>
      </c>
      <c r="C24" s="205" t="s">
        <v>2403</v>
      </c>
      <c r="D24" s="205">
        <v>107</v>
      </c>
      <c r="E24" s="205" t="s">
        <v>632</v>
      </c>
      <c r="F24" s="205" t="s">
        <v>80</v>
      </c>
      <c r="G24" s="23" t="s">
        <v>80</v>
      </c>
      <c r="H24" s="205" t="s">
        <v>1830</v>
      </c>
      <c r="I24" s="205" t="s">
        <v>2402</v>
      </c>
    </row>
    <row r="25" spans="1:9">
      <c r="A25" s="205" t="s">
        <v>1830</v>
      </c>
      <c r="B25" s="205" t="s">
        <v>2402</v>
      </c>
      <c r="C25" s="205" t="s">
        <v>2403</v>
      </c>
      <c r="D25" s="205">
        <v>270.25</v>
      </c>
      <c r="E25" s="205" t="s">
        <v>2389</v>
      </c>
      <c r="F25" s="205" t="s">
        <v>80</v>
      </c>
      <c r="G25" s="23" t="s">
        <v>80</v>
      </c>
      <c r="H25" s="205" t="s">
        <v>1830</v>
      </c>
      <c r="I25" s="205" t="s">
        <v>2402</v>
      </c>
    </row>
    <row r="26" spans="1:9">
      <c r="A26" s="205" t="s">
        <v>1608</v>
      </c>
      <c r="B26" s="205" t="s">
        <v>2404</v>
      </c>
      <c r="C26" s="205" t="s">
        <v>2405</v>
      </c>
      <c r="D26" s="205">
        <v>388</v>
      </c>
      <c r="E26" s="205" t="s">
        <v>2385</v>
      </c>
      <c r="F26" s="205" t="s">
        <v>80</v>
      </c>
      <c r="G26" s="23" t="s">
        <v>80</v>
      </c>
      <c r="H26" s="205" t="s">
        <v>1608</v>
      </c>
      <c r="I26" s="205" t="s">
        <v>2404</v>
      </c>
    </row>
    <row r="27" spans="1:9">
      <c r="A27" s="205" t="s">
        <v>1608</v>
      </c>
      <c r="B27" s="205" t="s">
        <v>2404</v>
      </c>
      <c r="C27" s="205" t="s">
        <v>2405</v>
      </c>
      <c r="D27" s="205">
        <v>388</v>
      </c>
      <c r="E27" s="205" t="s">
        <v>632</v>
      </c>
      <c r="F27" s="205" t="s">
        <v>80</v>
      </c>
      <c r="G27" s="23" t="s">
        <v>80</v>
      </c>
      <c r="H27" s="205" t="s">
        <v>1608</v>
      </c>
      <c r="I27" s="205" t="s">
        <v>2404</v>
      </c>
    </row>
    <row r="28" spans="1:9">
      <c r="A28" s="205" t="s">
        <v>1608</v>
      </c>
      <c r="B28" s="205" t="s">
        <v>2404</v>
      </c>
      <c r="C28" s="205" t="s">
        <v>2405</v>
      </c>
      <c r="D28" s="205">
        <v>402</v>
      </c>
      <c r="E28" s="205" t="s">
        <v>2389</v>
      </c>
      <c r="F28" s="205" t="s">
        <v>80</v>
      </c>
      <c r="G28" s="23" t="s">
        <v>80</v>
      </c>
      <c r="H28" s="205" t="s">
        <v>1608</v>
      </c>
      <c r="I28" s="205" t="s">
        <v>2404</v>
      </c>
    </row>
    <row r="29" spans="1:9">
      <c r="A29" s="205" t="s">
        <v>1608</v>
      </c>
      <c r="B29" s="205" t="s">
        <v>2406</v>
      </c>
      <c r="C29" s="205" t="s">
        <v>2407</v>
      </c>
      <c r="D29" s="205">
        <v>51</v>
      </c>
      <c r="E29" s="205" t="s">
        <v>2385</v>
      </c>
      <c r="F29" s="205" t="s">
        <v>80</v>
      </c>
      <c r="G29" s="23" t="s">
        <v>80</v>
      </c>
      <c r="H29" s="205" t="s">
        <v>1608</v>
      </c>
      <c r="I29" s="205" t="s">
        <v>2406</v>
      </c>
    </row>
    <row r="30" spans="1:9">
      <c r="A30" s="205" t="s">
        <v>1608</v>
      </c>
      <c r="B30" s="205" t="s">
        <v>2406</v>
      </c>
      <c r="C30" s="205" t="s">
        <v>2407</v>
      </c>
      <c r="D30" s="205">
        <v>51</v>
      </c>
      <c r="E30" s="205" t="s">
        <v>632</v>
      </c>
      <c r="F30" s="205" t="s">
        <v>80</v>
      </c>
      <c r="G30" s="23" t="s">
        <v>80</v>
      </c>
      <c r="H30" s="205" t="s">
        <v>1608</v>
      </c>
      <c r="I30" s="205" t="s">
        <v>2406</v>
      </c>
    </row>
    <row r="31" spans="1:9">
      <c r="A31" s="205" t="s">
        <v>1608</v>
      </c>
      <c r="B31" s="205" t="s">
        <v>2406</v>
      </c>
      <c r="C31" s="205" t="s">
        <v>2407</v>
      </c>
      <c r="D31" s="205">
        <v>51</v>
      </c>
      <c r="E31" s="205" t="s">
        <v>2389</v>
      </c>
      <c r="F31" s="205" t="s">
        <v>80</v>
      </c>
      <c r="G31" s="23" t="s">
        <v>80</v>
      </c>
      <c r="H31" s="205" t="s">
        <v>1608</v>
      </c>
      <c r="I31" s="205" t="s">
        <v>2406</v>
      </c>
    </row>
    <row r="32" spans="1:9">
      <c r="A32" s="205" t="s">
        <v>1608</v>
      </c>
      <c r="B32" s="205" t="s">
        <v>2408</v>
      </c>
      <c r="C32" s="205" t="s">
        <v>2409</v>
      </c>
      <c r="D32" s="205">
        <v>860</v>
      </c>
      <c r="E32" s="205" t="s">
        <v>2385</v>
      </c>
      <c r="F32" s="205" t="s">
        <v>80</v>
      </c>
      <c r="G32" s="23" t="s">
        <v>80</v>
      </c>
      <c r="H32" s="205" t="s">
        <v>1608</v>
      </c>
      <c r="I32" s="205" t="s">
        <v>2408</v>
      </c>
    </row>
    <row r="33" spans="1:9">
      <c r="A33" s="205" t="s">
        <v>1608</v>
      </c>
      <c r="B33" s="205" t="s">
        <v>2408</v>
      </c>
      <c r="C33" s="205" t="s">
        <v>2409</v>
      </c>
      <c r="D33" s="205">
        <v>860</v>
      </c>
      <c r="E33" s="205" t="s">
        <v>632</v>
      </c>
      <c r="F33" s="205" t="s">
        <v>80</v>
      </c>
      <c r="G33" s="23" t="s">
        <v>80</v>
      </c>
      <c r="H33" s="205" t="s">
        <v>1608</v>
      </c>
      <c r="I33" s="205" t="s">
        <v>2408</v>
      </c>
    </row>
    <row r="34" spans="1:9">
      <c r="A34" s="205" t="s">
        <v>1608</v>
      </c>
      <c r="B34" s="205" t="s">
        <v>2408</v>
      </c>
      <c r="C34" s="205" t="s">
        <v>2409</v>
      </c>
      <c r="D34" s="205">
        <v>860</v>
      </c>
      <c r="E34" s="205" t="s">
        <v>2389</v>
      </c>
      <c r="F34" s="205" t="s">
        <v>80</v>
      </c>
      <c r="G34" s="23" t="s">
        <v>80</v>
      </c>
      <c r="H34" s="205" t="s">
        <v>1608</v>
      </c>
      <c r="I34" s="205" t="s">
        <v>2408</v>
      </c>
    </row>
    <row r="35" spans="1:9">
      <c r="A35" s="205" t="s">
        <v>1608</v>
      </c>
      <c r="B35" s="205" t="s">
        <v>2410</v>
      </c>
      <c r="C35" s="205" t="s">
        <v>2411</v>
      </c>
      <c r="D35" s="205">
        <v>345</v>
      </c>
      <c r="E35" s="205" t="s">
        <v>2385</v>
      </c>
      <c r="F35" s="205" t="s">
        <v>80</v>
      </c>
      <c r="G35" s="23" t="s">
        <v>80</v>
      </c>
      <c r="H35" s="205" t="s">
        <v>1608</v>
      </c>
      <c r="I35" s="205" t="s">
        <v>2410</v>
      </c>
    </row>
    <row r="36" spans="1:9">
      <c r="A36" s="205" t="s">
        <v>1608</v>
      </c>
      <c r="B36" s="205" t="s">
        <v>2410</v>
      </c>
      <c r="C36" s="205" t="s">
        <v>2411</v>
      </c>
      <c r="D36" s="205">
        <v>345</v>
      </c>
      <c r="E36" s="205" t="s">
        <v>632</v>
      </c>
      <c r="F36" s="205" t="s">
        <v>80</v>
      </c>
      <c r="G36" s="23" t="s">
        <v>80</v>
      </c>
      <c r="H36" s="205" t="s">
        <v>1608</v>
      </c>
      <c r="I36" s="205" t="s">
        <v>2410</v>
      </c>
    </row>
    <row r="37" spans="1:9">
      <c r="A37" s="205" t="s">
        <v>1608</v>
      </c>
      <c r="B37" s="205" t="s">
        <v>2410</v>
      </c>
      <c r="C37" s="205" t="s">
        <v>2411</v>
      </c>
      <c r="D37" s="205">
        <v>345</v>
      </c>
      <c r="E37" s="205" t="s">
        <v>2389</v>
      </c>
      <c r="F37" s="205" t="s">
        <v>80</v>
      </c>
      <c r="G37" s="23" t="s">
        <v>80</v>
      </c>
      <c r="H37" s="205" t="s">
        <v>1608</v>
      </c>
      <c r="I37" s="205" t="s">
        <v>2410</v>
      </c>
    </row>
    <row r="38" spans="1:9">
      <c r="A38" s="205" t="s">
        <v>1608</v>
      </c>
      <c r="B38" s="205" t="s">
        <v>2412</v>
      </c>
      <c r="C38" s="205" t="s">
        <v>2413</v>
      </c>
      <c r="D38" s="205">
        <v>800</v>
      </c>
      <c r="E38" s="205" t="s">
        <v>2385</v>
      </c>
      <c r="F38" s="205" t="s">
        <v>80</v>
      </c>
      <c r="G38" s="23" t="s">
        <v>80</v>
      </c>
      <c r="H38" s="205" t="s">
        <v>1608</v>
      </c>
      <c r="I38" s="205" t="s">
        <v>2412</v>
      </c>
    </row>
    <row r="39" spans="1:9">
      <c r="A39" s="205" t="s">
        <v>1608</v>
      </c>
      <c r="B39" s="205" t="s">
        <v>2412</v>
      </c>
      <c r="C39" s="205" t="s">
        <v>2413</v>
      </c>
      <c r="D39" s="205">
        <v>800</v>
      </c>
      <c r="E39" s="205" t="s">
        <v>632</v>
      </c>
      <c r="F39" s="205" t="s">
        <v>80</v>
      </c>
      <c r="G39" s="23" t="s">
        <v>80</v>
      </c>
      <c r="H39" s="205" t="s">
        <v>1608</v>
      </c>
      <c r="I39" s="205" t="s">
        <v>2412</v>
      </c>
    </row>
    <row r="40" spans="1:9">
      <c r="A40" s="205" t="s">
        <v>1608</v>
      </c>
      <c r="B40" s="205" t="s">
        <v>2412</v>
      </c>
      <c r="C40" s="205" t="s">
        <v>2413</v>
      </c>
      <c r="D40" s="205">
        <v>800</v>
      </c>
      <c r="E40" s="205" t="s">
        <v>2389</v>
      </c>
      <c r="F40" s="205" t="s">
        <v>80</v>
      </c>
      <c r="G40" s="23" t="s">
        <v>80</v>
      </c>
      <c r="H40" s="205" t="s">
        <v>1608</v>
      </c>
      <c r="I40" s="205" t="s">
        <v>2412</v>
      </c>
    </row>
    <row r="41" spans="1:9">
      <c r="A41" s="205" t="s">
        <v>1608</v>
      </c>
      <c r="B41" s="205" t="s">
        <v>2414</v>
      </c>
      <c r="C41" s="205" t="s">
        <v>2415</v>
      </c>
      <c r="D41" s="205">
        <v>575</v>
      </c>
      <c r="E41" s="205" t="s">
        <v>2385</v>
      </c>
      <c r="F41" s="205" t="s">
        <v>80</v>
      </c>
      <c r="G41" s="23" t="s">
        <v>80</v>
      </c>
      <c r="H41" s="205" t="s">
        <v>1608</v>
      </c>
      <c r="I41" s="205" t="s">
        <v>2414</v>
      </c>
    </row>
    <row r="42" spans="1:9">
      <c r="A42" s="205" t="s">
        <v>1608</v>
      </c>
      <c r="B42" s="205" t="s">
        <v>2414</v>
      </c>
      <c r="C42" s="205" t="s">
        <v>2415</v>
      </c>
      <c r="D42" s="205">
        <v>575</v>
      </c>
      <c r="E42" s="205" t="s">
        <v>632</v>
      </c>
      <c r="F42" s="205" t="s">
        <v>80</v>
      </c>
      <c r="G42" s="23" t="s">
        <v>80</v>
      </c>
      <c r="H42" s="205" t="s">
        <v>1608</v>
      </c>
      <c r="I42" s="205" t="s">
        <v>2414</v>
      </c>
    </row>
    <row r="43" spans="1:9">
      <c r="A43" s="205" t="s">
        <v>1608</v>
      </c>
      <c r="B43" s="205" t="s">
        <v>2414</v>
      </c>
      <c r="C43" s="205" t="s">
        <v>2415</v>
      </c>
      <c r="D43" s="205">
        <v>575</v>
      </c>
      <c r="E43" s="205" t="s">
        <v>2389</v>
      </c>
      <c r="F43" s="205" t="s">
        <v>80</v>
      </c>
      <c r="G43" s="23" t="s">
        <v>80</v>
      </c>
      <c r="H43" s="205" t="s">
        <v>1608</v>
      </c>
      <c r="I43" s="205" t="s">
        <v>2414</v>
      </c>
    </row>
    <row r="44" spans="1:9">
      <c r="A44" s="205" t="s">
        <v>1608</v>
      </c>
      <c r="B44" s="205" t="s">
        <v>2416</v>
      </c>
      <c r="C44" s="205" t="s">
        <v>2417</v>
      </c>
      <c r="D44" s="205">
        <v>431</v>
      </c>
      <c r="E44" s="205" t="s">
        <v>2385</v>
      </c>
      <c r="F44" s="205" t="s">
        <v>80</v>
      </c>
      <c r="G44" s="23" t="s">
        <v>80</v>
      </c>
      <c r="H44" s="205" t="s">
        <v>1608</v>
      </c>
      <c r="I44" s="205" t="s">
        <v>2416</v>
      </c>
    </row>
    <row r="45" spans="1:9">
      <c r="A45" s="205" t="s">
        <v>1608</v>
      </c>
      <c r="B45" s="205" t="s">
        <v>2416</v>
      </c>
      <c r="C45" s="205" t="s">
        <v>2417</v>
      </c>
      <c r="D45" s="205">
        <v>431</v>
      </c>
      <c r="E45" s="205" t="s">
        <v>632</v>
      </c>
      <c r="F45" s="205" t="s">
        <v>80</v>
      </c>
      <c r="G45" s="23" t="s">
        <v>80</v>
      </c>
      <c r="H45" s="205" t="s">
        <v>1608</v>
      </c>
      <c r="I45" s="205" t="s">
        <v>2416</v>
      </c>
    </row>
    <row r="46" spans="1:9">
      <c r="A46" s="205" t="s">
        <v>1608</v>
      </c>
      <c r="B46" s="205" t="s">
        <v>2416</v>
      </c>
      <c r="C46" s="205" t="s">
        <v>2417</v>
      </c>
      <c r="D46" s="205">
        <v>431</v>
      </c>
      <c r="E46" s="205" t="s">
        <v>2389</v>
      </c>
      <c r="F46" s="205" t="s">
        <v>80</v>
      </c>
      <c r="G46" s="23" t="s">
        <v>80</v>
      </c>
      <c r="H46" s="205" t="s">
        <v>1608</v>
      </c>
      <c r="I46" s="205" t="s">
        <v>2416</v>
      </c>
    </row>
    <row r="47" spans="1:9">
      <c r="A47" s="205" t="s">
        <v>1608</v>
      </c>
      <c r="B47" s="205" t="s">
        <v>2418</v>
      </c>
      <c r="C47" s="205" t="s">
        <v>2419</v>
      </c>
      <c r="D47" s="205">
        <v>1236.25</v>
      </c>
      <c r="E47" s="205" t="s">
        <v>2385</v>
      </c>
      <c r="F47" s="205" t="s">
        <v>80</v>
      </c>
      <c r="G47" s="23" t="s">
        <v>80</v>
      </c>
      <c r="H47" s="205" t="s">
        <v>1608</v>
      </c>
      <c r="I47" s="205" t="s">
        <v>2418</v>
      </c>
    </row>
    <row r="48" spans="1:9">
      <c r="A48" s="205" t="s">
        <v>1608</v>
      </c>
      <c r="B48" s="205" t="s">
        <v>2418</v>
      </c>
      <c r="C48" s="205" t="s">
        <v>2419</v>
      </c>
      <c r="D48" s="205">
        <v>1236</v>
      </c>
      <c r="E48" s="205" t="s">
        <v>632</v>
      </c>
      <c r="F48" s="205" t="s">
        <v>80</v>
      </c>
      <c r="G48" s="23" t="s">
        <v>80</v>
      </c>
      <c r="H48" s="205" t="s">
        <v>1608</v>
      </c>
      <c r="I48" s="205" t="s">
        <v>2418</v>
      </c>
    </row>
    <row r="49" spans="1:9">
      <c r="A49" s="205" t="s">
        <v>1608</v>
      </c>
      <c r="B49" s="205" t="s">
        <v>2418</v>
      </c>
      <c r="C49" s="205" t="s">
        <v>2419</v>
      </c>
      <c r="D49" s="205">
        <v>1435.1999999999998</v>
      </c>
      <c r="E49" s="205" t="s">
        <v>2389</v>
      </c>
      <c r="F49" s="205" t="s">
        <v>80</v>
      </c>
      <c r="G49" s="23" t="s">
        <v>80</v>
      </c>
      <c r="H49" s="205" t="s">
        <v>1608</v>
      </c>
      <c r="I49" s="205" t="s">
        <v>2418</v>
      </c>
    </row>
    <row r="50" spans="1:9">
      <c r="A50" s="205" t="s">
        <v>1608</v>
      </c>
      <c r="B50" s="205" t="s">
        <v>2420</v>
      </c>
      <c r="C50" s="205" t="s">
        <v>2421</v>
      </c>
      <c r="D50" s="205">
        <v>875</v>
      </c>
      <c r="E50" s="205" t="s">
        <v>2385</v>
      </c>
      <c r="F50" s="205" t="s">
        <v>80</v>
      </c>
      <c r="G50" s="23" t="s">
        <v>80</v>
      </c>
      <c r="H50" s="205" t="s">
        <v>1608</v>
      </c>
      <c r="I50" s="205" t="s">
        <v>2420</v>
      </c>
    </row>
    <row r="51" spans="1:9">
      <c r="A51" s="205" t="s">
        <v>1608</v>
      </c>
      <c r="B51" s="205" t="s">
        <v>2420</v>
      </c>
      <c r="C51" s="205" t="s">
        <v>2421</v>
      </c>
      <c r="D51" s="205">
        <v>875</v>
      </c>
      <c r="E51" s="205" t="s">
        <v>632</v>
      </c>
      <c r="F51" s="205" t="s">
        <v>80</v>
      </c>
      <c r="G51" s="23" t="s">
        <v>80</v>
      </c>
      <c r="H51" s="205" t="s">
        <v>1608</v>
      </c>
      <c r="I51" s="205" t="s">
        <v>2420</v>
      </c>
    </row>
    <row r="52" spans="1:9">
      <c r="A52" s="205" t="s">
        <v>1608</v>
      </c>
      <c r="B52" s="205" t="s">
        <v>2420</v>
      </c>
      <c r="C52" s="205" t="s">
        <v>2421</v>
      </c>
      <c r="D52" s="205">
        <v>1435.1999999999998</v>
      </c>
      <c r="E52" s="205" t="s">
        <v>2389</v>
      </c>
      <c r="F52" s="205" t="s">
        <v>80</v>
      </c>
      <c r="G52" s="23" t="s">
        <v>80</v>
      </c>
      <c r="H52" s="205" t="s">
        <v>1608</v>
      </c>
      <c r="I52" s="205" t="s">
        <v>2420</v>
      </c>
    </row>
    <row r="53" spans="1:9">
      <c r="A53" s="205" t="s">
        <v>1608</v>
      </c>
      <c r="B53" s="205" t="s">
        <v>2422</v>
      </c>
      <c r="C53" s="205" t="s">
        <v>2423</v>
      </c>
      <c r="D53" s="205">
        <v>1150</v>
      </c>
      <c r="E53" s="205" t="s">
        <v>2385</v>
      </c>
      <c r="F53" s="205" t="s">
        <v>80</v>
      </c>
      <c r="G53" s="23" t="s">
        <v>80</v>
      </c>
      <c r="H53" s="205" t="s">
        <v>1608</v>
      </c>
      <c r="I53" s="205" t="s">
        <v>2422</v>
      </c>
    </row>
    <row r="54" spans="1:9">
      <c r="A54" s="205" t="s">
        <v>1608</v>
      </c>
      <c r="B54" s="205" t="s">
        <v>2422</v>
      </c>
      <c r="C54" s="205" t="s">
        <v>2423</v>
      </c>
      <c r="D54" s="205">
        <v>1150</v>
      </c>
      <c r="E54" s="205" t="s">
        <v>632</v>
      </c>
      <c r="F54" s="205" t="s">
        <v>80</v>
      </c>
      <c r="G54" s="23" t="s">
        <v>80</v>
      </c>
      <c r="H54" s="205" t="s">
        <v>1608</v>
      </c>
      <c r="I54" s="205" t="s">
        <v>2422</v>
      </c>
    </row>
    <row r="55" spans="1:9">
      <c r="A55" s="205" t="s">
        <v>1608</v>
      </c>
      <c r="B55" s="205" t="s">
        <v>2422</v>
      </c>
      <c r="C55" s="205" t="s">
        <v>2423</v>
      </c>
      <c r="D55" s="205">
        <v>1150</v>
      </c>
      <c r="E55" s="205" t="s">
        <v>2389</v>
      </c>
      <c r="F55" s="205" t="s">
        <v>80</v>
      </c>
      <c r="G55" s="23" t="s">
        <v>80</v>
      </c>
      <c r="H55" s="205" t="s">
        <v>1608</v>
      </c>
      <c r="I55" s="205" t="s">
        <v>2422</v>
      </c>
    </row>
    <row r="56" spans="1:9">
      <c r="A56" s="205" t="s">
        <v>1608</v>
      </c>
      <c r="B56" s="205" t="s">
        <v>2424</v>
      </c>
      <c r="C56" s="205" t="s">
        <v>2425</v>
      </c>
      <c r="D56" s="205">
        <v>805</v>
      </c>
      <c r="E56" s="205" t="s">
        <v>2385</v>
      </c>
      <c r="F56" s="205" t="s">
        <v>80</v>
      </c>
      <c r="G56" s="23" t="s">
        <v>80</v>
      </c>
      <c r="H56" s="205" t="s">
        <v>1608</v>
      </c>
      <c r="I56" s="205" t="s">
        <v>2424</v>
      </c>
    </row>
    <row r="57" spans="1:9">
      <c r="A57" s="205" t="s">
        <v>1608</v>
      </c>
      <c r="B57" s="205" t="s">
        <v>2424</v>
      </c>
      <c r="C57" s="205" t="s">
        <v>2425</v>
      </c>
      <c r="D57" s="205">
        <v>805</v>
      </c>
      <c r="E57" s="205" t="s">
        <v>632</v>
      </c>
      <c r="F57" s="205" t="s">
        <v>80</v>
      </c>
      <c r="G57" s="23" t="s">
        <v>80</v>
      </c>
      <c r="H57" s="205" t="s">
        <v>1608</v>
      </c>
      <c r="I57" s="205" t="s">
        <v>2424</v>
      </c>
    </row>
    <row r="58" spans="1:9">
      <c r="A58" s="205" t="s">
        <v>1608</v>
      </c>
      <c r="B58" s="205" t="s">
        <v>2424</v>
      </c>
      <c r="C58" s="205" t="s">
        <v>2425</v>
      </c>
      <c r="D58" s="205">
        <v>805</v>
      </c>
      <c r="E58" s="205" t="s">
        <v>2389</v>
      </c>
      <c r="F58" s="205" t="s">
        <v>80</v>
      </c>
      <c r="G58" s="23" t="s">
        <v>80</v>
      </c>
      <c r="H58" s="205" t="s">
        <v>1608</v>
      </c>
      <c r="I58" s="205" t="s">
        <v>2424</v>
      </c>
    </row>
    <row r="59" spans="1:9">
      <c r="A59" s="205" t="s">
        <v>1608</v>
      </c>
      <c r="B59" s="205" t="s">
        <v>2426</v>
      </c>
      <c r="C59" s="205" t="s">
        <v>2427</v>
      </c>
      <c r="D59" s="205">
        <v>1300</v>
      </c>
      <c r="E59" s="205" t="s">
        <v>2385</v>
      </c>
      <c r="F59" s="205" t="s">
        <v>80</v>
      </c>
      <c r="G59" s="23" t="s">
        <v>80</v>
      </c>
      <c r="H59" s="205" t="s">
        <v>1608</v>
      </c>
      <c r="I59" s="205" t="s">
        <v>2426</v>
      </c>
    </row>
    <row r="60" spans="1:9">
      <c r="A60" s="205" t="s">
        <v>1608</v>
      </c>
      <c r="B60" s="205" t="s">
        <v>2426</v>
      </c>
      <c r="C60" s="205" t="s">
        <v>2427</v>
      </c>
      <c r="D60" s="205">
        <v>1300</v>
      </c>
      <c r="E60" s="205" t="s">
        <v>632</v>
      </c>
      <c r="F60" s="205" t="s">
        <v>80</v>
      </c>
      <c r="G60" s="23" t="s">
        <v>80</v>
      </c>
      <c r="H60" s="205" t="s">
        <v>1608</v>
      </c>
      <c r="I60" s="205" t="s">
        <v>2426</v>
      </c>
    </row>
    <row r="61" spans="1:9">
      <c r="A61" s="205" t="s">
        <v>1608</v>
      </c>
      <c r="B61" s="205" t="s">
        <v>2426</v>
      </c>
      <c r="C61" s="205" t="s">
        <v>2427</v>
      </c>
      <c r="D61" s="205">
        <v>1610</v>
      </c>
      <c r="E61" s="205" t="s">
        <v>2389</v>
      </c>
      <c r="F61" s="205" t="s">
        <v>80</v>
      </c>
      <c r="G61" s="23" t="s">
        <v>80</v>
      </c>
      <c r="H61" s="205" t="s">
        <v>1608</v>
      </c>
      <c r="I61" s="205" t="s">
        <v>2426</v>
      </c>
    </row>
    <row r="62" spans="1:9">
      <c r="A62" s="205" t="s">
        <v>1608</v>
      </c>
      <c r="B62" s="205" t="s">
        <v>2428</v>
      </c>
      <c r="C62" s="205" t="s">
        <v>2429</v>
      </c>
      <c r="D62" s="205">
        <v>1035</v>
      </c>
      <c r="E62" s="205" t="s">
        <v>2385</v>
      </c>
      <c r="F62" s="205" t="s">
        <v>80</v>
      </c>
      <c r="G62" s="23" t="s">
        <v>80</v>
      </c>
      <c r="H62" s="205" t="s">
        <v>1608</v>
      </c>
      <c r="I62" s="205" t="s">
        <v>2428</v>
      </c>
    </row>
    <row r="63" spans="1:9">
      <c r="A63" s="205" t="s">
        <v>1608</v>
      </c>
      <c r="B63" s="205" t="s">
        <v>2428</v>
      </c>
      <c r="C63" s="205" t="s">
        <v>2429</v>
      </c>
      <c r="D63" s="205">
        <v>1035</v>
      </c>
      <c r="E63" s="205" t="s">
        <v>632</v>
      </c>
      <c r="F63" s="205" t="s">
        <v>80</v>
      </c>
      <c r="G63" s="23" t="s">
        <v>80</v>
      </c>
      <c r="H63" s="205" t="s">
        <v>1608</v>
      </c>
      <c r="I63" s="205" t="s">
        <v>2428</v>
      </c>
    </row>
    <row r="64" spans="1:9">
      <c r="A64" s="205" t="s">
        <v>1608</v>
      </c>
      <c r="B64" s="205" t="s">
        <v>2428</v>
      </c>
      <c r="C64" s="205" t="s">
        <v>2429</v>
      </c>
      <c r="D64" s="205">
        <v>1220</v>
      </c>
      <c r="E64" s="205" t="s">
        <v>2389</v>
      </c>
      <c r="F64" s="205" t="s">
        <v>80</v>
      </c>
      <c r="G64" s="23" t="s">
        <v>80</v>
      </c>
      <c r="H64" s="205" t="s">
        <v>1608</v>
      </c>
      <c r="I64" s="205" t="s">
        <v>2428</v>
      </c>
    </row>
    <row r="65" spans="1:9">
      <c r="A65" s="205" t="s">
        <v>1608</v>
      </c>
      <c r="B65" s="205" t="s">
        <v>2430</v>
      </c>
      <c r="C65" s="205" t="s">
        <v>2431</v>
      </c>
      <c r="D65" s="205">
        <v>1271</v>
      </c>
      <c r="E65" s="205" t="s">
        <v>2385</v>
      </c>
      <c r="F65" s="205" t="s">
        <v>80</v>
      </c>
      <c r="G65" s="23" t="s">
        <v>80</v>
      </c>
      <c r="H65" s="205" t="s">
        <v>1608</v>
      </c>
      <c r="I65" s="205" t="s">
        <v>2430</v>
      </c>
    </row>
    <row r="66" spans="1:9">
      <c r="A66" s="205" t="s">
        <v>1608</v>
      </c>
      <c r="B66" s="205" t="s">
        <v>2430</v>
      </c>
      <c r="C66" s="205" t="s">
        <v>2431</v>
      </c>
      <c r="D66" s="205">
        <v>1271</v>
      </c>
      <c r="E66" s="205" t="s">
        <v>632</v>
      </c>
      <c r="F66" s="205" t="s">
        <v>80</v>
      </c>
      <c r="G66" s="23" t="s">
        <v>80</v>
      </c>
      <c r="H66" s="205" t="s">
        <v>1608</v>
      </c>
      <c r="I66" s="205" t="s">
        <v>2430</v>
      </c>
    </row>
    <row r="67" spans="1:9">
      <c r="A67" s="205" t="s">
        <v>1608</v>
      </c>
      <c r="B67" s="205" t="s">
        <v>2430</v>
      </c>
      <c r="C67" s="205" t="s">
        <v>2431</v>
      </c>
      <c r="D67" s="205">
        <v>1271</v>
      </c>
      <c r="E67" s="205" t="s">
        <v>2389</v>
      </c>
      <c r="F67" s="205" t="s">
        <v>80</v>
      </c>
      <c r="G67" s="23" t="s">
        <v>80</v>
      </c>
      <c r="H67" s="205" t="s">
        <v>1608</v>
      </c>
      <c r="I67" s="205" t="s">
        <v>2430</v>
      </c>
    </row>
    <row r="68" spans="1:9">
      <c r="A68" s="205" t="s">
        <v>1608</v>
      </c>
      <c r="B68" s="205" t="s">
        <v>2432</v>
      </c>
      <c r="C68" s="205" t="s">
        <v>2433</v>
      </c>
      <c r="D68" s="205">
        <v>1033</v>
      </c>
      <c r="E68" s="205" t="s">
        <v>2385</v>
      </c>
      <c r="F68" s="205" t="s">
        <v>80</v>
      </c>
      <c r="G68" s="23" t="s">
        <v>80</v>
      </c>
      <c r="H68" s="205" t="s">
        <v>1608</v>
      </c>
      <c r="I68" s="205" t="s">
        <v>2432</v>
      </c>
    </row>
    <row r="69" spans="1:9">
      <c r="A69" s="205" t="s">
        <v>1608</v>
      </c>
      <c r="B69" s="205" t="s">
        <v>2432</v>
      </c>
      <c r="C69" s="205" t="s">
        <v>2433</v>
      </c>
      <c r="D69" s="205">
        <v>1033</v>
      </c>
      <c r="E69" s="205" t="s">
        <v>632</v>
      </c>
      <c r="F69" s="205" t="s">
        <v>80</v>
      </c>
      <c r="G69" s="23" t="s">
        <v>80</v>
      </c>
      <c r="H69" s="205" t="s">
        <v>1608</v>
      </c>
      <c r="I69" s="205" t="s">
        <v>2432</v>
      </c>
    </row>
    <row r="70" spans="1:9">
      <c r="A70" s="205" t="s">
        <v>1608</v>
      </c>
      <c r="B70" s="205" t="s">
        <v>2432</v>
      </c>
      <c r="C70" s="205" t="s">
        <v>2433</v>
      </c>
      <c r="D70" s="205">
        <v>1033</v>
      </c>
      <c r="E70" s="205" t="s">
        <v>2389</v>
      </c>
      <c r="F70" s="205" t="s">
        <v>80</v>
      </c>
      <c r="G70" s="23" t="s">
        <v>80</v>
      </c>
      <c r="H70" s="205" t="s">
        <v>1608</v>
      </c>
      <c r="I70" s="205" t="s">
        <v>2432</v>
      </c>
    </row>
    <row r="71" spans="1:9">
      <c r="A71" s="205" t="s">
        <v>1608</v>
      </c>
      <c r="B71" s="205" t="s">
        <v>2434</v>
      </c>
      <c r="C71" s="205" t="s">
        <v>2435</v>
      </c>
      <c r="D71" s="205">
        <v>2875</v>
      </c>
      <c r="E71" s="205" t="s">
        <v>2385</v>
      </c>
      <c r="F71" s="205" t="s">
        <v>80</v>
      </c>
      <c r="G71" s="23" t="s">
        <v>80</v>
      </c>
      <c r="H71" s="205" t="s">
        <v>1608</v>
      </c>
      <c r="I71" s="205" t="s">
        <v>2434</v>
      </c>
    </row>
    <row r="72" spans="1:9">
      <c r="A72" s="205" t="s">
        <v>1608</v>
      </c>
      <c r="B72" s="205" t="s">
        <v>2434</v>
      </c>
      <c r="C72" s="205" t="s">
        <v>2435</v>
      </c>
      <c r="D72" s="205">
        <v>2875</v>
      </c>
      <c r="E72" s="205" t="s">
        <v>632</v>
      </c>
      <c r="F72" s="205" t="s">
        <v>80</v>
      </c>
      <c r="G72" s="23" t="s">
        <v>80</v>
      </c>
      <c r="H72" s="205" t="s">
        <v>1608</v>
      </c>
      <c r="I72" s="205" t="s">
        <v>2434</v>
      </c>
    </row>
    <row r="73" spans="1:9">
      <c r="A73" s="205" t="s">
        <v>1608</v>
      </c>
      <c r="B73" s="205" t="s">
        <v>2434</v>
      </c>
      <c r="C73" s="205" t="s">
        <v>2435</v>
      </c>
      <c r="D73" s="205">
        <v>2875</v>
      </c>
      <c r="E73" s="205" t="s">
        <v>2389</v>
      </c>
      <c r="F73" s="205" t="s">
        <v>80</v>
      </c>
      <c r="G73" s="23" t="s">
        <v>80</v>
      </c>
      <c r="H73" s="205" t="s">
        <v>1608</v>
      </c>
      <c r="I73" s="205" t="s">
        <v>2434</v>
      </c>
    </row>
    <row r="74" spans="1:9">
      <c r="A74" s="205" t="s">
        <v>1608</v>
      </c>
      <c r="B74" s="205" t="s">
        <v>2436</v>
      </c>
      <c r="C74" s="205" t="s">
        <v>2427</v>
      </c>
      <c r="D74" s="205">
        <v>920</v>
      </c>
      <c r="E74" s="205" t="s">
        <v>2385</v>
      </c>
      <c r="F74" s="205" t="s">
        <v>80</v>
      </c>
      <c r="G74" s="23" t="s">
        <v>80</v>
      </c>
      <c r="H74" s="205" t="s">
        <v>1608</v>
      </c>
      <c r="I74" s="205" t="s">
        <v>2436</v>
      </c>
    </row>
    <row r="75" spans="1:9">
      <c r="A75" s="205" t="s">
        <v>1608</v>
      </c>
      <c r="B75" s="205" t="s">
        <v>2436</v>
      </c>
      <c r="C75" s="205" t="s">
        <v>2427</v>
      </c>
      <c r="D75" s="205">
        <v>920</v>
      </c>
      <c r="E75" s="205" t="s">
        <v>632</v>
      </c>
      <c r="F75" s="205" t="s">
        <v>80</v>
      </c>
      <c r="G75" s="23" t="s">
        <v>80</v>
      </c>
      <c r="H75" s="205" t="s">
        <v>1608</v>
      </c>
      <c r="I75" s="205" t="s">
        <v>2436</v>
      </c>
    </row>
    <row r="76" spans="1:9">
      <c r="A76" s="205" t="s">
        <v>1608</v>
      </c>
      <c r="B76" s="205" t="s">
        <v>2436</v>
      </c>
      <c r="C76" s="205" t="s">
        <v>2427</v>
      </c>
      <c r="D76" s="205">
        <v>920</v>
      </c>
      <c r="E76" s="205" t="s">
        <v>2389</v>
      </c>
      <c r="F76" s="205" t="s">
        <v>80</v>
      </c>
      <c r="G76" s="23" t="s">
        <v>80</v>
      </c>
      <c r="H76" s="205" t="s">
        <v>1608</v>
      </c>
      <c r="I76" s="205" t="s">
        <v>2436</v>
      </c>
    </row>
    <row r="77" spans="1:9">
      <c r="A77" s="205" t="s">
        <v>1408</v>
      </c>
      <c r="B77" s="205" t="s">
        <v>2437</v>
      </c>
      <c r="C77" s="205" t="s">
        <v>2438</v>
      </c>
      <c r="D77" s="205">
        <v>1340.8999999999999</v>
      </c>
      <c r="E77" s="205" t="s">
        <v>2385</v>
      </c>
      <c r="F77" s="205" t="s">
        <v>80</v>
      </c>
      <c r="G77" s="23" t="s">
        <v>80</v>
      </c>
      <c r="H77" s="205" t="s">
        <v>1408</v>
      </c>
      <c r="I77" s="205" t="s">
        <v>2437</v>
      </c>
    </row>
    <row r="78" spans="1:9">
      <c r="A78" s="205" t="s">
        <v>1408</v>
      </c>
      <c r="B78" s="205" t="s">
        <v>2437</v>
      </c>
      <c r="C78" s="205" t="s">
        <v>2438</v>
      </c>
      <c r="D78" s="205">
        <v>1340.8999999999999</v>
      </c>
      <c r="E78" s="205" t="s">
        <v>2389</v>
      </c>
      <c r="F78" s="205" t="s">
        <v>80</v>
      </c>
      <c r="G78" s="23" t="s">
        <v>80</v>
      </c>
      <c r="H78" s="205" t="s">
        <v>1408</v>
      </c>
      <c r="I78" s="205" t="s">
        <v>2437</v>
      </c>
    </row>
    <row r="79" spans="1:9">
      <c r="A79" s="205" t="s">
        <v>1408</v>
      </c>
      <c r="B79" s="205" t="s">
        <v>2439</v>
      </c>
      <c r="C79" s="205" t="s">
        <v>2440</v>
      </c>
      <c r="D79" s="205">
        <v>1323.6499999999999</v>
      </c>
      <c r="E79" s="205" t="s">
        <v>2385</v>
      </c>
      <c r="F79" s="205" t="s">
        <v>80</v>
      </c>
      <c r="G79" s="23" t="s">
        <v>80</v>
      </c>
      <c r="H79" s="205" t="s">
        <v>1408</v>
      </c>
      <c r="I79" s="205" t="s">
        <v>2439</v>
      </c>
    </row>
    <row r="80" spans="1:9">
      <c r="A80" s="205" t="s">
        <v>1408</v>
      </c>
      <c r="B80" s="205" t="s">
        <v>2439</v>
      </c>
      <c r="C80" s="205" t="s">
        <v>2440</v>
      </c>
      <c r="D80" s="205">
        <v>1339.75</v>
      </c>
      <c r="E80" s="205" t="s">
        <v>2389</v>
      </c>
      <c r="F80" s="205" t="s">
        <v>80</v>
      </c>
      <c r="G80" s="23" t="s">
        <v>80</v>
      </c>
      <c r="H80" s="205" t="s">
        <v>1408</v>
      </c>
      <c r="I80" s="205" t="s">
        <v>2439</v>
      </c>
    </row>
    <row r="81" spans="1:9">
      <c r="A81" s="205" t="s">
        <v>1408</v>
      </c>
      <c r="B81" s="205" t="s">
        <v>2441</v>
      </c>
      <c r="C81" s="205" t="s">
        <v>2440</v>
      </c>
      <c r="D81" s="205">
        <v>1638.7499999999998</v>
      </c>
      <c r="E81" s="205" t="s">
        <v>2385</v>
      </c>
      <c r="F81" s="205" t="s">
        <v>80</v>
      </c>
      <c r="G81" s="23" t="s">
        <v>80</v>
      </c>
      <c r="H81" s="205" t="s">
        <v>1408</v>
      </c>
      <c r="I81" s="205" t="s">
        <v>2441</v>
      </c>
    </row>
    <row r="82" spans="1:9">
      <c r="A82" s="205" t="s">
        <v>1408</v>
      </c>
      <c r="B82" s="205" t="s">
        <v>2441</v>
      </c>
      <c r="C82" s="205" t="s">
        <v>2440</v>
      </c>
      <c r="D82" s="205">
        <v>1843.4499999999998</v>
      </c>
      <c r="E82" s="205" t="s">
        <v>2389</v>
      </c>
      <c r="F82" s="205" t="s">
        <v>80</v>
      </c>
      <c r="G82" s="23" t="s">
        <v>80</v>
      </c>
      <c r="H82" s="205" t="s">
        <v>1408</v>
      </c>
      <c r="I82" s="205" t="s">
        <v>2441</v>
      </c>
    </row>
    <row r="83" spans="1:9">
      <c r="A83" s="205" t="s">
        <v>1408</v>
      </c>
      <c r="B83" s="205" t="s">
        <v>2442</v>
      </c>
      <c r="C83" s="205" t="s">
        <v>2443</v>
      </c>
      <c r="D83" s="205">
        <v>1189</v>
      </c>
      <c r="E83" s="205" t="s">
        <v>2385</v>
      </c>
      <c r="F83" s="205" t="s">
        <v>80</v>
      </c>
      <c r="G83" s="23" t="s">
        <v>80</v>
      </c>
      <c r="H83" s="205" t="s">
        <v>1408</v>
      </c>
      <c r="I83" s="205" t="s">
        <v>2442</v>
      </c>
    </row>
    <row r="84" spans="1:9">
      <c r="A84" s="205" t="s">
        <v>1408</v>
      </c>
      <c r="B84" s="205" t="s">
        <v>2442</v>
      </c>
      <c r="C84" s="205" t="s">
        <v>2443</v>
      </c>
      <c r="D84" s="205">
        <v>1189</v>
      </c>
      <c r="E84" s="205" t="s">
        <v>2389</v>
      </c>
      <c r="F84" s="205" t="s">
        <v>80</v>
      </c>
      <c r="G84" s="23" t="s">
        <v>80</v>
      </c>
      <c r="H84" s="205" t="s">
        <v>1408</v>
      </c>
      <c r="I84" s="205" t="s">
        <v>2442</v>
      </c>
    </row>
    <row r="85" spans="1:9">
      <c r="A85" s="205" t="s">
        <v>1408</v>
      </c>
      <c r="B85" s="205" t="s">
        <v>2444</v>
      </c>
      <c r="C85" s="205" t="s">
        <v>2445</v>
      </c>
      <c r="D85" s="205">
        <v>1853.8</v>
      </c>
      <c r="E85" s="205" t="s">
        <v>2385</v>
      </c>
      <c r="F85" s="205" t="s">
        <v>80</v>
      </c>
      <c r="G85" s="23" t="s">
        <v>80</v>
      </c>
      <c r="H85" s="205" t="s">
        <v>1408</v>
      </c>
      <c r="I85" s="205" t="s">
        <v>2444</v>
      </c>
    </row>
    <row r="86" spans="1:9">
      <c r="A86" s="205" t="s">
        <v>1408</v>
      </c>
      <c r="B86" s="205" t="s">
        <v>2444</v>
      </c>
      <c r="C86" s="205" t="s">
        <v>2445</v>
      </c>
      <c r="D86" s="205">
        <v>2079.1999999999998</v>
      </c>
      <c r="E86" s="205" t="s">
        <v>2389</v>
      </c>
      <c r="F86" s="205" t="s">
        <v>80</v>
      </c>
      <c r="G86" s="23" t="s">
        <v>80</v>
      </c>
      <c r="H86" s="205" t="s">
        <v>1408</v>
      </c>
      <c r="I86" s="205" t="s">
        <v>2444</v>
      </c>
    </row>
    <row r="87" spans="1:9">
      <c r="A87" s="205" t="s">
        <v>1408</v>
      </c>
      <c r="B87" s="205" t="s">
        <v>2446</v>
      </c>
      <c r="C87" s="205" t="s">
        <v>2447</v>
      </c>
      <c r="D87" s="205">
        <v>1024.6499999999999</v>
      </c>
      <c r="E87" s="205" t="s">
        <v>2385</v>
      </c>
      <c r="F87" s="205" t="s">
        <v>80</v>
      </c>
      <c r="G87" s="23" t="s">
        <v>80</v>
      </c>
      <c r="H87" s="205" t="s">
        <v>1408</v>
      </c>
      <c r="I87" s="205" t="s">
        <v>2446</v>
      </c>
    </row>
    <row r="88" spans="1:9">
      <c r="A88" s="205" t="s">
        <v>1408</v>
      </c>
      <c r="B88" s="205" t="s">
        <v>2446</v>
      </c>
      <c r="C88" s="205" t="s">
        <v>2447</v>
      </c>
      <c r="D88" s="205">
        <v>1167.25</v>
      </c>
      <c r="E88" s="205" t="s">
        <v>2389</v>
      </c>
      <c r="F88" s="205" t="s">
        <v>80</v>
      </c>
      <c r="G88" s="23" t="s">
        <v>80</v>
      </c>
      <c r="H88" s="205" t="s">
        <v>1408</v>
      </c>
      <c r="I88" s="205" t="s">
        <v>2446</v>
      </c>
    </row>
    <row r="89" spans="1:9">
      <c r="A89" s="205" t="s">
        <v>1408</v>
      </c>
      <c r="B89" s="205" t="s">
        <v>2448</v>
      </c>
      <c r="C89" s="205" t="s">
        <v>2449</v>
      </c>
      <c r="D89" s="205">
        <v>1394.9499999999998</v>
      </c>
      <c r="E89" s="205" t="s">
        <v>2385</v>
      </c>
      <c r="F89" s="205" t="s">
        <v>80</v>
      </c>
      <c r="G89" s="23" t="s">
        <v>80</v>
      </c>
      <c r="H89" s="205" t="s">
        <v>1408</v>
      </c>
      <c r="I89" s="205" t="s">
        <v>2448</v>
      </c>
    </row>
    <row r="90" spans="1:9">
      <c r="A90" s="205" t="s">
        <v>1408</v>
      </c>
      <c r="B90" s="205" t="s">
        <v>2448</v>
      </c>
      <c r="C90" s="205" t="s">
        <v>2449</v>
      </c>
      <c r="D90" s="205">
        <v>1498.4499999999998</v>
      </c>
      <c r="E90" s="205" t="s">
        <v>2389</v>
      </c>
      <c r="F90" s="205" t="s">
        <v>80</v>
      </c>
      <c r="G90" s="23" t="s">
        <v>80</v>
      </c>
      <c r="H90" s="205" t="s">
        <v>1408</v>
      </c>
      <c r="I90" s="205" t="s">
        <v>2448</v>
      </c>
    </row>
    <row r="91" spans="1:9">
      <c r="A91" s="205" t="s">
        <v>1408</v>
      </c>
      <c r="B91" s="205" t="s">
        <v>2450</v>
      </c>
      <c r="C91" s="205" t="s">
        <v>2451</v>
      </c>
      <c r="D91" s="205">
        <v>1014</v>
      </c>
      <c r="E91" s="205" t="s">
        <v>2385</v>
      </c>
      <c r="F91" s="205" t="s">
        <v>80</v>
      </c>
      <c r="G91" s="23" t="s">
        <v>80</v>
      </c>
      <c r="H91" s="205" t="s">
        <v>1408</v>
      </c>
      <c r="I91" s="205" t="s">
        <v>2450</v>
      </c>
    </row>
    <row r="92" spans="1:9">
      <c r="A92" s="205" t="s">
        <v>1408</v>
      </c>
      <c r="B92" s="205" t="s">
        <v>2450</v>
      </c>
      <c r="C92" s="205" t="s">
        <v>2451</v>
      </c>
      <c r="D92" s="205">
        <v>1014</v>
      </c>
      <c r="E92" s="205" t="s">
        <v>2389</v>
      </c>
      <c r="F92" s="205" t="s">
        <v>80</v>
      </c>
      <c r="G92" s="23" t="s">
        <v>80</v>
      </c>
      <c r="H92" s="205" t="s">
        <v>1408</v>
      </c>
      <c r="I92" s="205" t="s">
        <v>2450</v>
      </c>
    </row>
    <row r="93" spans="1:9">
      <c r="A93" s="205" t="s">
        <v>1408</v>
      </c>
      <c r="B93" s="205" t="s">
        <v>2452</v>
      </c>
      <c r="C93" s="205" t="s">
        <v>2453</v>
      </c>
      <c r="D93" s="205">
        <v>1092</v>
      </c>
      <c r="E93" s="205" t="s">
        <v>2385</v>
      </c>
      <c r="F93" s="205" t="s">
        <v>80</v>
      </c>
      <c r="G93" s="23" t="s">
        <v>80</v>
      </c>
      <c r="H93" s="205" t="s">
        <v>1408</v>
      </c>
      <c r="I93" s="205" t="s">
        <v>2452</v>
      </c>
    </row>
    <row r="94" spans="1:9">
      <c r="A94" s="205" t="s">
        <v>1408</v>
      </c>
      <c r="B94" s="205" t="s">
        <v>2452</v>
      </c>
      <c r="C94" s="205" t="s">
        <v>2453</v>
      </c>
      <c r="D94" s="205">
        <v>1092</v>
      </c>
      <c r="E94" s="205" t="s">
        <v>2389</v>
      </c>
      <c r="F94" s="205" t="s">
        <v>80</v>
      </c>
      <c r="G94" s="23" t="s">
        <v>80</v>
      </c>
      <c r="H94" s="205" t="s">
        <v>1408</v>
      </c>
      <c r="I94" s="205" t="s">
        <v>2452</v>
      </c>
    </row>
    <row r="95" spans="1:9">
      <c r="A95" s="205" t="s">
        <v>1408</v>
      </c>
      <c r="B95" s="205" t="s">
        <v>2454</v>
      </c>
      <c r="C95" s="205" t="s">
        <v>2455</v>
      </c>
      <c r="D95" s="205">
        <v>1752.6</v>
      </c>
      <c r="E95" s="205" t="s">
        <v>2385</v>
      </c>
      <c r="F95" s="205" t="s">
        <v>80</v>
      </c>
      <c r="G95" s="23" t="s">
        <v>80</v>
      </c>
      <c r="H95" s="205" t="s">
        <v>1408</v>
      </c>
      <c r="I95" s="205" t="s">
        <v>2454</v>
      </c>
    </row>
    <row r="96" spans="1:9">
      <c r="A96" s="205" t="s">
        <v>1408</v>
      </c>
      <c r="B96" s="205" t="s">
        <v>2454</v>
      </c>
      <c r="C96" s="205" t="s">
        <v>2455</v>
      </c>
      <c r="D96" s="205">
        <v>1807.8</v>
      </c>
      <c r="E96" s="205" t="s">
        <v>2389</v>
      </c>
      <c r="F96" s="205" t="s">
        <v>80</v>
      </c>
      <c r="G96" s="23" t="s">
        <v>80</v>
      </c>
      <c r="H96" s="205" t="s">
        <v>1408</v>
      </c>
      <c r="I96" s="205" t="s">
        <v>2454</v>
      </c>
    </row>
    <row r="97" spans="1:9">
      <c r="A97" s="205" t="s">
        <v>1408</v>
      </c>
      <c r="B97" s="205" t="s">
        <v>2456</v>
      </c>
      <c r="C97" s="205" t="s">
        <v>2457</v>
      </c>
      <c r="D97" s="205">
        <v>853.3</v>
      </c>
      <c r="E97" s="205" t="s">
        <v>2385</v>
      </c>
      <c r="F97" s="205" t="s">
        <v>80</v>
      </c>
      <c r="G97" s="23" t="s">
        <v>80</v>
      </c>
      <c r="H97" s="205" t="s">
        <v>1408</v>
      </c>
      <c r="I97" s="205" t="s">
        <v>2456</v>
      </c>
    </row>
    <row r="98" spans="1:9">
      <c r="A98" s="205" t="s">
        <v>1408</v>
      </c>
      <c r="B98" s="205" t="s">
        <v>2456</v>
      </c>
      <c r="C98" s="205" t="s">
        <v>2457</v>
      </c>
      <c r="D98" s="205">
        <v>946.44999999999993</v>
      </c>
      <c r="E98" s="205" t="s">
        <v>2389</v>
      </c>
      <c r="F98" s="205" t="s">
        <v>80</v>
      </c>
      <c r="G98" s="23" t="s">
        <v>80</v>
      </c>
      <c r="H98" s="205" t="s">
        <v>1408</v>
      </c>
      <c r="I98" s="205" t="s">
        <v>2456</v>
      </c>
    </row>
    <row r="99" spans="1:9">
      <c r="A99" s="205" t="s">
        <v>1408</v>
      </c>
      <c r="B99" s="205" t="s">
        <v>2458</v>
      </c>
      <c r="C99" s="205" t="s">
        <v>2459</v>
      </c>
      <c r="D99" s="205">
        <v>758.99999999999989</v>
      </c>
      <c r="E99" s="205" t="s">
        <v>2385</v>
      </c>
      <c r="F99" s="205" t="s">
        <v>80</v>
      </c>
      <c r="G99" s="23" t="s">
        <v>80</v>
      </c>
      <c r="H99" s="205" t="s">
        <v>1408</v>
      </c>
      <c r="I99" s="205" t="s">
        <v>2458</v>
      </c>
    </row>
    <row r="100" spans="1:9">
      <c r="A100" s="205" t="s">
        <v>1408</v>
      </c>
      <c r="B100" s="205" t="s">
        <v>2458</v>
      </c>
      <c r="C100" s="205" t="s">
        <v>2459</v>
      </c>
      <c r="D100" s="205">
        <v>869.4</v>
      </c>
      <c r="E100" s="205" t="s">
        <v>2389</v>
      </c>
      <c r="F100" s="205" t="s">
        <v>80</v>
      </c>
      <c r="G100" s="23" t="s">
        <v>80</v>
      </c>
      <c r="H100" s="205" t="s">
        <v>1408</v>
      </c>
      <c r="I100" s="205" t="s">
        <v>2458</v>
      </c>
    </row>
    <row r="101" spans="1:9">
      <c r="A101" s="205" t="s">
        <v>1408</v>
      </c>
      <c r="B101" s="205" t="s">
        <v>2460</v>
      </c>
      <c r="C101" s="205" t="s">
        <v>2461</v>
      </c>
      <c r="D101" s="205">
        <v>107</v>
      </c>
      <c r="E101" s="205" t="s">
        <v>2385</v>
      </c>
      <c r="F101" s="205" t="s">
        <v>80</v>
      </c>
      <c r="G101" s="23" t="s">
        <v>80</v>
      </c>
      <c r="H101" s="205" t="s">
        <v>1408</v>
      </c>
      <c r="I101" s="205" t="s">
        <v>2460</v>
      </c>
    </row>
    <row r="102" spans="1:9">
      <c r="A102" s="205" t="s">
        <v>1408</v>
      </c>
      <c r="B102" s="205" t="s">
        <v>2460</v>
      </c>
      <c r="C102" s="205" t="s">
        <v>2461</v>
      </c>
      <c r="D102" s="205">
        <v>107</v>
      </c>
      <c r="E102" s="205" t="s">
        <v>2389</v>
      </c>
      <c r="F102" s="205" t="s">
        <v>80</v>
      </c>
      <c r="G102" s="23" t="s">
        <v>80</v>
      </c>
      <c r="H102" s="205" t="s">
        <v>1408</v>
      </c>
      <c r="I102" s="205" t="s">
        <v>2460</v>
      </c>
    </row>
    <row r="103" spans="1:9">
      <c r="A103" s="205" t="s">
        <v>1408</v>
      </c>
      <c r="B103" s="205" t="s">
        <v>2462</v>
      </c>
      <c r="C103" s="205" t="s">
        <v>2463</v>
      </c>
      <c r="D103" s="205">
        <v>114.99999999999999</v>
      </c>
      <c r="E103" s="205" t="s">
        <v>2385</v>
      </c>
      <c r="F103" s="205" t="s">
        <v>80</v>
      </c>
      <c r="G103" s="23" t="s">
        <v>80</v>
      </c>
      <c r="H103" s="205" t="s">
        <v>1408</v>
      </c>
      <c r="I103" s="205" t="s">
        <v>2462</v>
      </c>
    </row>
    <row r="104" spans="1:9">
      <c r="A104" s="205" t="s">
        <v>1408</v>
      </c>
      <c r="B104" s="205" t="s">
        <v>2462</v>
      </c>
      <c r="C104" s="205" t="s">
        <v>2463</v>
      </c>
      <c r="D104" s="205">
        <v>114.99999999999999</v>
      </c>
      <c r="E104" s="205" t="s">
        <v>2389</v>
      </c>
      <c r="F104" s="205" t="s">
        <v>80</v>
      </c>
      <c r="G104" s="23" t="s">
        <v>80</v>
      </c>
      <c r="H104" s="205" t="s">
        <v>1408</v>
      </c>
      <c r="I104" s="205" t="s">
        <v>2462</v>
      </c>
    </row>
    <row r="105" spans="1:9">
      <c r="A105" s="205" t="s">
        <v>1408</v>
      </c>
      <c r="B105" s="205" t="s">
        <v>2464</v>
      </c>
      <c r="C105" s="205" t="s">
        <v>2465</v>
      </c>
      <c r="D105" s="205">
        <v>462</v>
      </c>
      <c r="E105" s="205" t="s">
        <v>2385</v>
      </c>
      <c r="F105" s="205" t="s">
        <v>80</v>
      </c>
      <c r="G105" s="23" t="s">
        <v>80</v>
      </c>
      <c r="H105" s="205" t="s">
        <v>1408</v>
      </c>
      <c r="I105" s="205" t="s">
        <v>2464</v>
      </c>
    </row>
    <row r="106" spans="1:9">
      <c r="A106" s="205" t="s">
        <v>1408</v>
      </c>
      <c r="B106" s="205" t="s">
        <v>2464</v>
      </c>
      <c r="C106" s="205" t="s">
        <v>2465</v>
      </c>
      <c r="D106" s="205">
        <v>501.4</v>
      </c>
      <c r="E106" s="205" t="s">
        <v>2389</v>
      </c>
      <c r="F106" s="205" t="s">
        <v>80</v>
      </c>
      <c r="G106" s="23" t="s">
        <v>80</v>
      </c>
      <c r="H106" s="205" t="s">
        <v>1408</v>
      </c>
      <c r="I106" s="205" t="s">
        <v>2464</v>
      </c>
    </row>
    <row r="107" spans="1:9">
      <c r="A107" s="205" t="s">
        <v>1408</v>
      </c>
      <c r="B107" s="205" t="s">
        <v>2466</v>
      </c>
      <c r="C107" s="205" t="s">
        <v>2467</v>
      </c>
      <c r="D107" s="205">
        <v>225</v>
      </c>
      <c r="E107" s="205" t="s">
        <v>2385</v>
      </c>
      <c r="F107" s="205" t="s">
        <v>80</v>
      </c>
      <c r="G107" s="23" t="s">
        <v>80</v>
      </c>
      <c r="H107" s="205" t="s">
        <v>1408</v>
      </c>
      <c r="I107" s="205" t="s">
        <v>2466</v>
      </c>
    </row>
    <row r="108" spans="1:9">
      <c r="A108" s="205" t="s">
        <v>1408</v>
      </c>
      <c r="B108" s="205" t="s">
        <v>2466</v>
      </c>
      <c r="C108" s="205" t="s">
        <v>2467</v>
      </c>
      <c r="D108" s="205">
        <v>225</v>
      </c>
      <c r="E108" s="205" t="s">
        <v>2389</v>
      </c>
      <c r="F108" s="205" t="s">
        <v>80</v>
      </c>
      <c r="G108" s="23" t="s">
        <v>80</v>
      </c>
      <c r="H108" s="205" t="s">
        <v>1408</v>
      </c>
      <c r="I108" s="205" t="s">
        <v>2466</v>
      </c>
    </row>
    <row r="109" spans="1:9">
      <c r="A109" s="205" t="s">
        <v>1408</v>
      </c>
      <c r="B109" s="205" t="s">
        <v>2468</v>
      </c>
      <c r="C109" s="205" t="s">
        <v>2469</v>
      </c>
      <c r="D109" s="205">
        <v>577</v>
      </c>
      <c r="E109" s="205" t="s">
        <v>2385</v>
      </c>
      <c r="F109" s="205" t="s">
        <v>80</v>
      </c>
      <c r="G109" s="23" t="s">
        <v>80</v>
      </c>
      <c r="H109" s="205" t="s">
        <v>1408</v>
      </c>
      <c r="I109" s="205" t="s">
        <v>2468</v>
      </c>
    </row>
    <row r="110" spans="1:9">
      <c r="A110" s="205" t="s">
        <v>1408</v>
      </c>
      <c r="B110" s="205" t="s">
        <v>2468</v>
      </c>
      <c r="C110" s="205" t="s">
        <v>2469</v>
      </c>
      <c r="D110" s="205">
        <v>577</v>
      </c>
      <c r="E110" s="205" t="s">
        <v>2389</v>
      </c>
      <c r="F110" s="205" t="s">
        <v>80</v>
      </c>
      <c r="G110" s="23" t="s">
        <v>80</v>
      </c>
      <c r="H110" s="205" t="s">
        <v>1408</v>
      </c>
      <c r="I110" s="205" t="s">
        <v>2468</v>
      </c>
    </row>
    <row r="111" spans="1:9">
      <c r="A111" s="205" t="s">
        <v>1408</v>
      </c>
      <c r="B111" s="205" t="s">
        <v>2470</v>
      </c>
      <c r="C111" s="205" t="s">
        <v>2471</v>
      </c>
      <c r="D111" s="205">
        <v>588</v>
      </c>
      <c r="E111" s="205" t="s">
        <v>2385</v>
      </c>
      <c r="F111" s="205" t="s">
        <v>80</v>
      </c>
      <c r="G111" s="23" t="s">
        <v>80</v>
      </c>
      <c r="H111" s="205" t="s">
        <v>1408</v>
      </c>
      <c r="I111" s="205" t="s">
        <v>2470</v>
      </c>
    </row>
    <row r="112" spans="1:9">
      <c r="A112" s="205" t="s">
        <v>1408</v>
      </c>
      <c r="B112" s="205" t="s">
        <v>2470</v>
      </c>
      <c r="C112" s="205" t="s">
        <v>2471</v>
      </c>
      <c r="D112" s="205">
        <v>588</v>
      </c>
      <c r="E112" s="205" t="s">
        <v>2389</v>
      </c>
      <c r="F112" s="205" t="s">
        <v>80</v>
      </c>
      <c r="G112" s="23" t="s">
        <v>80</v>
      </c>
      <c r="H112" s="205" t="s">
        <v>1408</v>
      </c>
      <c r="I112" s="205" t="s">
        <v>2470</v>
      </c>
    </row>
    <row r="113" spans="1:9">
      <c r="A113" s="205" t="s">
        <v>1408</v>
      </c>
      <c r="B113" s="205" t="s">
        <v>2472</v>
      </c>
      <c r="C113" s="205" t="s">
        <v>2473</v>
      </c>
      <c r="D113" s="205">
        <v>471.49999999999994</v>
      </c>
      <c r="E113" s="205" t="s">
        <v>2385</v>
      </c>
      <c r="F113" s="205" t="s">
        <v>80</v>
      </c>
      <c r="G113" s="23" t="s">
        <v>80</v>
      </c>
      <c r="H113" s="205" t="s">
        <v>1408</v>
      </c>
      <c r="I113" s="205" t="s">
        <v>2472</v>
      </c>
    </row>
    <row r="114" spans="1:9">
      <c r="A114" s="205" t="s">
        <v>1408</v>
      </c>
      <c r="B114" s="205" t="s">
        <v>2472</v>
      </c>
      <c r="C114" s="205" t="s">
        <v>2473</v>
      </c>
      <c r="D114" s="205">
        <v>515.19999999999993</v>
      </c>
      <c r="E114" s="205" t="s">
        <v>2389</v>
      </c>
      <c r="F114" s="205" t="s">
        <v>80</v>
      </c>
      <c r="G114" s="23" t="s">
        <v>80</v>
      </c>
      <c r="H114" s="205" t="s">
        <v>1408</v>
      </c>
      <c r="I114" s="205" t="s">
        <v>2472</v>
      </c>
    </row>
    <row r="115" spans="1:9">
      <c r="A115" s="205" t="s">
        <v>1408</v>
      </c>
      <c r="B115" s="205" t="s">
        <v>2474</v>
      </c>
      <c r="C115" s="205" t="s">
        <v>2475</v>
      </c>
      <c r="D115" s="205">
        <v>230</v>
      </c>
      <c r="E115" s="205" t="s">
        <v>2385</v>
      </c>
      <c r="F115" s="205" t="s">
        <v>80</v>
      </c>
      <c r="G115" s="23" t="s">
        <v>80</v>
      </c>
      <c r="H115" s="205" t="s">
        <v>1408</v>
      </c>
      <c r="I115" s="205" t="s">
        <v>2474</v>
      </c>
    </row>
    <row r="116" spans="1:9">
      <c r="A116" s="205" t="s">
        <v>1408</v>
      </c>
      <c r="B116" s="205" t="s">
        <v>2474</v>
      </c>
      <c r="C116" s="205" t="s">
        <v>2475</v>
      </c>
      <c r="D116" s="205">
        <v>261.04999999999995</v>
      </c>
      <c r="E116" s="205" t="s">
        <v>2389</v>
      </c>
      <c r="F116" s="205" t="s">
        <v>80</v>
      </c>
      <c r="G116" s="23" t="s">
        <v>80</v>
      </c>
      <c r="H116" s="205" t="s">
        <v>1408</v>
      </c>
      <c r="I116" s="205" t="s">
        <v>2474</v>
      </c>
    </row>
    <row r="117" spans="1:9">
      <c r="A117" s="205" t="s">
        <v>1408</v>
      </c>
      <c r="B117" s="205" t="s">
        <v>2476</v>
      </c>
      <c r="C117" s="205" t="s">
        <v>2453</v>
      </c>
      <c r="D117" s="205">
        <v>726</v>
      </c>
      <c r="E117" s="205" t="s">
        <v>2385</v>
      </c>
      <c r="F117" s="205" t="s">
        <v>80</v>
      </c>
      <c r="G117" s="23" t="s">
        <v>80</v>
      </c>
      <c r="H117" s="205" t="s">
        <v>1408</v>
      </c>
      <c r="I117" s="205" t="s">
        <v>2476</v>
      </c>
    </row>
    <row r="118" spans="1:9">
      <c r="A118" s="205" t="s">
        <v>1408</v>
      </c>
      <c r="B118" s="205" t="s">
        <v>2476</v>
      </c>
      <c r="C118" s="205" t="s">
        <v>2453</v>
      </c>
      <c r="D118" s="205">
        <v>726</v>
      </c>
      <c r="E118" s="205" t="s">
        <v>2389</v>
      </c>
      <c r="F118" s="205" t="s">
        <v>80</v>
      </c>
      <c r="G118" s="23" t="s">
        <v>80</v>
      </c>
      <c r="H118" s="205" t="s">
        <v>1408</v>
      </c>
      <c r="I118" s="205" t="s">
        <v>2476</v>
      </c>
    </row>
    <row r="119" spans="1:9">
      <c r="A119" s="205" t="s">
        <v>1408</v>
      </c>
      <c r="B119" s="205" t="s">
        <v>2477</v>
      </c>
      <c r="C119" s="205" t="s">
        <v>2478</v>
      </c>
      <c r="D119" s="205">
        <v>200</v>
      </c>
      <c r="E119" s="205" t="s">
        <v>2385</v>
      </c>
      <c r="F119" s="205" t="s">
        <v>80</v>
      </c>
      <c r="G119" s="23" t="s">
        <v>80</v>
      </c>
      <c r="H119" s="205" t="s">
        <v>1408</v>
      </c>
      <c r="I119" s="205" t="s">
        <v>2477</v>
      </c>
    </row>
    <row r="120" spans="1:9">
      <c r="A120" s="205" t="s">
        <v>1408</v>
      </c>
      <c r="B120" s="205" t="s">
        <v>2477</v>
      </c>
      <c r="C120" s="205" t="s">
        <v>2478</v>
      </c>
      <c r="D120" s="205">
        <v>200</v>
      </c>
      <c r="E120" s="205" t="s">
        <v>2389</v>
      </c>
      <c r="F120" s="205" t="s">
        <v>80</v>
      </c>
      <c r="G120" s="23" t="s">
        <v>80</v>
      </c>
      <c r="H120" s="205" t="s">
        <v>1408</v>
      </c>
      <c r="I120" s="205" t="s">
        <v>2477</v>
      </c>
    </row>
    <row r="121" spans="1:9">
      <c r="A121" s="205" t="s">
        <v>1408</v>
      </c>
      <c r="B121" s="205" t="s">
        <v>2479</v>
      </c>
      <c r="C121" s="205" t="s">
        <v>2480</v>
      </c>
      <c r="D121" s="205">
        <v>126.49999999999999</v>
      </c>
      <c r="E121" s="205" t="s">
        <v>2385</v>
      </c>
      <c r="F121" s="205" t="s">
        <v>80</v>
      </c>
      <c r="G121" s="23" t="s">
        <v>80</v>
      </c>
      <c r="H121" s="205" t="s">
        <v>1408</v>
      </c>
      <c r="I121" s="205" t="s">
        <v>2479</v>
      </c>
    </row>
    <row r="122" spans="1:9">
      <c r="A122" s="205" t="s">
        <v>1408</v>
      </c>
      <c r="B122" s="205" t="s">
        <v>2479</v>
      </c>
      <c r="C122" s="205" t="s">
        <v>2480</v>
      </c>
      <c r="D122" s="205">
        <v>129.94999999999999</v>
      </c>
      <c r="E122" s="205" t="s">
        <v>2389</v>
      </c>
      <c r="F122" s="205" t="s">
        <v>80</v>
      </c>
      <c r="G122" s="23" t="s">
        <v>80</v>
      </c>
      <c r="H122" s="205" t="s">
        <v>1408</v>
      </c>
      <c r="I122" s="205" t="s">
        <v>2479</v>
      </c>
    </row>
    <row r="123" spans="1:9">
      <c r="A123" s="205" t="s">
        <v>1408</v>
      </c>
      <c r="B123" s="205" t="s">
        <v>2481</v>
      </c>
      <c r="C123" s="205" t="s">
        <v>2482</v>
      </c>
      <c r="D123" s="205">
        <v>299</v>
      </c>
      <c r="E123" s="205" t="s">
        <v>2385</v>
      </c>
      <c r="F123" s="205" t="s">
        <v>80</v>
      </c>
      <c r="G123" s="23" t="s">
        <v>80</v>
      </c>
      <c r="H123" s="205" t="s">
        <v>1408</v>
      </c>
      <c r="I123" s="205" t="s">
        <v>2481</v>
      </c>
    </row>
    <row r="124" spans="1:9">
      <c r="A124" s="205" t="s">
        <v>1408</v>
      </c>
      <c r="B124" s="205" t="s">
        <v>2481</v>
      </c>
      <c r="C124" s="205" t="s">
        <v>2482</v>
      </c>
      <c r="D124" s="205">
        <v>324.29999999999995</v>
      </c>
      <c r="E124" s="205" t="s">
        <v>2389</v>
      </c>
      <c r="F124" s="205" t="s">
        <v>80</v>
      </c>
      <c r="G124" s="23" t="s">
        <v>80</v>
      </c>
      <c r="H124" s="205" t="s">
        <v>1408</v>
      </c>
      <c r="I124" s="205" t="s">
        <v>2481</v>
      </c>
    </row>
    <row r="125" spans="1:9">
      <c r="A125" s="205" t="s">
        <v>1408</v>
      </c>
      <c r="B125" s="205" t="s">
        <v>2483</v>
      </c>
      <c r="C125" s="205" t="s">
        <v>2484</v>
      </c>
      <c r="D125" s="205">
        <v>769</v>
      </c>
      <c r="E125" s="205" t="s">
        <v>2385</v>
      </c>
      <c r="F125" s="205" t="s">
        <v>80</v>
      </c>
      <c r="G125" s="23" t="s">
        <v>80</v>
      </c>
      <c r="H125" s="205" t="s">
        <v>1408</v>
      </c>
      <c r="I125" s="205" t="s">
        <v>2483</v>
      </c>
    </row>
    <row r="126" spans="1:9">
      <c r="A126" s="205" t="s">
        <v>1408</v>
      </c>
      <c r="B126" s="205" t="s">
        <v>2483</v>
      </c>
      <c r="C126" s="205" t="s">
        <v>2484</v>
      </c>
      <c r="D126" s="205">
        <v>806.15</v>
      </c>
      <c r="E126" s="205" t="s">
        <v>2389</v>
      </c>
      <c r="F126" s="205" t="s">
        <v>80</v>
      </c>
      <c r="G126" s="23" t="s">
        <v>80</v>
      </c>
      <c r="H126" s="205" t="s">
        <v>1408</v>
      </c>
      <c r="I126" s="205" t="s">
        <v>2483</v>
      </c>
    </row>
    <row r="127" spans="1:9">
      <c r="A127" s="205" t="s">
        <v>1408</v>
      </c>
      <c r="B127" s="205" t="s">
        <v>2485</v>
      </c>
      <c r="C127" s="205" t="s">
        <v>2486</v>
      </c>
      <c r="D127" s="205">
        <v>789</v>
      </c>
      <c r="E127" s="205" t="s">
        <v>2385</v>
      </c>
      <c r="F127" s="205" t="s">
        <v>80</v>
      </c>
      <c r="G127" s="23" t="s">
        <v>80</v>
      </c>
      <c r="H127" s="205" t="s">
        <v>1408</v>
      </c>
      <c r="I127" s="205" t="s">
        <v>2485</v>
      </c>
    </row>
    <row r="128" spans="1:9">
      <c r="A128" s="205" t="s">
        <v>1408</v>
      </c>
      <c r="B128" s="205" t="s">
        <v>2485</v>
      </c>
      <c r="C128" s="205" t="s">
        <v>2486</v>
      </c>
      <c r="D128" s="205">
        <v>789</v>
      </c>
      <c r="E128" s="205" t="s">
        <v>2389</v>
      </c>
      <c r="F128" s="205" t="s">
        <v>80</v>
      </c>
      <c r="G128" s="23" t="s">
        <v>80</v>
      </c>
      <c r="H128" s="205" t="s">
        <v>1408</v>
      </c>
      <c r="I128" s="205" t="s">
        <v>2485</v>
      </c>
    </row>
    <row r="129" spans="1:9">
      <c r="A129" s="205" t="s">
        <v>1728</v>
      </c>
      <c r="B129" s="205" t="s">
        <v>2487</v>
      </c>
      <c r="C129" s="205" t="s">
        <v>2488</v>
      </c>
      <c r="D129" s="205">
        <v>1523</v>
      </c>
      <c r="E129" s="205" t="s">
        <v>2385</v>
      </c>
      <c r="F129" s="205" t="s">
        <v>80</v>
      </c>
      <c r="G129" s="23" t="s">
        <v>80</v>
      </c>
      <c r="H129" s="205" t="s">
        <v>1728</v>
      </c>
      <c r="I129" s="205" t="s">
        <v>2487</v>
      </c>
    </row>
    <row r="130" spans="1:9">
      <c r="A130" s="205" t="s">
        <v>1728</v>
      </c>
      <c r="B130" s="23" t="s">
        <v>2487</v>
      </c>
      <c r="C130" s="23" t="s">
        <v>2488</v>
      </c>
      <c r="D130" s="23">
        <v>1523</v>
      </c>
      <c r="E130" s="23" t="s">
        <v>632</v>
      </c>
      <c r="F130" s="23" t="s">
        <v>80</v>
      </c>
      <c r="G130" s="23" t="s">
        <v>80</v>
      </c>
      <c r="H130" s="205" t="s">
        <v>1728</v>
      </c>
      <c r="I130" s="23" t="s">
        <v>2487</v>
      </c>
    </row>
    <row r="131" spans="1:9">
      <c r="A131" s="205" t="s">
        <v>1728</v>
      </c>
      <c r="B131" s="205" t="s">
        <v>2487</v>
      </c>
      <c r="C131" s="205" t="s">
        <v>2488</v>
      </c>
      <c r="D131" s="205">
        <v>1849.1999999999998</v>
      </c>
      <c r="E131" s="205" t="s">
        <v>2389</v>
      </c>
      <c r="F131" s="205" t="s">
        <v>80</v>
      </c>
      <c r="G131" s="23" t="s">
        <v>80</v>
      </c>
      <c r="H131" s="205" t="s">
        <v>1728</v>
      </c>
      <c r="I131" s="205" t="s">
        <v>2487</v>
      </c>
    </row>
    <row r="132" spans="1:9">
      <c r="A132" s="205" t="s">
        <v>1728</v>
      </c>
      <c r="B132" s="205" t="s">
        <v>2489</v>
      </c>
      <c r="C132" s="205" t="s">
        <v>2488</v>
      </c>
      <c r="D132" s="205">
        <v>2415</v>
      </c>
      <c r="E132" s="205" t="s">
        <v>2385</v>
      </c>
      <c r="F132" s="205" t="s">
        <v>80</v>
      </c>
      <c r="G132" s="23" t="s">
        <v>80</v>
      </c>
      <c r="H132" s="205" t="s">
        <v>1728</v>
      </c>
      <c r="I132" s="205" t="s">
        <v>2489</v>
      </c>
    </row>
    <row r="133" spans="1:9">
      <c r="A133" s="205" t="s">
        <v>1728</v>
      </c>
      <c r="B133" s="23" t="s">
        <v>2489</v>
      </c>
      <c r="C133" s="23" t="s">
        <v>2488</v>
      </c>
      <c r="D133" s="23">
        <v>2512.75</v>
      </c>
      <c r="E133" s="23" t="s">
        <v>632</v>
      </c>
      <c r="F133" s="23" t="s">
        <v>80</v>
      </c>
      <c r="G133" s="23" t="s">
        <v>80</v>
      </c>
      <c r="H133" s="205" t="s">
        <v>1728</v>
      </c>
      <c r="I133" s="23" t="s">
        <v>2489</v>
      </c>
    </row>
    <row r="134" spans="1:9">
      <c r="A134" s="205" t="s">
        <v>1728</v>
      </c>
      <c r="B134" s="205" t="s">
        <v>2489</v>
      </c>
      <c r="C134" s="205" t="s">
        <v>2488</v>
      </c>
      <c r="D134" s="205">
        <v>2989.9999999999995</v>
      </c>
      <c r="E134" s="205" t="s">
        <v>2389</v>
      </c>
      <c r="F134" s="205" t="s">
        <v>80</v>
      </c>
      <c r="G134" s="23" t="s">
        <v>80</v>
      </c>
      <c r="H134" s="205" t="s">
        <v>1728</v>
      </c>
      <c r="I134" s="205" t="s">
        <v>2489</v>
      </c>
    </row>
    <row r="135" spans="1:9">
      <c r="A135" s="205" t="s">
        <v>1728</v>
      </c>
      <c r="B135" s="205" t="s">
        <v>2490</v>
      </c>
      <c r="C135" s="205" t="s">
        <v>2491</v>
      </c>
      <c r="D135" s="205">
        <v>895.84999999999991</v>
      </c>
      <c r="E135" s="205" t="s">
        <v>2385</v>
      </c>
      <c r="F135" s="205" t="s">
        <v>80</v>
      </c>
      <c r="G135" s="23" t="s">
        <v>80</v>
      </c>
      <c r="H135" s="205" t="s">
        <v>1728</v>
      </c>
      <c r="I135" s="205" t="s">
        <v>2490</v>
      </c>
    </row>
    <row r="136" spans="1:9">
      <c r="A136" s="205" t="s">
        <v>1728</v>
      </c>
      <c r="B136" s="23" t="s">
        <v>2490</v>
      </c>
      <c r="C136" s="23" t="s">
        <v>2491</v>
      </c>
      <c r="D136" s="23">
        <v>895.84999999999991</v>
      </c>
      <c r="E136" s="23" t="s">
        <v>632</v>
      </c>
      <c r="F136" s="23" t="s">
        <v>80</v>
      </c>
      <c r="G136" s="23" t="s">
        <v>80</v>
      </c>
      <c r="H136" s="205" t="s">
        <v>1728</v>
      </c>
      <c r="I136" s="23" t="s">
        <v>2490</v>
      </c>
    </row>
    <row r="137" spans="1:9">
      <c r="A137" s="205" t="s">
        <v>1728</v>
      </c>
      <c r="B137" s="205" t="s">
        <v>2490</v>
      </c>
      <c r="C137" s="205" t="s">
        <v>2491</v>
      </c>
      <c r="D137" s="205">
        <v>919.99999999999989</v>
      </c>
      <c r="E137" s="205" t="s">
        <v>2389</v>
      </c>
      <c r="F137" s="205" t="s">
        <v>80</v>
      </c>
      <c r="G137" s="23" t="s">
        <v>80</v>
      </c>
      <c r="H137" s="205" t="s">
        <v>1728</v>
      </c>
      <c r="I137" s="205" t="s">
        <v>2490</v>
      </c>
    </row>
    <row r="138" spans="1:9">
      <c r="A138" s="205" t="s">
        <v>1728</v>
      </c>
      <c r="B138" s="205" t="s">
        <v>2492</v>
      </c>
      <c r="C138" s="205" t="s">
        <v>2493</v>
      </c>
      <c r="D138" s="205">
        <v>1573</v>
      </c>
      <c r="E138" s="205" t="s">
        <v>2385</v>
      </c>
      <c r="F138" s="205" t="s">
        <v>80</v>
      </c>
      <c r="G138" s="23" t="s">
        <v>80</v>
      </c>
      <c r="H138" s="205" t="s">
        <v>1728</v>
      </c>
      <c r="I138" s="205" t="s">
        <v>2492</v>
      </c>
    </row>
    <row r="139" spans="1:9">
      <c r="A139" s="205" t="s">
        <v>1728</v>
      </c>
      <c r="B139" s="23" t="s">
        <v>2492</v>
      </c>
      <c r="C139" s="23" t="s">
        <v>2493</v>
      </c>
      <c r="D139" s="23">
        <v>1627.2499999999998</v>
      </c>
      <c r="E139" s="23" t="s">
        <v>632</v>
      </c>
      <c r="F139" s="23" t="s">
        <v>80</v>
      </c>
      <c r="G139" s="23" t="s">
        <v>80</v>
      </c>
      <c r="H139" s="205" t="s">
        <v>1728</v>
      </c>
      <c r="I139" s="23" t="s">
        <v>2492</v>
      </c>
    </row>
    <row r="140" spans="1:9">
      <c r="A140" s="205" t="s">
        <v>1728</v>
      </c>
      <c r="B140" s="205" t="s">
        <v>2492</v>
      </c>
      <c r="C140" s="205" t="s">
        <v>2493</v>
      </c>
      <c r="D140" s="205">
        <v>1954.9999999999998</v>
      </c>
      <c r="E140" s="205" t="s">
        <v>2389</v>
      </c>
      <c r="F140" s="205" t="s">
        <v>80</v>
      </c>
      <c r="G140" s="23" t="s">
        <v>80</v>
      </c>
      <c r="H140" s="205" t="s">
        <v>1728</v>
      </c>
      <c r="I140" s="205" t="s">
        <v>2492</v>
      </c>
    </row>
    <row r="141" spans="1:9">
      <c r="A141" s="205" t="s">
        <v>1728</v>
      </c>
      <c r="B141" s="205" t="s">
        <v>2494</v>
      </c>
      <c r="C141" s="205" t="s">
        <v>2495</v>
      </c>
      <c r="D141" s="205">
        <v>672.75</v>
      </c>
      <c r="E141" s="205" t="s">
        <v>2385</v>
      </c>
      <c r="F141" s="205" t="s">
        <v>80</v>
      </c>
      <c r="G141" s="23" t="s">
        <v>80</v>
      </c>
      <c r="H141" s="205" t="s">
        <v>1728</v>
      </c>
      <c r="I141" s="205" t="s">
        <v>2494</v>
      </c>
    </row>
    <row r="142" spans="1:9">
      <c r="A142" s="205" t="s">
        <v>1728</v>
      </c>
      <c r="B142" s="23" t="s">
        <v>2494</v>
      </c>
      <c r="C142" s="23" t="s">
        <v>2495</v>
      </c>
      <c r="D142" s="23">
        <v>672.75</v>
      </c>
      <c r="E142" s="23" t="s">
        <v>632</v>
      </c>
      <c r="F142" s="23" t="s">
        <v>80</v>
      </c>
      <c r="G142" s="23" t="s">
        <v>80</v>
      </c>
      <c r="H142" s="205" t="s">
        <v>1728</v>
      </c>
      <c r="I142" s="23" t="s">
        <v>2494</v>
      </c>
    </row>
    <row r="143" spans="1:9">
      <c r="A143" s="205" t="s">
        <v>1728</v>
      </c>
      <c r="B143" s="205" t="s">
        <v>2494</v>
      </c>
      <c r="C143" s="205" t="s">
        <v>2495</v>
      </c>
      <c r="D143" s="205">
        <v>971.74999999999989</v>
      </c>
      <c r="E143" s="205" t="s">
        <v>2389</v>
      </c>
      <c r="F143" s="205" t="s">
        <v>80</v>
      </c>
      <c r="G143" s="23" t="s">
        <v>80</v>
      </c>
      <c r="H143" s="205" t="s">
        <v>1728</v>
      </c>
      <c r="I143" s="205" t="s">
        <v>2494</v>
      </c>
    </row>
    <row r="144" spans="1:9">
      <c r="A144" s="205" t="s">
        <v>1728</v>
      </c>
      <c r="B144" s="205" t="s">
        <v>2496</v>
      </c>
      <c r="C144" s="205" t="s">
        <v>2497</v>
      </c>
      <c r="D144" s="205">
        <v>1584.6999999999998</v>
      </c>
      <c r="E144" s="205" t="s">
        <v>2385</v>
      </c>
      <c r="F144" s="205" t="s">
        <v>80</v>
      </c>
      <c r="G144" s="23" t="s">
        <v>80</v>
      </c>
      <c r="H144" s="205" t="s">
        <v>1728</v>
      </c>
      <c r="I144" s="205" t="s">
        <v>2496</v>
      </c>
    </row>
    <row r="145" spans="1:9">
      <c r="A145" s="205" t="s">
        <v>1728</v>
      </c>
      <c r="B145" s="23" t="s">
        <v>2496</v>
      </c>
      <c r="C145" s="23" t="s">
        <v>2497</v>
      </c>
      <c r="D145" s="23">
        <v>1612.3</v>
      </c>
      <c r="E145" s="23" t="s">
        <v>632</v>
      </c>
      <c r="F145" s="23" t="s">
        <v>80</v>
      </c>
      <c r="G145" s="23" t="s">
        <v>80</v>
      </c>
      <c r="H145" s="205" t="s">
        <v>1728</v>
      </c>
      <c r="I145" s="23" t="s">
        <v>2496</v>
      </c>
    </row>
    <row r="146" spans="1:9">
      <c r="A146" s="205" t="s">
        <v>1728</v>
      </c>
      <c r="B146" s="205" t="s">
        <v>2496</v>
      </c>
      <c r="C146" s="205" t="s">
        <v>2497</v>
      </c>
      <c r="D146" s="205">
        <v>1839.9999999999998</v>
      </c>
      <c r="E146" s="205" t="s">
        <v>2389</v>
      </c>
      <c r="F146" s="205" t="s">
        <v>80</v>
      </c>
      <c r="G146" s="23" t="s">
        <v>80</v>
      </c>
      <c r="H146" s="205" t="s">
        <v>1728</v>
      </c>
      <c r="I146" s="205" t="s">
        <v>2496</v>
      </c>
    </row>
    <row r="147" spans="1:9">
      <c r="A147" s="205" t="s">
        <v>1728</v>
      </c>
      <c r="B147" s="205" t="s">
        <v>2498</v>
      </c>
      <c r="C147" s="205" t="s">
        <v>2499</v>
      </c>
      <c r="D147" s="205">
        <v>1037.3</v>
      </c>
      <c r="E147" s="205" t="s">
        <v>2385</v>
      </c>
      <c r="F147" s="205" t="s">
        <v>80</v>
      </c>
      <c r="G147" s="23" t="s">
        <v>80</v>
      </c>
      <c r="H147" s="205" t="s">
        <v>1728</v>
      </c>
      <c r="I147" s="205" t="s">
        <v>2498</v>
      </c>
    </row>
    <row r="148" spans="1:9">
      <c r="A148" s="205" t="s">
        <v>1728</v>
      </c>
      <c r="B148" s="23" t="s">
        <v>2498</v>
      </c>
      <c r="C148" s="23" t="s">
        <v>2499</v>
      </c>
      <c r="D148" s="23">
        <v>1037.3</v>
      </c>
      <c r="E148" s="23" t="s">
        <v>632</v>
      </c>
      <c r="F148" s="23" t="s">
        <v>80</v>
      </c>
      <c r="G148" s="23" t="s">
        <v>80</v>
      </c>
      <c r="H148" s="205" t="s">
        <v>1728</v>
      </c>
      <c r="I148" s="23" t="s">
        <v>2498</v>
      </c>
    </row>
    <row r="149" spans="1:9">
      <c r="A149" s="205" t="s">
        <v>1728</v>
      </c>
      <c r="B149" s="205" t="s">
        <v>2498</v>
      </c>
      <c r="C149" s="205" t="s">
        <v>2499</v>
      </c>
      <c r="D149" s="205">
        <v>1207.5</v>
      </c>
      <c r="E149" s="205" t="s">
        <v>2389</v>
      </c>
      <c r="F149" s="205" t="s">
        <v>80</v>
      </c>
      <c r="G149" s="23" t="s">
        <v>80</v>
      </c>
      <c r="H149" s="205" t="s">
        <v>1728</v>
      </c>
      <c r="I149" s="205" t="s">
        <v>2498</v>
      </c>
    </row>
    <row r="150" spans="1:9">
      <c r="A150" s="205" t="s">
        <v>1728</v>
      </c>
      <c r="B150" s="205" t="s">
        <v>2500</v>
      </c>
      <c r="C150" s="205" t="s">
        <v>2501</v>
      </c>
      <c r="D150" s="205">
        <v>1239.6999999999998</v>
      </c>
      <c r="E150" s="205" t="s">
        <v>2385</v>
      </c>
      <c r="F150" s="205" t="s">
        <v>80</v>
      </c>
      <c r="G150" s="23" t="s">
        <v>80</v>
      </c>
      <c r="H150" s="205" t="s">
        <v>1728</v>
      </c>
      <c r="I150" s="205" t="s">
        <v>2500</v>
      </c>
    </row>
    <row r="151" spans="1:9">
      <c r="A151" s="205" t="s">
        <v>1728</v>
      </c>
      <c r="B151" s="23" t="s">
        <v>2500</v>
      </c>
      <c r="C151" s="23" t="s">
        <v>2501</v>
      </c>
      <c r="D151" s="23">
        <v>1239.6999999999998</v>
      </c>
      <c r="E151" s="23" t="s">
        <v>632</v>
      </c>
      <c r="F151" s="23" t="s">
        <v>80</v>
      </c>
      <c r="G151" s="23" t="s">
        <v>80</v>
      </c>
      <c r="H151" s="205" t="s">
        <v>1728</v>
      </c>
      <c r="I151" s="23" t="s">
        <v>2500</v>
      </c>
    </row>
    <row r="152" spans="1:9">
      <c r="A152" s="205" t="s">
        <v>1728</v>
      </c>
      <c r="B152" s="205" t="s">
        <v>2500</v>
      </c>
      <c r="C152" s="205" t="s">
        <v>2501</v>
      </c>
      <c r="D152" s="205">
        <v>1323.6499999999999</v>
      </c>
      <c r="E152" s="205" t="s">
        <v>2389</v>
      </c>
      <c r="F152" s="205" t="s">
        <v>80</v>
      </c>
      <c r="G152" s="23" t="s">
        <v>80</v>
      </c>
      <c r="H152" s="205" t="s">
        <v>1728</v>
      </c>
      <c r="I152" s="205" t="s">
        <v>2500</v>
      </c>
    </row>
    <row r="153" spans="1:9">
      <c r="A153" s="205" t="s">
        <v>1728</v>
      </c>
      <c r="B153" s="205" t="s">
        <v>2490</v>
      </c>
      <c r="C153" s="205" t="s">
        <v>2502</v>
      </c>
      <c r="D153" s="205">
        <v>2785</v>
      </c>
      <c r="E153" s="205" t="s">
        <v>2385</v>
      </c>
      <c r="F153" s="205" t="s">
        <v>80</v>
      </c>
      <c r="G153" s="23" t="s">
        <v>80</v>
      </c>
      <c r="H153" s="205" t="s">
        <v>1728</v>
      </c>
      <c r="I153" s="205" t="s">
        <v>2490</v>
      </c>
    </row>
    <row r="154" spans="1:9">
      <c r="A154" s="205" t="s">
        <v>1728</v>
      </c>
      <c r="B154" s="23" t="s">
        <v>2490</v>
      </c>
      <c r="C154" s="23" t="s">
        <v>2502</v>
      </c>
      <c r="D154" s="23">
        <v>2785</v>
      </c>
      <c r="E154" s="23" t="s">
        <v>632</v>
      </c>
      <c r="F154" s="23" t="s">
        <v>80</v>
      </c>
      <c r="G154" s="23" t="s">
        <v>80</v>
      </c>
      <c r="H154" s="205" t="s">
        <v>1728</v>
      </c>
      <c r="I154" s="23" t="s">
        <v>2490</v>
      </c>
    </row>
    <row r="155" spans="1:9">
      <c r="A155" s="205" t="s">
        <v>1728</v>
      </c>
      <c r="B155" s="205" t="s">
        <v>2490</v>
      </c>
      <c r="C155" s="205" t="s">
        <v>2502</v>
      </c>
      <c r="D155" s="205">
        <v>3681.1499999999996</v>
      </c>
      <c r="E155" s="205" t="s">
        <v>2389</v>
      </c>
      <c r="F155" s="205" t="s">
        <v>80</v>
      </c>
      <c r="G155" s="23" t="s">
        <v>80</v>
      </c>
      <c r="H155" s="205" t="s">
        <v>1728</v>
      </c>
      <c r="I155" s="205" t="s">
        <v>2490</v>
      </c>
    </row>
    <row r="156" spans="1:9">
      <c r="A156" s="205" t="s">
        <v>1728</v>
      </c>
      <c r="B156" s="205" t="s">
        <v>2503</v>
      </c>
      <c r="C156" s="205" t="s">
        <v>2504</v>
      </c>
      <c r="D156" s="205">
        <v>622.15</v>
      </c>
      <c r="E156" s="205" t="s">
        <v>2385</v>
      </c>
      <c r="F156" s="205" t="s">
        <v>80</v>
      </c>
      <c r="G156" s="23" t="s">
        <v>80</v>
      </c>
      <c r="H156" s="205" t="s">
        <v>1728</v>
      </c>
      <c r="I156" s="205" t="s">
        <v>2503</v>
      </c>
    </row>
    <row r="157" spans="1:9">
      <c r="A157" s="205" t="s">
        <v>1728</v>
      </c>
      <c r="B157" s="23" t="s">
        <v>2503</v>
      </c>
      <c r="C157" s="23" t="s">
        <v>2504</v>
      </c>
      <c r="D157" s="23">
        <v>622.15</v>
      </c>
      <c r="E157" s="23" t="s">
        <v>632</v>
      </c>
      <c r="F157" s="23" t="s">
        <v>80</v>
      </c>
      <c r="G157" s="23" t="s">
        <v>80</v>
      </c>
      <c r="H157" s="205" t="s">
        <v>1728</v>
      </c>
      <c r="I157" s="23" t="s">
        <v>2503</v>
      </c>
    </row>
    <row r="158" spans="1:9">
      <c r="A158" s="205" t="s">
        <v>1728</v>
      </c>
      <c r="B158" s="205" t="s">
        <v>2503</v>
      </c>
      <c r="C158" s="205" t="s">
        <v>2504</v>
      </c>
      <c r="D158" s="205">
        <v>627.9</v>
      </c>
      <c r="E158" s="205" t="s">
        <v>2389</v>
      </c>
      <c r="F158" s="205" t="s">
        <v>80</v>
      </c>
      <c r="G158" s="23" t="s">
        <v>80</v>
      </c>
      <c r="H158" s="205" t="s">
        <v>1728</v>
      </c>
      <c r="I158" s="205" t="s">
        <v>2503</v>
      </c>
    </row>
    <row r="159" spans="1:9">
      <c r="A159" s="205" t="s">
        <v>1728</v>
      </c>
      <c r="B159" s="205" t="s">
        <v>2505</v>
      </c>
      <c r="C159" s="205" t="s">
        <v>2506</v>
      </c>
      <c r="D159" s="205">
        <v>340</v>
      </c>
      <c r="E159" s="205" t="s">
        <v>2385</v>
      </c>
      <c r="F159" s="205" t="s">
        <v>80</v>
      </c>
      <c r="G159" s="23" t="s">
        <v>80</v>
      </c>
      <c r="H159" s="205" t="s">
        <v>1728</v>
      </c>
      <c r="I159" s="205" t="s">
        <v>2505</v>
      </c>
    </row>
    <row r="160" spans="1:9">
      <c r="A160" s="205" t="s">
        <v>1728</v>
      </c>
      <c r="B160" s="23" t="s">
        <v>2505</v>
      </c>
      <c r="C160" s="23" t="s">
        <v>2506</v>
      </c>
      <c r="D160" s="23">
        <v>340</v>
      </c>
      <c r="E160" s="23" t="s">
        <v>632</v>
      </c>
      <c r="F160" s="23" t="s">
        <v>80</v>
      </c>
      <c r="G160" s="23" t="s">
        <v>80</v>
      </c>
      <c r="H160" s="205" t="s">
        <v>1728</v>
      </c>
      <c r="I160" s="23" t="s">
        <v>2505</v>
      </c>
    </row>
    <row r="161" spans="1:9">
      <c r="A161" s="205" t="s">
        <v>1728</v>
      </c>
      <c r="B161" s="205" t="s">
        <v>2505</v>
      </c>
      <c r="C161" s="205" t="s">
        <v>2506</v>
      </c>
      <c r="D161" s="205">
        <v>340</v>
      </c>
      <c r="E161" s="205" t="s">
        <v>2389</v>
      </c>
      <c r="F161" s="205" t="s">
        <v>80</v>
      </c>
      <c r="G161" s="23" t="s">
        <v>80</v>
      </c>
      <c r="H161" s="205" t="s">
        <v>1728</v>
      </c>
      <c r="I161" s="205" t="s">
        <v>2505</v>
      </c>
    </row>
    <row r="162" spans="1:9">
      <c r="A162" s="205" t="s">
        <v>1728</v>
      </c>
      <c r="B162" s="205" t="s">
        <v>2507</v>
      </c>
      <c r="C162" s="205" t="s">
        <v>2493</v>
      </c>
      <c r="D162" s="205">
        <v>580</v>
      </c>
      <c r="E162" s="205" t="s">
        <v>2385</v>
      </c>
      <c r="F162" s="205" t="s">
        <v>80</v>
      </c>
      <c r="G162" s="23" t="s">
        <v>80</v>
      </c>
      <c r="H162" s="205" t="s">
        <v>1728</v>
      </c>
      <c r="I162" s="205" t="s">
        <v>2507</v>
      </c>
    </row>
    <row r="163" spans="1:9">
      <c r="A163" s="205" t="s">
        <v>1728</v>
      </c>
      <c r="B163" s="23" t="s">
        <v>2507</v>
      </c>
      <c r="C163" s="23" t="s">
        <v>2493</v>
      </c>
      <c r="D163" s="23">
        <v>580</v>
      </c>
      <c r="E163" s="23" t="s">
        <v>632</v>
      </c>
      <c r="F163" s="23" t="s">
        <v>80</v>
      </c>
      <c r="G163" s="23" t="s">
        <v>80</v>
      </c>
      <c r="H163" s="205" t="s">
        <v>1728</v>
      </c>
      <c r="I163" s="23" t="s">
        <v>2507</v>
      </c>
    </row>
    <row r="164" spans="1:9">
      <c r="A164" s="205" t="s">
        <v>1728</v>
      </c>
      <c r="B164" s="205" t="s">
        <v>2507</v>
      </c>
      <c r="C164" s="205" t="s">
        <v>2493</v>
      </c>
      <c r="D164" s="205">
        <v>580</v>
      </c>
      <c r="E164" s="205" t="s">
        <v>2389</v>
      </c>
      <c r="F164" s="205" t="s">
        <v>80</v>
      </c>
      <c r="G164" s="23" t="s">
        <v>80</v>
      </c>
      <c r="H164" s="205" t="s">
        <v>1728</v>
      </c>
      <c r="I164" s="205" t="s">
        <v>2507</v>
      </c>
    </row>
    <row r="165" spans="1:9">
      <c r="A165" s="205" t="s">
        <v>1728</v>
      </c>
      <c r="B165" s="23" t="s">
        <v>2487</v>
      </c>
      <c r="C165" s="23" t="s">
        <v>2488</v>
      </c>
      <c r="D165" s="23">
        <v>304.60000000000002</v>
      </c>
      <c r="E165" s="23" t="s">
        <v>2385</v>
      </c>
      <c r="F165" s="23" t="s">
        <v>2386</v>
      </c>
      <c r="G165" s="23" t="s">
        <v>2509</v>
      </c>
      <c r="H165" s="205" t="s">
        <v>1728</v>
      </c>
      <c r="I165" s="205" t="str">
        <f>Target[[#This Row],[SS1]]</f>
        <v>NIDHI SALES</v>
      </c>
    </row>
    <row r="166" spans="1:9">
      <c r="A166" s="205" t="s">
        <v>1728</v>
      </c>
      <c r="B166" s="23" t="s">
        <v>2489</v>
      </c>
      <c r="C166" s="23" t="s">
        <v>2488</v>
      </c>
      <c r="D166" s="23">
        <v>483</v>
      </c>
      <c r="E166" s="23" t="s">
        <v>2385</v>
      </c>
      <c r="F166" s="23" t="s">
        <v>2386</v>
      </c>
      <c r="G166" s="23" t="s">
        <v>2509</v>
      </c>
      <c r="H166" s="205" t="s">
        <v>1728</v>
      </c>
      <c r="I166" s="23"/>
    </row>
    <row r="167" spans="1:9">
      <c r="A167" s="205" t="s">
        <v>1728</v>
      </c>
      <c r="B167" s="23" t="s">
        <v>2490</v>
      </c>
      <c r="C167" s="23" t="s">
        <v>2491</v>
      </c>
      <c r="D167" s="23">
        <v>179.17</v>
      </c>
      <c r="E167" s="23" t="s">
        <v>2385</v>
      </c>
      <c r="F167" s="23" t="s">
        <v>2386</v>
      </c>
      <c r="G167" s="23" t="s">
        <v>2509</v>
      </c>
      <c r="H167" s="205" t="s">
        <v>1728</v>
      </c>
      <c r="I167" s="23"/>
    </row>
    <row r="168" spans="1:9">
      <c r="A168" s="205" t="s">
        <v>1728</v>
      </c>
      <c r="B168" s="23" t="s">
        <v>2492</v>
      </c>
      <c r="C168" s="23" t="s">
        <v>2493</v>
      </c>
      <c r="D168" s="23">
        <v>314.60000000000002</v>
      </c>
      <c r="E168" s="23" t="s">
        <v>2385</v>
      </c>
      <c r="F168" s="23" t="s">
        <v>2386</v>
      </c>
      <c r="G168" s="23" t="s">
        <v>2509</v>
      </c>
      <c r="H168" s="205" t="s">
        <v>1728</v>
      </c>
      <c r="I168" s="23"/>
    </row>
    <row r="169" spans="1:9">
      <c r="A169" s="205" t="s">
        <v>1728</v>
      </c>
      <c r="B169" s="23" t="s">
        <v>2494</v>
      </c>
      <c r="C169" s="23" t="s">
        <v>2495</v>
      </c>
      <c r="D169" s="23">
        <v>134.55000000000001</v>
      </c>
      <c r="E169" s="23" t="s">
        <v>2385</v>
      </c>
      <c r="F169" s="23" t="s">
        <v>2386</v>
      </c>
      <c r="G169" s="23" t="s">
        <v>2509</v>
      </c>
      <c r="H169" s="205" t="s">
        <v>1728</v>
      </c>
      <c r="I169" s="23"/>
    </row>
    <row r="170" spans="1:9">
      <c r="A170" s="205" t="s">
        <v>1728</v>
      </c>
      <c r="B170" s="23" t="s">
        <v>2496</v>
      </c>
      <c r="C170" s="23" t="s">
        <v>2497</v>
      </c>
      <c r="D170" s="23">
        <v>316.94</v>
      </c>
      <c r="E170" s="23" t="s">
        <v>2385</v>
      </c>
      <c r="F170" s="23" t="s">
        <v>2386</v>
      </c>
      <c r="G170" s="23" t="s">
        <v>2509</v>
      </c>
      <c r="H170" s="205" t="s">
        <v>1728</v>
      </c>
      <c r="I170" s="23"/>
    </row>
    <row r="171" spans="1:9">
      <c r="A171" s="205" t="s">
        <v>1728</v>
      </c>
      <c r="B171" s="23" t="s">
        <v>2498</v>
      </c>
      <c r="C171" s="23" t="s">
        <v>2499</v>
      </c>
      <c r="D171" s="23">
        <v>207.46</v>
      </c>
      <c r="E171" s="23" t="s">
        <v>2385</v>
      </c>
      <c r="F171" s="23" t="s">
        <v>2386</v>
      </c>
      <c r="G171" s="23" t="s">
        <v>2509</v>
      </c>
      <c r="H171" s="205" t="s">
        <v>1728</v>
      </c>
      <c r="I171" s="23"/>
    </row>
    <row r="172" spans="1:9">
      <c r="A172" s="205" t="s">
        <v>1728</v>
      </c>
      <c r="B172" s="23" t="s">
        <v>2500</v>
      </c>
      <c r="C172" s="23" t="s">
        <v>2501</v>
      </c>
      <c r="D172" s="23">
        <v>247.93999999999997</v>
      </c>
      <c r="E172" s="23" t="s">
        <v>2385</v>
      </c>
      <c r="F172" s="23" t="s">
        <v>2386</v>
      </c>
      <c r="G172" s="23" t="s">
        <v>2509</v>
      </c>
      <c r="H172" s="205" t="s">
        <v>1728</v>
      </c>
      <c r="I172" s="23"/>
    </row>
    <row r="173" spans="1:9">
      <c r="A173" s="205" t="s">
        <v>1728</v>
      </c>
      <c r="B173" s="23" t="s">
        <v>2490</v>
      </c>
      <c r="C173" s="23" t="s">
        <v>2502</v>
      </c>
      <c r="D173" s="23">
        <v>557</v>
      </c>
      <c r="E173" s="23" t="s">
        <v>2385</v>
      </c>
      <c r="F173" s="23" t="s">
        <v>2386</v>
      </c>
      <c r="G173" s="23" t="s">
        <v>2509</v>
      </c>
      <c r="H173" s="205" t="s">
        <v>1728</v>
      </c>
      <c r="I173" s="23"/>
    </row>
    <row r="174" spans="1:9">
      <c r="A174" s="205" t="s">
        <v>1728</v>
      </c>
      <c r="B174" s="23" t="s">
        <v>2503</v>
      </c>
      <c r="C174" s="23" t="s">
        <v>2504</v>
      </c>
      <c r="D174" s="23">
        <v>124.43</v>
      </c>
      <c r="E174" s="23" t="s">
        <v>2385</v>
      </c>
      <c r="F174" s="23" t="s">
        <v>2386</v>
      </c>
      <c r="G174" s="23" t="s">
        <v>2509</v>
      </c>
      <c r="H174" s="205" t="s">
        <v>1728</v>
      </c>
      <c r="I174" s="23"/>
    </row>
    <row r="175" spans="1:9">
      <c r="A175" s="205" t="s">
        <v>1728</v>
      </c>
      <c r="B175" s="23" t="s">
        <v>2505</v>
      </c>
      <c r="C175" s="23" t="s">
        <v>2506</v>
      </c>
      <c r="D175" s="23">
        <v>68</v>
      </c>
      <c r="E175" s="23" t="s">
        <v>2385</v>
      </c>
      <c r="F175" s="23" t="s">
        <v>2386</v>
      </c>
      <c r="G175" s="23" t="s">
        <v>2509</v>
      </c>
      <c r="H175" s="205" t="s">
        <v>1728</v>
      </c>
      <c r="I175" s="23"/>
    </row>
    <row r="176" spans="1:9">
      <c r="A176" s="205" t="s">
        <v>1728</v>
      </c>
      <c r="B176" s="23" t="s">
        <v>2507</v>
      </c>
      <c r="C176" s="23" t="s">
        <v>2493</v>
      </c>
      <c r="D176" s="23">
        <v>116</v>
      </c>
      <c r="E176" s="23" t="s">
        <v>2385</v>
      </c>
      <c r="F176" s="23" t="s">
        <v>2386</v>
      </c>
      <c r="G176" s="23" t="s">
        <v>2509</v>
      </c>
      <c r="H176" s="205" t="s">
        <v>1728</v>
      </c>
      <c r="I176" s="23"/>
    </row>
    <row r="177" spans="1:9">
      <c r="A177" s="205" t="s">
        <v>1728</v>
      </c>
      <c r="B177" s="23" t="s">
        <v>2487</v>
      </c>
      <c r="C177" s="23" t="s">
        <v>2488</v>
      </c>
      <c r="D177" s="23">
        <v>456.9</v>
      </c>
      <c r="E177" s="23" t="s">
        <v>2385</v>
      </c>
      <c r="F177" s="23" t="s">
        <v>797</v>
      </c>
      <c r="G177" s="23" t="s">
        <v>797</v>
      </c>
      <c r="H177" s="205" t="s">
        <v>1728</v>
      </c>
      <c r="I177" s="23"/>
    </row>
    <row r="178" spans="1:9">
      <c r="A178" s="205" t="s">
        <v>1728</v>
      </c>
      <c r="B178" s="23" t="s">
        <v>2489</v>
      </c>
      <c r="C178" s="23" t="s">
        <v>2488</v>
      </c>
      <c r="D178" s="23">
        <v>724.5</v>
      </c>
      <c r="E178" s="23" t="s">
        <v>2385</v>
      </c>
      <c r="F178" s="23" t="s">
        <v>797</v>
      </c>
      <c r="G178" s="23" t="s">
        <v>797</v>
      </c>
      <c r="H178" s="205" t="s">
        <v>1728</v>
      </c>
      <c r="I178" s="23"/>
    </row>
    <row r="179" spans="1:9">
      <c r="A179" s="205" t="s">
        <v>1728</v>
      </c>
      <c r="B179" s="23" t="s">
        <v>2490</v>
      </c>
      <c r="C179" s="23" t="s">
        <v>2491</v>
      </c>
      <c r="D179" s="23">
        <v>268.75499999999994</v>
      </c>
      <c r="E179" s="23" t="s">
        <v>2385</v>
      </c>
      <c r="F179" s="23" t="s">
        <v>797</v>
      </c>
      <c r="G179" s="23" t="s">
        <v>797</v>
      </c>
      <c r="H179" s="205" t="s">
        <v>1728</v>
      </c>
      <c r="I179" s="23"/>
    </row>
    <row r="180" spans="1:9">
      <c r="A180" s="205" t="s">
        <v>1728</v>
      </c>
      <c r="B180" s="23" t="s">
        <v>2492</v>
      </c>
      <c r="C180" s="23" t="s">
        <v>2493</v>
      </c>
      <c r="D180" s="23">
        <v>471.9</v>
      </c>
      <c r="E180" s="23" t="s">
        <v>2385</v>
      </c>
      <c r="F180" s="23" t="s">
        <v>797</v>
      </c>
      <c r="G180" s="23" t="s">
        <v>797</v>
      </c>
      <c r="H180" s="205" t="s">
        <v>1728</v>
      </c>
      <c r="I180" s="23"/>
    </row>
    <row r="181" spans="1:9">
      <c r="A181" s="205" t="s">
        <v>1728</v>
      </c>
      <c r="B181" s="23" t="s">
        <v>2494</v>
      </c>
      <c r="C181" s="23" t="s">
        <v>2495</v>
      </c>
      <c r="D181" s="23">
        <v>201.82499999999999</v>
      </c>
      <c r="E181" s="23" t="s">
        <v>2385</v>
      </c>
      <c r="F181" s="23" t="s">
        <v>797</v>
      </c>
      <c r="G181" s="23" t="s">
        <v>797</v>
      </c>
      <c r="H181" s="205" t="s">
        <v>1728</v>
      </c>
      <c r="I181" s="23"/>
    </row>
    <row r="182" spans="1:9">
      <c r="A182" s="205" t="s">
        <v>1728</v>
      </c>
      <c r="B182" s="23" t="s">
        <v>2496</v>
      </c>
      <c r="C182" s="23" t="s">
        <v>2497</v>
      </c>
      <c r="D182" s="23">
        <v>475.40999999999991</v>
      </c>
      <c r="E182" s="23" t="s">
        <v>2385</v>
      </c>
      <c r="F182" s="23" t="s">
        <v>797</v>
      </c>
      <c r="G182" s="23" t="s">
        <v>797</v>
      </c>
      <c r="H182" s="205" t="s">
        <v>1728</v>
      </c>
      <c r="I182" s="23"/>
    </row>
    <row r="183" spans="1:9">
      <c r="A183" s="205" t="s">
        <v>1728</v>
      </c>
      <c r="B183" s="23" t="s">
        <v>2498</v>
      </c>
      <c r="C183" s="23" t="s">
        <v>2499</v>
      </c>
      <c r="D183" s="23">
        <v>311.19</v>
      </c>
      <c r="E183" s="23" t="s">
        <v>2385</v>
      </c>
      <c r="F183" s="23" t="s">
        <v>797</v>
      </c>
      <c r="G183" s="23" t="s">
        <v>797</v>
      </c>
      <c r="H183" s="205" t="s">
        <v>1728</v>
      </c>
      <c r="I183" s="23"/>
    </row>
    <row r="184" spans="1:9">
      <c r="A184" s="205" t="s">
        <v>1728</v>
      </c>
      <c r="B184" s="23" t="s">
        <v>2500</v>
      </c>
      <c r="C184" s="23" t="s">
        <v>2501</v>
      </c>
      <c r="D184" s="23">
        <v>371.90999999999991</v>
      </c>
      <c r="E184" s="23" t="s">
        <v>2385</v>
      </c>
      <c r="F184" s="23" t="s">
        <v>797</v>
      </c>
      <c r="G184" s="23" t="s">
        <v>797</v>
      </c>
      <c r="H184" s="205" t="s">
        <v>1728</v>
      </c>
      <c r="I184" s="23"/>
    </row>
    <row r="185" spans="1:9">
      <c r="A185" s="205" t="s">
        <v>1728</v>
      </c>
      <c r="B185" s="23" t="s">
        <v>2490</v>
      </c>
      <c r="C185" s="23" t="s">
        <v>2502</v>
      </c>
      <c r="D185" s="23">
        <v>835.5</v>
      </c>
      <c r="E185" s="23" t="s">
        <v>2385</v>
      </c>
      <c r="F185" s="23" t="s">
        <v>797</v>
      </c>
      <c r="G185" s="23" t="s">
        <v>797</v>
      </c>
      <c r="H185" s="205" t="s">
        <v>1728</v>
      </c>
      <c r="I185" s="23"/>
    </row>
    <row r="186" spans="1:9">
      <c r="A186" s="205" t="s">
        <v>1728</v>
      </c>
      <c r="B186" s="23" t="s">
        <v>2503</v>
      </c>
      <c r="C186" s="23" t="s">
        <v>2504</v>
      </c>
      <c r="D186" s="23">
        <v>186.64499999999998</v>
      </c>
      <c r="E186" s="23" t="s">
        <v>2385</v>
      </c>
      <c r="F186" s="23" t="s">
        <v>797</v>
      </c>
      <c r="G186" s="23" t="s">
        <v>797</v>
      </c>
      <c r="H186" s="205" t="s">
        <v>1728</v>
      </c>
      <c r="I186" s="23"/>
    </row>
    <row r="187" spans="1:9">
      <c r="A187" s="205" t="s">
        <v>1728</v>
      </c>
      <c r="B187" s="23" t="s">
        <v>2505</v>
      </c>
      <c r="C187" s="23" t="s">
        <v>2506</v>
      </c>
      <c r="D187" s="23">
        <v>102</v>
      </c>
      <c r="E187" s="23" t="s">
        <v>2385</v>
      </c>
      <c r="F187" s="23" t="s">
        <v>797</v>
      </c>
      <c r="G187" s="23" t="s">
        <v>797</v>
      </c>
      <c r="H187" s="205" t="s">
        <v>1728</v>
      </c>
      <c r="I187" s="23"/>
    </row>
    <row r="188" spans="1:9">
      <c r="A188" s="205" t="s">
        <v>1728</v>
      </c>
      <c r="B188" s="23" t="s">
        <v>2507</v>
      </c>
      <c r="C188" s="23" t="s">
        <v>2493</v>
      </c>
      <c r="D188" s="23">
        <v>174</v>
      </c>
      <c r="E188" s="23" t="s">
        <v>2385</v>
      </c>
      <c r="F188" s="23" t="s">
        <v>797</v>
      </c>
      <c r="G188" s="23" t="s">
        <v>797</v>
      </c>
      <c r="H188" s="205" t="s">
        <v>1728</v>
      </c>
      <c r="I188" s="23"/>
    </row>
    <row r="189" spans="1:9">
      <c r="A189" s="205" t="s">
        <v>1728</v>
      </c>
      <c r="B189" s="215" t="s">
        <v>2487</v>
      </c>
      <c r="C189" s="215" t="s">
        <v>2488</v>
      </c>
      <c r="D189" s="23">
        <v>304.60000000000002</v>
      </c>
      <c r="E189" s="23" t="s">
        <v>632</v>
      </c>
      <c r="F189" s="23" t="s">
        <v>2386</v>
      </c>
      <c r="G189" s="23" t="s">
        <v>2509</v>
      </c>
      <c r="H189" s="205" t="s">
        <v>1728</v>
      </c>
      <c r="I189" s="23"/>
    </row>
    <row r="190" spans="1:9">
      <c r="A190" s="205" t="s">
        <v>1728</v>
      </c>
      <c r="B190" s="215" t="s">
        <v>2489</v>
      </c>
      <c r="C190" s="215" t="s">
        <v>2488</v>
      </c>
      <c r="D190" s="23">
        <v>502.55</v>
      </c>
      <c r="E190" s="23" t="s">
        <v>632</v>
      </c>
      <c r="F190" s="23" t="s">
        <v>2386</v>
      </c>
      <c r="G190" s="23" t="s">
        <v>2509</v>
      </c>
      <c r="H190" s="205" t="s">
        <v>1728</v>
      </c>
      <c r="I190" s="23"/>
    </row>
    <row r="191" spans="1:9">
      <c r="A191" s="205" t="s">
        <v>1728</v>
      </c>
      <c r="B191" s="215" t="s">
        <v>2490</v>
      </c>
      <c r="C191" s="215" t="s">
        <v>2491</v>
      </c>
      <c r="D191" s="23">
        <v>179.17</v>
      </c>
      <c r="E191" s="23" t="s">
        <v>632</v>
      </c>
      <c r="F191" s="23" t="s">
        <v>2386</v>
      </c>
      <c r="G191" s="23" t="s">
        <v>2509</v>
      </c>
      <c r="H191" s="205" t="s">
        <v>1728</v>
      </c>
      <c r="I191" s="23"/>
    </row>
    <row r="192" spans="1:9">
      <c r="A192" s="205" t="s">
        <v>1728</v>
      </c>
      <c r="B192" s="215" t="s">
        <v>2492</v>
      </c>
      <c r="C192" s="215" t="s">
        <v>2493</v>
      </c>
      <c r="D192" s="23">
        <v>325.45</v>
      </c>
      <c r="E192" s="23" t="s">
        <v>632</v>
      </c>
      <c r="F192" s="23" t="s">
        <v>2386</v>
      </c>
      <c r="G192" s="23" t="s">
        <v>2509</v>
      </c>
      <c r="H192" s="205" t="s">
        <v>1728</v>
      </c>
      <c r="I192" s="23"/>
    </row>
    <row r="193" spans="1:9">
      <c r="A193" s="205" t="s">
        <v>1728</v>
      </c>
      <c r="B193" s="215" t="s">
        <v>2494</v>
      </c>
      <c r="C193" s="215" t="s">
        <v>2495</v>
      </c>
      <c r="D193" s="23">
        <v>134.55000000000001</v>
      </c>
      <c r="E193" s="23" t="s">
        <v>632</v>
      </c>
      <c r="F193" s="23" t="s">
        <v>2386</v>
      </c>
      <c r="G193" s="23" t="s">
        <v>2509</v>
      </c>
      <c r="H193" s="205" t="s">
        <v>1728</v>
      </c>
      <c r="I193" s="23"/>
    </row>
    <row r="194" spans="1:9">
      <c r="A194" s="205" t="s">
        <v>1728</v>
      </c>
      <c r="B194" s="215" t="s">
        <v>2496</v>
      </c>
      <c r="C194" s="215" t="s">
        <v>2497</v>
      </c>
      <c r="D194" s="23">
        <v>322.46000000000004</v>
      </c>
      <c r="E194" s="23" t="s">
        <v>632</v>
      </c>
      <c r="F194" s="23" t="s">
        <v>2386</v>
      </c>
      <c r="G194" s="23" t="s">
        <v>2509</v>
      </c>
      <c r="H194" s="205" t="s">
        <v>1728</v>
      </c>
      <c r="I194" s="23"/>
    </row>
    <row r="195" spans="1:9">
      <c r="A195" s="205" t="s">
        <v>1728</v>
      </c>
      <c r="B195" s="215" t="s">
        <v>2498</v>
      </c>
      <c r="C195" s="215" t="s">
        <v>2499</v>
      </c>
      <c r="D195" s="23">
        <v>207.46</v>
      </c>
      <c r="E195" s="23" t="s">
        <v>632</v>
      </c>
      <c r="F195" s="23" t="s">
        <v>2386</v>
      </c>
      <c r="G195" s="23" t="s">
        <v>2509</v>
      </c>
      <c r="H195" s="205" t="s">
        <v>1728</v>
      </c>
      <c r="I195" s="23"/>
    </row>
    <row r="196" spans="1:9">
      <c r="A196" s="205" t="s">
        <v>1728</v>
      </c>
      <c r="B196" s="215" t="s">
        <v>2500</v>
      </c>
      <c r="C196" s="215" t="s">
        <v>2501</v>
      </c>
      <c r="D196" s="23">
        <v>247.93999999999997</v>
      </c>
      <c r="E196" s="23" t="s">
        <v>632</v>
      </c>
      <c r="F196" s="23" t="s">
        <v>2386</v>
      </c>
      <c r="G196" s="23" t="s">
        <v>2509</v>
      </c>
      <c r="H196" s="205" t="s">
        <v>1728</v>
      </c>
      <c r="I196" s="23"/>
    </row>
    <row r="197" spans="1:9">
      <c r="A197" s="205" t="s">
        <v>1728</v>
      </c>
      <c r="B197" s="215" t="s">
        <v>2490</v>
      </c>
      <c r="C197" s="215" t="s">
        <v>2502</v>
      </c>
      <c r="D197" s="23">
        <v>557</v>
      </c>
      <c r="E197" s="23" t="s">
        <v>632</v>
      </c>
      <c r="F197" s="23" t="s">
        <v>2386</v>
      </c>
      <c r="G197" s="23" t="s">
        <v>2509</v>
      </c>
      <c r="H197" s="205" t="s">
        <v>1728</v>
      </c>
      <c r="I197" s="23"/>
    </row>
    <row r="198" spans="1:9">
      <c r="A198" s="205" t="s">
        <v>1728</v>
      </c>
      <c r="B198" s="215" t="s">
        <v>2503</v>
      </c>
      <c r="C198" s="215" t="s">
        <v>2504</v>
      </c>
      <c r="D198" s="23">
        <v>124.43</v>
      </c>
      <c r="E198" s="23" t="s">
        <v>632</v>
      </c>
      <c r="F198" s="23" t="s">
        <v>2386</v>
      </c>
      <c r="G198" s="23" t="s">
        <v>2509</v>
      </c>
      <c r="H198" s="205" t="s">
        <v>1728</v>
      </c>
      <c r="I198" s="23"/>
    </row>
    <row r="199" spans="1:9">
      <c r="A199" s="205" t="s">
        <v>1728</v>
      </c>
      <c r="B199" s="215" t="s">
        <v>2505</v>
      </c>
      <c r="C199" s="215" t="s">
        <v>2506</v>
      </c>
      <c r="D199" s="23">
        <v>68</v>
      </c>
      <c r="E199" s="23" t="s">
        <v>632</v>
      </c>
      <c r="F199" s="23" t="s">
        <v>2386</v>
      </c>
      <c r="G199" s="23" t="s">
        <v>2509</v>
      </c>
      <c r="H199" s="205" t="s">
        <v>1728</v>
      </c>
      <c r="I199" s="23"/>
    </row>
    <row r="200" spans="1:9">
      <c r="A200" s="205" t="s">
        <v>1728</v>
      </c>
      <c r="B200" s="215" t="s">
        <v>2507</v>
      </c>
      <c r="C200" s="215" t="s">
        <v>2493</v>
      </c>
      <c r="D200" s="23">
        <v>116</v>
      </c>
      <c r="E200" s="23" t="s">
        <v>632</v>
      </c>
      <c r="F200" s="23" t="s">
        <v>2386</v>
      </c>
      <c r="G200" s="23" t="s">
        <v>2509</v>
      </c>
      <c r="H200" s="205" t="s">
        <v>1728</v>
      </c>
      <c r="I200" s="23"/>
    </row>
    <row r="201" spans="1:9">
      <c r="A201" s="205" t="s">
        <v>1728</v>
      </c>
      <c r="B201" s="215" t="s">
        <v>2487</v>
      </c>
      <c r="C201" s="215" t="s">
        <v>2488</v>
      </c>
      <c r="D201" s="23">
        <v>456.9</v>
      </c>
      <c r="E201" s="23" t="s">
        <v>632</v>
      </c>
      <c r="F201" s="23" t="s">
        <v>797</v>
      </c>
      <c r="G201" s="23" t="s">
        <v>797</v>
      </c>
      <c r="H201" s="205" t="s">
        <v>1728</v>
      </c>
      <c r="I201" s="23"/>
    </row>
    <row r="202" spans="1:9">
      <c r="A202" s="205" t="s">
        <v>1728</v>
      </c>
      <c r="B202" s="215" t="s">
        <v>2489</v>
      </c>
      <c r="C202" s="215" t="s">
        <v>2488</v>
      </c>
      <c r="D202" s="23">
        <v>753.82499999999993</v>
      </c>
      <c r="E202" s="23" t="s">
        <v>632</v>
      </c>
      <c r="F202" s="23" t="s">
        <v>797</v>
      </c>
      <c r="G202" s="23" t="s">
        <v>797</v>
      </c>
      <c r="H202" s="205" t="s">
        <v>1728</v>
      </c>
      <c r="I202" s="23"/>
    </row>
    <row r="203" spans="1:9">
      <c r="A203" s="205" t="s">
        <v>1728</v>
      </c>
      <c r="B203" s="215" t="s">
        <v>2490</v>
      </c>
      <c r="C203" s="215" t="s">
        <v>2491</v>
      </c>
      <c r="D203" s="23">
        <v>268.75499999999994</v>
      </c>
      <c r="E203" s="23" t="s">
        <v>632</v>
      </c>
      <c r="F203" s="23" t="s">
        <v>797</v>
      </c>
      <c r="G203" s="23" t="s">
        <v>797</v>
      </c>
      <c r="H203" s="205" t="s">
        <v>1728</v>
      </c>
      <c r="I203" s="23"/>
    </row>
    <row r="204" spans="1:9">
      <c r="A204" s="205" t="s">
        <v>1728</v>
      </c>
      <c r="B204" s="215" t="s">
        <v>2492</v>
      </c>
      <c r="C204" s="215" t="s">
        <v>2493</v>
      </c>
      <c r="D204" s="23">
        <v>488.1749999999999</v>
      </c>
      <c r="E204" s="23" t="s">
        <v>632</v>
      </c>
      <c r="F204" s="23" t="s">
        <v>797</v>
      </c>
      <c r="G204" s="23" t="s">
        <v>797</v>
      </c>
      <c r="H204" s="205" t="s">
        <v>1728</v>
      </c>
      <c r="I204" s="23"/>
    </row>
    <row r="205" spans="1:9">
      <c r="A205" s="205" t="s">
        <v>1728</v>
      </c>
      <c r="B205" s="215" t="s">
        <v>2494</v>
      </c>
      <c r="C205" s="215" t="s">
        <v>2495</v>
      </c>
      <c r="D205" s="23">
        <v>201.82499999999999</v>
      </c>
      <c r="E205" s="23" t="s">
        <v>632</v>
      </c>
      <c r="F205" s="23" t="s">
        <v>797</v>
      </c>
      <c r="G205" s="23" t="s">
        <v>797</v>
      </c>
      <c r="H205" s="205" t="s">
        <v>1728</v>
      </c>
      <c r="I205" s="23"/>
    </row>
    <row r="206" spans="1:9">
      <c r="A206" s="205" t="s">
        <v>1728</v>
      </c>
      <c r="B206" s="215" t="s">
        <v>2496</v>
      </c>
      <c r="C206" s="215" t="s">
        <v>2497</v>
      </c>
      <c r="D206" s="23">
        <v>483.68999999999994</v>
      </c>
      <c r="E206" s="23" t="s">
        <v>632</v>
      </c>
      <c r="F206" s="23" t="s">
        <v>797</v>
      </c>
      <c r="G206" s="23" t="s">
        <v>797</v>
      </c>
      <c r="H206" s="205" t="s">
        <v>1728</v>
      </c>
      <c r="I206" s="23"/>
    </row>
    <row r="207" spans="1:9">
      <c r="A207" s="205" t="s">
        <v>1728</v>
      </c>
      <c r="B207" s="215" t="s">
        <v>2498</v>
      </c>
      <c r="C207" s="215" t="s">
        <v>2499</v>
      </c>
      <c r="D207" s="23">
        <v>311.19</v>
      </c>
      <c r="E207" s="23" t="s">
        <v>632</v>
      </c>
      <c r="F207" s="23" t="s">
        <v>797</v>
      </c>
      <c r="G207" s="23" t="s">
        <v>797</v>
      </c>
      <c r="H207" s="205" t="s">
        <v>1728</v>
      </c>
      <c r="I207" s="23"/>
    </row>
    <row r="208" spans="1:9">
      <c r="A208" s="205" t="s">
        <v>1728</v>
      </c>
      <c r="B208" s="215" t="s">
        <v>2500</v>
      </c>
      <c r="C208" s="215" t="s">
        <v>2501</v>
      </c>
      <c r="D208" s="23">
        <v>371.90999999999991</v>
      </c>
      <c r="E208" s="23" t="s">
        <v>632</v>
      </c>
      <c r="F208" s="23" t="s">
        <v>797</v>
      </c>
      <c r="G208" s="23" t="s">
        <v>797</v>
      </c>
      <c r="H208" s="205" t="s">
        <v>1728</v>
      </c>
      <c r="I208" s="23"/>
    </row>
    <row r="209" spans="1:9">
      <c r="A209" s="205" t="s">
        <v>1728</v>
      </c>
      <c r="B209" s="215" t="s">
        <v>2490</v>
      </c>
      <c r="C209" s="215" t="s">
        <v>2502</v>
      </c>
      <c r="D209" s="23">
        <v>835.5</v>
      </c>
      <c r="E209" s="23" t="s">
        <v>632</v>
      </c>
      <c r="F209" s="23" t="s">
        <v>797</v>
      </c>
      <c r="G209" s="23" t="s">
        <v>797</v>
      </c>
      <c r="H209" s="205" t="s">
        <v>1728</v>
      </c>
      <c r="I209" s="23"/>
    </row>
    <row r="210" spans="1:9">
      <c r="A210" s="205" t="s">
        <v>1728</v>
      </c>
      <c r="B210" s="215" t="s">
        <v>2503</v>
      </c>
      <c r="C210" s="215" t="s">
        <v>2504</v>
      </c>
      <c r="D210" s="23">
        <v>186.64499999999998</v>
      </c>
      <c r="E210" s="23" t="s">
        <v>632</v>
      </c>
      <c r="F210" s="23" t="s">
        <v>797</v>
      </c>
      <c r="G210" s="23" t="s">
        <v>797</v>
      </c>
      <c r="H210" s="205" t="s">
        <v>1728</v>
      </c>
      <c r="I210" s="23"/>
    </row>
    <row r="211" spans="1:9">
      <c r="A211" s="205" t="s">
        <v>1728</v>
      </c>
      <c r="B211" s="215" t="s">
        <v>2505</v>
      </c>
      <c r="C211" s="215" t="s">
        <v>2506</v>
      </c>
      <c r="D211" s="23">
        <v>102</v>
      </c>
      <c r="E211" s="23" t="s">
        <v>632</v>
      </c>
      <c r="F211" s="23" t="s">
        <v>797</v>
      </c>
      <c r="G211" s="23" t="s">
        <v>797</v>
      </c>
      <c r="H211" s="205" t="s">
        <v>1728</v>
      </c>
      <c r="I211" s="23"/>
    </row>
    <row r="212" spans="1:9">
      <c r="A212" s="205" t="s">
        <v>1728</v>
      </c>
      <c r="B212" s="215" t="s">
        <v>2507</v>
      </c>
      <c r="C212" s="215" t="s">
        <v>2493</v>
      </c>
      <c r="D212" s="23">
        <v>174</v>
      </c>
      <c r="E212" s="23" t="s">
        <v>632</v>
      </c>
      <c r="F212" s="23" t="s">
        <v>797</v>
      </c>
      <c r="G212" s="23" t="s">
        <v>797</v>
      </c>
      <c r="H212" s="205" t="s">
        <v>1728</v>
      </c>
      <c r="I212" s="23"/>
    </row>
    <row r="213" spans="1:9">
      <c r="A213" s="205" t="s">
        <v>1728</v>
      </c>
      <c r="B213" s="215" t="s">
        <v>2487</v>
      </c>
      <c r="C213" s="215" t="s">
        <v>2488</v>
      </c>
      <c r="D213" s="23">
        <v>369.84</v>
      </c>
      <c r="E213" s="23" t="s">
        <v>2389</v>
      </c>
      <c r="F213" s="23" t="s">
        <v>2386</v>
      </c>
      <c r="G213" s="23" t="s">
        <v>2509</v>
      </c>
      <c r="H213" s="205" t="s">
        <v>1728</v>
      </c>
      <c r="I213" s="23"/>
    </row>
    <row r="214" spans="1:9">
      <c r="A214" s="205" t="s">
        <v>1728</v>
      </c>
      <c r="B214" s="215" t="s">
        <v>2489</v>
      </c>
      <c r="C214" s="215" t="s">
        <v>2488</v>
      </c>
      <c r="D214" s="23">
        <v>597.99999999999989</v>
      </c>
      <c r="E214" s="23" t="s">
        <v>2389</v>
      </c>
      <c r="F214" s="23" t="s">
        <v>2386</v>
      </c>
      <c r="G214" s="23" t="s">
        <v>2509</v>
      </c>
      <c r="H214" s="205" t="s">
        <v>1728</v>
      </c>
      <c r="I214" s="23"/>
    </row>
    <row r="215" spans="1:9">
      <c r="A215" s="205" t="s">
        <v>1728</v>
      </c>
      <c r="B215" s="215" t="s">
        <v>2490</v>
      </c>
      <c r="C215" s="215" t="s">
        <v>2491</v>
      </c>
      <c r="D215" s="23">
        <v>184</v>
      </c>
      <c r="E215" s="23" t="s">
        <v>2389</v>
      </c>
      <c r="F215" s="23" t="s">
        <v>2386</v>
      </c>
      <c r="G215" s="23" t="s">
        <v>2509</v>
      </c>
      <c r="H215" s="205" t="s">
        <v>1728</v>
      </c>
      <c r="I215" s="23"/>
    </row>
    <row r="216" spans="1:9">
      <c r="A216" s="205" t="s">
        <v>1728</v>
      </c>
      <c r="B216" s="215" t="s">
        <v>2492</v>
      </c>
      <c r="C216" s="215" t="s">
        <v>2493</v>
      </c>
      <c r="D216" s="23">
        <v>391</v>
      </c>
      <c r="E216" s="23" t="s">
        <v>2389</v>
      </c>
      <c r="F216" s="23" t="s">
        <v>2386</v>
      </c>
      <c r="G216" s="23" t="s">
        <v>2509</v>
      </c>
      <c r="H216" s="205" t="s">
        <v>1728</v>
      </c>
      <c r="I216" s="23"/>
    </row>
    <row r="217" spans="1:9">
      <c r="A217" s="205" t="s">
        <v>1728</v>
      </c>
      <c r="B217" s="215" t="s">
        <v>2494</v>
      </c>
      <c r="C217" s="215" t="s">
        <v>2495</v>
      </c>
      <c r="D217" s="23">
        <v>194.35</v>
      </c>
      <c r="E217" s="23" t="s">
        <v>2389</v>
      </c>
      <c r="F217" s="23" t="s">
        <v>2386</v>
      </c>
      <c r="G217" s="23" t="s">
        <v>2509</v>
      </c>
      <c r="H217" s="205" t="s">
        <v>1728</v>
      </c>
      <c r="I217" s="23"/>
    </row>
    <row r="218" spans="1:9">
      <c r="A218" s="205" t="s">
        <v>1728</v>
      </c>
      <c r="B218" s="215" t="s">
        <v>2496</v>
      </c>
      <c r="C218" s="215" t="s">
        <v>2497</v>
      </c>
      <c r="D218" s="23">
        <v>368</v>
      </c>
      <c r="E218" s="23" t="s">
        <v>2389</v>
      </c>
      <c r="F218" s="23" t="s">
        <v>2386</v>
      </c>
      <c r="G218" s="23" t="s">
        <v>2509</v>
      </c>
      <c r="H218" s="205" t="s">
        <v>1728</v>
      </c>
      <c r="I218" s="23"/>
    </row>
    <row r="219" spans="1:9">
      <c r="A219" s="205" t="s">
        <v>1728</v>
      </c>
      <c r="B219" s="215" t="s">
        <v>2498</v>
      </c>
      <c r="C219" s="215" t="s">
        <v>2499</v>
      </c>
      <c r="D219" s="23">
        <v>241.5</v>
      </c>
      <c r="E219" s="23" t="s">
        <v>2389</v>
      </c>
      <c r="F219" s="23" t="s">
        <v>2386</v>
      </c>
      <c r="G219" s="23" t="s">
        <v>2509</v>
      </c>
      <c r="H219" s="205" t="s">
        <v>1728</v>
      </c>
      <c r="I219" s="23"/>
    </row>
    <row r="220" spans="1:9">
      <c r="A220" s="205" t="s">
        <v>1728</v>
      </c>
      <c r="B220" s="215" t="s">
        <v>2500</v>
      </c>
      <c r="C220" s="215" t="s">
        <v>2501</v>
      </c>
      <c r="D220" s="23">
        <v>264.72999999999996</v>
      </c>
      <c r="E220" s="23" t="s">
        <v>2389</v>
      </c>
      <c r="F220" s="23" t="s">
        <v>2386</v>
      </c>
      <c r="G220" s="23" t="s">
        <v>2509</v>
      </c>
      <c r="H220" s="205" t="s">
        <v>1728</v>
      </c>
      <c r="I220" s="23"/>
    </row>
    <row r="221" spans="1:9">
      <c r="A221" s="205" t="s">
        <v>1728</v>
      </c>
      <c r="B221" s="215" t="s">
        <v>2490</v>
      </c>
      <c r="C221" s="215" t="s">
        <v>2502</v>
      </c>
      <c r="D221" s="23">
        <v>736.23</v>
      </c>
      <c r="E221" s="23" t="s">
        <v>2389</v>
      </c>
      <c r="F221" s="23" t="s">
        <v>2386</v>
      </c>
      <c r="G221" s="23" t="s">
        <v>2509</v>
      </c>
      <c r="H221" s="205" t="s">
        <v>1728</v>
      </c>
      <c r="I221" s="23"/>
    </row>
    <row r="222" spans="1:9">
      <c r="A222" s="205" t="s">
        <v>1728</v>
      </c>
      <c r="B222" s="215" t="s">
        <v>2503</v>
      </c>
      <c r="C222" s="215" t="s">
        <v>2504</v>
      </c>
      <c r="D222" s="23">
        <v>125.58</v>
      </c>
      <c r="E222" s="23" t="s">
        <v>2389</v>
      </c>
      <c r="F222" s="23" t="s">
        <v>2386</v>
      </c>
      <c r="G222" s="23" t="s">
        <v>2509</v>
      </c>
      <c r="H222" s="205" t="s">
        <v>1728</v>
      </c>
      <c r="I222" s="23"/>
    </row>
    <row r="223" spans="1:9">
      <c r="A223" s="205" t="s">
        <v>1728</v>
      </c>
      <c r="B223" s="215" t="s">
        <v>2505</v>
      </c>
      <c r="C223" s="215" t="s">
        <v>2506</v>
      </c>
      <c r="D223" s="23">
        <v>68</v>
      </c>
      <c r="E223" s="23" t="s">
        <v>2389</v>
      </c>
      <c r="F223" s="23" t="s">
        <v>2386</v>
      </c>
      <c r="G223" s="23" t="s">
        <v>2509</v>
      </c>
      <c r="H223" s="205" t="s">
        <v>1728</v>
      </c>
      <c r="I223" s="23"/>
    </row>
    <row r="224" spans="1:9">
      <c r="A224" s="205" t="s">
        <v>1728</v>
      </c>
      <c r="B224" s="215" t="s">
        <v>2507</v>
      </c>
      <c r="C224" s="215" t="s">
        <v>2493</v>
      </c>
      <c r="D224" s="23">
        <v>116</v>
      </c>
      <c r="E224" s="23" t="s">
        <v>2389</v>
      </c>
      <c r="F224" s="23" t="s">
        <v>2386</v>
      </c>
      <c r="G224" s="23" t="s">
        <v>2509</v>
      </c>
      <c r="H224" s="205" t="s">
        <v>1728</v>
      </c>
      <c r="I224" s="23"/>
    </row>
    <row r="225" spans="1:9">
      <c r="A225" s="205" t="s">
        <v>1728</v>
      </c>
      <c r="B225" s="215" t="s">
        <v>2487</v>
      </c>
      <c r="C225" s="215" t="s">
        <v>2488</v>
      </c>
      <c r="D225" s="23">
        <v>554.75999999999988</v>
      </c>
      <c r="E225" s="23" t="s">
        <v>2389</v>
      </c>
      <c r="F225" s="23" t="s">
        <v>797</v>
      </c>
      <c r="G225" s="23" t="s">
        <v>797</v>
      </c>
      <c r="H225" s="205" t="s">
        <v>1728</v>
      </c>
      <c r="I225" s="23"/>
    </row>
    <row r="226" spans="1:9">
      <c r="A226" s="205" t="s">
        <v>1728</v>
      </c>
      <c r="B226" s="215" t="s">
        <v>2489</v>
      </c>
      <c r="C226" s="215" t="s">
        <v>2488</v>
      </c>
      <c r="D226" s="23">
        <v>896.99999999999989</v>
      </c>
      <c r="E226" s="23" t="s">
        <v>2389</v>
      </c>
      <c r="F226" s="23" t="s">
        <v>797</v>
      </c>
      <c r="G226" s="23" t="s">
        <v>797</v>
      </c>
      <c r="H226" s="205" t="s">
        <v>1728</v>
      </c>
      <c r="I226" s="23"/>
    </row>
    <row r="227" spans="1:9">
      <c r="A227" s="205" t="s">
        <v>1728</v>
      </c>
      <c r="B227" s="215" t="s">
        <v>2490</v>
      </c>
      <c r="C227" s="215" t="s">
        <v>2491</v>
      </c>
      <c r="D227" s="23">
        <v>275.99999999999994</v>
      </c>
      <c r="E227" s="23" t="s">
        <v>2389</v>
      </c>
      <c r="F227" s="23" t="s">
        <v>797</v>
      </c>
      <c r="G227" s="23" t="s">
        <v>797</v>
      </c>
      <c r="H227" s="205" t="s">
        <v>1728</v>
      </c>
      <c r="I227" s="23"/>
    </row>
    <row r="228" spans="1:9">
      <c r="A228" s="205" t="s">
        <v>1728</v>
      </c>
      <c r="B228" s="215" t="s">
        <v>2492</v>
      </c>
      <c r="C228" s="215" t="s">
        <v>2493</v>
      </c>
      <c r="D228" s="23">
        <v>586.49999999999989</v>
      </c>
      <c r="E228" s="23" t="s">
        <v>2389</v>
      </c>
      <c r="F228" s="23" t="s">
        <v>797</v>
      </c>
      <c r="G228" s="23" t="s">
        <v>797</v>
      </c>
      <c r="H228" s="205" t="s">
        <v>1728</v>
      </c>
      <c r="I228" s="23"/>
    </row>
    <row r="229" spans="1:9">
      <c r="A229" s="205" t="s">
        <v>1728</v>
      </c>
      <c r="B229" s="215" t="s">
        <v>2494</v>
      </c>
      <c r="C229" s="215" t="s">
        <v>2495</v>
      </c>
      <c r="D229" s="23">
        <v>291.52499999999998</v>
      </c>
      <c r="E229" s="23" t="s">
        <v>2389</v>
      </c>
      <c r="F229" s="23" t="s">
        <v>797</v>
      </c>
      <c r="G229" s="23" t="s">
        <v>797</v>
      </c>
      <c r="H229" s="205" t="s">
        <v>1728</v>
      </c>
      <c r="I229" s="23"/>
    </row>
    <row r="230" spans="1:9">
      <c r="A230" s="205" t="s">
        <v>1728</v>
      </c>
      <c r="B230" s="215" t="s">
        <v>2496</v>
      </c>
      <c r="C230" s="215" t="s">
        <v>2497</v>
      </c>
      <c r="D230" s="23">
        <v>551.99999999999989</v>
      </c>
      <c r="E230" s="23" t="s">
        <v>2389</v>
      </c>
      <c r="F230" s="23" t="s">
        <v>797</v>
      </c>
      <c r="G230" s="23" t="s">
        <v>797</v>
      </c>
      <c r="H230" s="205" t="s">
        <v>1728</v>
      </c>
      <c r="I230" s="23"/>
    </row>
    <row r="231" spans="1:9">
      <c r="A231" s="205" t="s">
        <v>1728</v>
      </c>
      <c r="B231" s="215" t="s">
        <v>2498</v>
      </c>
      <c r="C231" s="215" t="s">
        <v>2499</v>
      </c>
      <c r="D231" s="23">
        <v>362.25</v>
      </c>
      <c r="E231" s="23" t="s">
        <v>2389</v>
      </c>
      <c r="F231" s="23" t="s">
        <v>797</v>
      </c>
      <c r="G231" s="23" t="s">
        <v>797</v>
      </c>
      <c r="H231" s="205" t="s">
        <v>1728</v>
      </c>
      <c r="I231" s="23"/>
    </row>
    <row r="232" spans="1:9">
      <c r="A232" s="205" t="s">
        <v>1728</v>
      </c>
      <c r="B232" s="215" t="s">
        <v>2500</v>
      </c>
      <c r="C232" s="215" t="s">
        <v>2501</v>
      </c>
      <c r="D232" s="23">
        <v>397.09499999999997</v>
      </c>
      <c r="E232" s="23" t="s">
        <v>2389</v>
      </c>
      <c r="F232" s="23" t="s">
        <v>797</v>
      </c>
      <c r="G232" s="23" t="s">
        <v>797</v>
      </c>
      <c r="H232" s="205" t="s">
        <v>1728</v>
      </c>
      <c r="I232" s="23"/>
    </row>
    <row r="233" spans="1:9">
      <c r="A233" s="205" t="s">
        <v>1728</v>
      </c>
      <c r="B233" s="215" t="s">
        <v>2490</v>
      </c>
      <c r="C233" s="215" t="s">
        <v>2502</v>
      </c>
      <c r="D233" s="23">
        <v>1104.3449999999998</v>
      </c>
      <c r="E233" s="23" t="s">
        <v>2389</v>
      </c>
      <c r="F233" s="23" t="s">
        <v>797</v>
      </c>
      <c r="G233" s="23" t="s">
        <v>797</v>
      </c>
      <c r="H233" s="205" t="s">
        <v>1728</v>
      </c>
      <c r="I233" s="23"/>
    </row>
    <row r="234" spans="1:9">
      <c r="A234" s="205" t="s">
        <v>1728</v>
      </c>
      <c r="B234" s="215" t="s">
        <v>2503</v>
      </c>
      <c r="C234" s="215" t="s">
        <v>2504</v>
      </c>
      <c r="D234" s="23">
        <v>188.36999999999998</v>
      </c>
      <c r="E234" s="23" t="s">
        <v>2389</v>
      </c>
      <c r="F234" s="23" t="s">
        <v>797</v>
      </c>
      <c r="G234" s="23" t="s">
        <v>797</v>
      </c>
      <c r="H234" s="205" t="s">
        <v>1728</v>
      </c>
      <c r="I234" s="23"/>
    </row>
    <row r="235" spans="1:9">
      <c r="A235" s="205" t="s">
        <v>1728</v>
      </c>
      <c r="B235" s="215" t="s">
        <v>2505</v>
      </c>
      <c r="C235" s="215" t="s">
        <v>2506</v>
      </c>
      <c r="D235" s="23">
        <v>102</v>
      </c>
      <c r="E235" s="23" t="s">
        <v>2389</v>
      </c>
      <c r="F235" s="23" t="s">
        <v>797</v>
      </c>
      <c r="G235" s="23" t="s">
        <v>797</v>
      </c>
      <c r="H235" s="205" t="s">
        <v>1728</v>
      </c>
      <c r="I235" s="23"/>
    </row>
    <row r="236" spans="1:9">
      <c r="A236" s="205" t="s">
        <v>1728</v>
      </c>
      <c r="B236" s="215" t="s">
        <v>2507</v>
      </c>
      <c r="C236" s="215" t="s">
        <v>2493</v>
      </c>
      <c r="D236" s="23">
        <v>174</v>
      </c>
      <c r="E236" s="23" t="s">
        <v>2389</v>
      </c>
      <c r="F236" s="23" t="s">
        <v>797</v>
      </c>
      <c r="G236" s="23" t="s">
        <v>797</v>
      </c>
      <c r="H236" s="205" t="s">
        <v>1728</v>
      </c>
      <c r="I236" s="23"/>
    </row>
    <row r="237" spans="1:9">
      <c r="A237" s="205" t="s">
        <v>1408</v>
      </c>
      <c r="B237" s="23" t="s">
        <v>2437</v>
      </c>
      <c r="C237" s="23" t="s">
        <v>2438</v>
      </c>
      <c r="D237" s="23">
        <v>241.36199999999997</v>
      </c>
      <c r="E237" s="23" t="s">
        <v>2385</v>
      </c>
      <c r="F237" s="23" t="s">
        <v>2386</v>
      </c>
      <c r="G237" s="23" t="s">
        <v>2509</v>
      </c>
      <c r="H237" s="205" t="s">
        <v>1408</v>
      </c>
      <c r="I237" s="23"/>
    </row>
    <row r="238" spans="1:9">
      <c r="A238" s="205" t="s">
        <v>1408</v>
      </c>
      <c r="B238" s="23" t="s">
        <v>2439</v>
      </c>
      <c r="C238" s="23" t="s">
        <v>2440</v>
      </c>
      <c r="D238" s="23">
        <v>238.25699999999998</v>
      </c>
      <c r="E238" s="23" t="s">
        <v>2385</v>
      </c>
      <c r="F238" s="23" t="s">
        <v>2386</v>
      </c>
      <c r="G238" s="23" t="s">
        <v>2509</v>
      </c>
      <c r="H238" s="205" t="s">
        <v>1408</v>
      </c>
      <c r="I238" s="23"/>
    </row>
    <row r="239" spans="1:9">
      <c r="A239" s="205" t="s">
        <v>1408</v>
      </c>
      <c r="B239" s="23" t="s">
        <v>2441</v>
      </c>
      <c r="C239" s="23" t="s">
        <v>2440</v>
      </c>
      <c r="D239" s="23">
        <v>294.97499999999997</v>
      </c>
      <c r="E239" s="23" t="s">
        <v>2385</v>
      </c>
      <c r="F239" s="23" t="s">
        <v>2386</v>
      </c>
      <c r="G239" s="23" t="s">
        <v>2509</v>
      </c>
      <c r="H239" s="205" t="s">
        <v>1408</v>
      </c>
      <c r="I239" s="23"/>
    </row>
    <row r="240" spans="1:9">
      <c r="A240" s="205" t="s">
        <v>1408</v>
      </c>
      <c r="B240" s="23" t="s">
        <v>2442</v>
      </c>
      <c r="C240" s="23" t="s">
        <v>2443</v>
      </c>
      <c r="D240" s="23">
        <v>214.01999999999998</v>
      </c>
      <c r="E240" s="23" t="s">
        <v>2385</v>
      </c>
      <c r="F240" s="23" t="s">
        <v>2386</v>
      </c>
      <c r="G240" s="23" t="s">
        <v>2509</v>
      </c>
      <c r="H240" s="205" t="s">
        <v>1408</v>
      </c>
      <c r="I240" s="23"/>
    </row>
    <row r="241" spans="1:9">
      <c r="A241" s="205" t="s">
        <v>1408</v>
      </c>
      <c r="B241" s="23" t="s">
        <v>2444</v>
      </c>
      <c r="C241" s="23" t="s">
        <v>2445</v>
      </c>
      <c r="D241" s="23">
        <v>333.68399999999997</v>
      </c>
      <c r="E241" s="23" t="s">
        <v>2385</v>
      </c>
      <c r="F241" s="23" t="s">
        <v>2386</v>
      </c>
      <c r="G241" s="23" t="s">
        <v>2509</v>
      </c>
      <c r="H241" s="205" t="s">
        <v>1408</v>
      </c>
      <c r="I241" s="23"/>
    </row>
    <row r="242" spans="1:9">
      <c r="A242" s="205" t="s">
        <v>1408</v>
      </c>
      <c r="B242" s="23" t="s">
        <v>2446</v>
      </c>
      <c r="C242" s="23" t="s">
        <v>2447</v>
      </c>
      <c r="D242" s="23">
        <v>184.43699999999995</v>
      </c>
      <c r="E242" s="23" t="s">
        <v>2385</v>
      </c>
      <c r="F242" s="23" t="s">
        <v>2386</v>
      </c>
      <c r="G242" s="23" t="s">
        <v>2509</v>
      </c>
      <c r="H242" s="205" t="s">
        <v>1408</v>
      </c>
      <c r="I242" s="23"/>
    </row>
    <row r="243" spans="1:9">
      <c r="A243" s="205" t="s">
        <v>1408</v>
      </c>
      <c r="B243" s="23" t="s">
        <v>2448</v>
      </c>
      <c r="C243" s="23" t="s">
        <v>2449</v>
      </c>
      <c r="D243" s="23">
        <v>251.09099999999995</v>
      </c>
      <c r="E243" s="23" t="s">
        <v>2385</v>
      </c>
      <c r="F243" s="23" t="s">
        <v>2386</v>
      </c>
      <c r="G243" s="23" t="s">
        <v>2509</v>
      </c>
      <c r="H243" s="205" t="s">
        <v>1408</v>
      </c>
      <c r="I243" s="23"/>
    </row>
    <row r="244" spans="1:9">
      <c r="A244" s="205" t="s">
        <v>1408</v>
      </c>
      <c r="B244" s="23" t="s">
        <v>2450</v>
      </c>
      <c r="C244" s="23" t="s">
        <v>2451</v>
      </c>
      <c r="D244" s="23">
        <v>182.51999999999998</v>
      </c>
      <c r="E244" s="23" t="s">
        <v>2385</v>
      </c>
      <c r="F244" s="23" t="s">
        <v>2386</v>
      </c>
      <c r="G244" s="23" t="s">
        <v>2509</v>
      </c>
      <c r="H244" s="205" t="s">
        <v>1408</v>
      </c>
      <c r="I244" s="23"/>
    </row>
    <row r="245" spans="1:9">
      <c r="A245" s="205" t="s">
        <v>1408</v>
      </c>
      <c r="B245" s="23" t="s">
        <v>2452</v>
      </c>
      <c r="C245" s="23" t="s">
        <v>2453</v>
      </c>
      <c r="D245" s="23">
        <v>196.56</v>
      </c>
      <c r="E245" s="23" t="s">
        <v>2385</v>
      </c>
      <c r="F245" s="23" t="s">
        <v>2386</v>
      </c>
      <c r="G245" s="23" t="s">
        <v>2509</v>
      </c>
      <c r="H245" s="205" t="s">
        <v>1408</v>
      </c>
      <c r="I245" s="23"/>
    </row>
    <row r="246" spans="1:9">
      <c r="A246" s="205" t="s">
        <v>1408</v>
      </c>
      <c r="B246" s="23" t="s">
        <v>2454</v>
      </c>
      <c r="C246" s="23" t="s">
        <v>2455</v>
      </c>
      <c r="D246" s="23">
        <v>315.46799999999996</v>
      </c>
      <c r="E246" s="23" t="s">
        <v>2385</v>
      </c>
      <c r="F246" s="23" t="s">
        <v>2386</v>
      </c>
      <c r="G246" s="23" t="s">
        <v>2509</v>
      </c>
      <c r="H246" s="205" t="s">
        <v>1408</v>
      </c>
      <c r="I246" s="23"/>
    </row>
    <row r="247" spans="1:9">
      <c r="A247" s="205" t="s">
        <v>1408</v>
      </c>
      <c r="B247" s="23" t="s">
        <v>2456</v>
      </c>
      <c r="C247" s="23" t="s">
        <v>2457</v>
      </c>
      <c r="D247" s="23">
        <v>153.59399999999999</v>
      </c>
      <c r="E247" s="23" t="s">
        <v>2385</v>
      </c>
      <c r="F247" s="23" t="s">
        <v>2386</v>
      </c>
      <c r="G247" s="23" t="s">
        <v>2509</v>
      </c>
      <c r="H247" s="205" t="s">
        <v>1408</v>
      </c>
      <c r="I247" s="23"/>
    </row>
    <row r="248" spans="1:9">
      <c r="A248" s="205" t="s">
        <v>1408</v>
      </c>
      <c r="B248" s="23" t="s">
        <v>2458</v>
      </c>
      <c r="C248" s="23" t="s">
        <v>2459</v>
      </c>
      <c r="D248" s="23">
        <v>136.61999999999998</v>
      </c>
      <c r="E248" s="23" t="s">
        <v>2385</v>
      </c>
      <c r="F248" s="23" t="s">
        <v>2386</v>
      </c>
      <c r="G248" s="23" t="s">
        <v>2509</v>
      </c>
      <c r="H248" s="205" t="s">
        <v>1408</v>
      </c>
      <c r="I248" s="23"/>
    </row>
    <row r="249" spans="1:9">
      <c r="A249" s="205" t="s">
        <v>1408</v>
      </c>
      <c r="B249" s="23" t="s">
        <v>2460</v>
      </c>
      <c r="C249" s="23" t="s">
        <v>2461</v>
      </c>
      <c r="D249" s="23">
        <v>19.259999999999998</v>
      </c>
      <c r="E249" s="23" t="s">
        <v>2385</v>
      </c>
      <c r="F249" s="23" t="s">
        <v>2386</v>
      </c>
      <c r="G249" s="23" t="s">
        <v>2509</v>
      </c>
      <c r="H249" s="205" t="s">
        <v>1408</v>
      </c>
      <c r="I249" s="23"/>
    </row>
    <row r="250" spans="1:9">
      <c r="A250" s="205" t="s">
        <v>1408</v>
      </c>
      <c r="B250" s="23" t="s">
        <v>2462</v>
      </c>
      <c r="C250" s="23" t="s">
        <v>2463</v>
      </c>
      <c r="D250" s="23">
        <v>20.699999999999996</v>
      </c>
      <c r="E250" s="23" t="s">
        <v>2385</v>
      </c>
      <c r="F250" s="23" t="s">
        <v>2386</v>
      </c>
      <c r="G250" s="23" t="s">
        <v>2509</v>
      </c>
      <c r="H250" s="205" t="s">
        <v>1408</v>
      </c>
      <c r="I250" s="23"/>
    </row>
    <row r="251" spans="1:9">
      <c r="A251" s="205" t="s">
        <v>1408</v>
      </c>
      <c r="B251" s="23" t="s">
        <v>2464</v>
      </c>
      <c r="C251" s="23" t="s">
        <v>2465</v>
      </c>
      <c r="D251" s="23">
        <v>83.16</v>
      </c>
      <c r="E251" s="23" t="s">
        <v>2385</v>
      </c>
      <c r="F251" s="23" t="s">
        <v>2386</v>
      </c>
      <c r="G251" s="23" t="s">
        <v>2509</v>
      </c>
      <c r="H251" s="205" t="s">
        <v>1408</v>
      </c>
      <c r="I251" s="23"/>
    </row>
    <row r="252" spans="1:9">
      <c r="A252" s="205" t="s">
        <v>1408</v>
      </c>
      <c r="B252" s="23" t="s">
        <v>2466</v>
      </c>
      <c r="C252" s="23" t="s">
        <v>2467</v>
      </c>
      <c r="D252" s="23">
        <v>40.5</v>
      </c>
      <c r="E252" s="23" t="s">
        <v>2385</v>
      </c>
      <c r="F252" s="23" t="s">
        <v>2386</v>
      </c>
      <c r="G252" s="23" t="s">
        <v>2509</v>
      </c>
      <c r="H252" s="205" t="s">
        <v>1408</v>
      </c>
      <c r="I252" s="23"/>
    </row>
    <row r="253" spans="1:9">
      <c r="A253" s="205" t="s">
        <v>1408</v>
      </c>
      <c r="B253" s="23" t="s">
        <v>2468</v>
      </c>
      <c r="C253" s="23" t="s">
        <v>2469</v>
      </c>
      <c r="D253" s="23">
        <v>103.86</v>
      </c>
      <c r="E253" s="23" t="s">
        <v>2385</v>
      </c>
      <c r="F253" s="23" t="s">
        <v>2386</v>
      </c>
      <c r="G253" s="23" t="s">
        <v>2509</v>
      </c>
      <c r="H253" s="205" t="s">
        <v>1408</v>
      </c>
      <c r="I253" s="23"/>
    </row>
    <row r="254" spans="1:9">
      <c r="A254" s="205" t="s">
        <v>1408</v>
      </c>
      <c r="B254" s="23" t="s">
        <v>2470</v>
      </c>
      <c r="C254" s="23" t="s">
        <v>2471</v>
      </c>
      <c r="D254" s="23">
        <v>105.83999999999999</v>
      </c>
      <c r="E254" s="23" t="s">
        <v>2385</v>
      </c>
      <c r="F254" s="23" t="s">
        <v>2386</v>
      </c>
      <c r="G254" s="23" t="s">
        <v>2509</v>
      </c>
      <c r="H254" s="205" t="s">
        <v>1408</v>
      </c>
      <c r="I254" s="23"/>
    </row>
    <row r="255" spans="1:9">
      <c r="A255" s="205" t="s">
        <v>1408</v>
      </c>
      <c r="B255" s="23" t="s">
        <v>2472</v>
      </c>
      <c r="C255" s="23" t="s">
        <v>2473</v>
      </c>
      <c r="D255" s="23">
        <v>84.86999999999999</v>
      </c>
      <c r="E255" s="23" t="s">
        <v>2385</v>
      </c>
      <c r="F255" s="23" t="s">
        <v>2386</v>
      </c>
      <c r="G255" s="23" t="s">
        <v>2509</v>
      </c>
      <c r="H255" s="205" t="s">
        <v>1408</v>
      </c>
      <c r="I255" s="23"/>
    </row>
    <row r="256" spans="1:9">
      <c r="A256" s="205" t="s">
        <v>1408</v>
      </c>
      <c r="B256" s="23" t="s">
        <v>2474</v>
      </c>
      <c r="C256" s="23" t="s">
        <v>2475</v>
      </c>
      <c r="D256" s="23">
        <v>41.4</v>
      </c>
      <c r="E256" s="23" t="s">
        <v>2385</v>
      </c>
      <c r="F256" s="23" t="s">
        <v>2386</v>
      </c>
      <c r="G256" s="23" t="s">
        <v>2509</v>
      </c>
      <c r="H256" s="205" t="s">
        <v>1408</v>
      </c>
      <c r="I256" s="23"/>
    </row>
    <row r="257" spans="1:9">
      <c r="A257" s="205" t="s">
        <v>1408</v>
      </c>
      <c r="B257" s="23" t="s">
        <v>2476</v>
      </c>
      <c r="C257" s="23" t="s">
        <v>2453</v>
      </c>
      <c r="D257" s="23">
        <v>130.68</v>
      </c>
      <c r="E257" s="23" t="s">
        <v>2385</v>
      </c>
      <c r="F257" s="23" t="s">
        <v>2386</v>
      </c>
      <c r="G257" s="23" t="s">
        <v>2509</v>
      </c>
      <c r="H257" s="205" t="s">
        <v>1408</v>
      </c>
      <c r="I257" s="23"/>
    </row>
    <row r="258" spans="1:9">
      <c r="A258" s="205" t="s">
        <v>1408</v>
      </c>
      <c r="B258" s="23" t="s">
        <v>2477</v>
      </c>
      <c r="C258" s="23" t="s">
        <v>2478</v>
      </c>
      <c r="D258" s="23">
        <v>36</v>
      </c>
      <c r="E258" s="23" t="s">
        <v>2385</v>
      </c>
      <c r="F258" s="23" t="s">
        <v>2386</v>
      </c>
      <c r="G258" s="23" t="s">
        <v>2509</v>
      </c>
      <c r="H258" s="205" t="s">
        <v>1408</v>
      </c>
      <c r="I258" s="23"/>
    </row>
    <row r="259" spans="1:9">
      <c r="A259" s="205" t="s">
        <v>1408</v>
      </c>
      <c r="B259" s="23" t="s">
        <v>2479</v>
      </c>
      <c r="C259" s="23" t="s">
        <v>2480</v>
      </c>
      <c r="D259" s="23">
        <v>22.769999999999996</v>
      </c>
      <c r="E259" s="23" t="s">
        <v>2385</v>
      </c>
      <c r="F259" s="23" t="s">
        <v>2386</v>
      </c>
      <c r="G259" s="23" t="s">
        <v>2509</v>
      </c>
      <c r="H259" s="205" t="s">
        <v>1408</v>
      </c>
      <c r="I259" s="23"/>
    </row>
    <row r="260" spans="1:9">
      <c r="A260" s="205" t="s">
        <v>1408</v>
      </c>
      <c r="B260" s="23" t="s">
        <v>2481</v>
      </c>
      <c r="C260" s="23" t="s">
        <v>2482</v>
      </c>
      <c r="D260" s="23">
        <v>53.82</v>
      </c>
      <c r="E260" s="23" t="s">
        <v>2385</v>
      </c>
      <c r="F260" s="23" t="s">
        <v>2386</v>
      </c>
      <c r="G260" s="23" t="s">
        <v>2509</v>
      </c>
      <c r="H260" s="205" t="s">
        <v>1408</v>
      </c>
      <c r="I260" s="23"/>
    </row>
    <row r="261" spans="1:9">
      <c r="A261" s="205" t="s">
        <v>1408</v>
      </c>
      <c r="B261" s="23" t="s">
        <v>2483</v>
      </c>
      <c r="C261" s="23" t="s">
        <v>2484</v>
      </c>
      <c r="D261" s="23">
        <v>138.41999999999999</v>
      </c>
      <c r="E261" s="23" t="s">
        <v>2385</v>
      </c>
      <c r="F261" s="23" t="s">
        <v>2386</v>
      </c>
      <c r="G261" s="23" t="s">
        <v>2509</v>
      </c>
      <c r="H261" s="205" t="s">
        <v>1408</v>
      </c>
      <c r="I261" s="23"/>
    </row>
    <row r="262" spans="1:9">
      <c r="A262" s="205" t="s">
        <v>1408</v>
      </c>
      <c r="B262" s="23" t="s">
        <v>2485</v>
      </c>
      <c r="C262" s="23" t="s">
        <v>2486</v>
      </c>
      <c r="D262" s="23">
        <v>142.01999999999998</v>
      </c>
      <c r="E262" s="23" t="s">
        <v>2385</v>
      </c>
      <c r="F262" s="23" t="s">
        <v>2386</v>
      </c>
      <c r="G262" s="23" t="s">
        <v>2509</v>
      </c>
      <c r="H262" s="205" t="s">
        <v>1408</v>
      </c>
      <c r="I262" s="23"/>
    </row>
    <row r="263" spans="1:9">
      <c r="A263" s="205" t="s">
        <v>1408</v>
      </c>
      <c r="B263" s="23" t="s">
        <v>2437</v>
      </c>
      <c r="C263" s="23" t="s">
        <v>2438</v>
      </c>
      <c r="D263" s="23">
        <v>536.36</v>
      </c>
      <c r="E263" s="23" t="s">
        <v>2385</v>
      </c>
      <c r="F263" s="23" t="s">
        <v>797</v>
      </c>
      <c r="G263" s="23" t="s">
        <v>797</v>
      </c>
      <c r="H263" s="205" t="s">
        <v>1408</v>
      </c>
      <c r="I263" s="23"/>
    </row>
    <row r="264" spans="1:9">
      <c r="A264" s="205" t="s">
        <v>1408</v>
      </c>
      <c r="B264" s="23" t="s">
        <v>2439</v>
      </c>
      <c r="C264" s="23" t="s">
        <v>2440</v>
      </c>
      <c r="D264" s="23">
        <v>529.45999999999992</v>
      </c>
      <c r="E264" s="23" t="s">
        <v>2385</v>
      </c>
      <c r="F264" s="23" t="s">
        <v>797</v>
      </c>
      <c r="G264" s="23" t="s">
        <v>797</v>
      </c>
      <c r="H264" s="205" t="s">
        <v>1408</v>
      </c>
      <c r="I264" s="23"/>
    </row>
    <row r="265" spans="1:9">
      <c r="A265" s="205" t="s">
        <v>1408</v>
      </c>
      <c r="B265" s="23" t="s">
        <v>2441</v>
      </c>
      <c r="C265" s="23" t="s">
        <v>2440</v>
      </c>
      <c r="D265" s="23">
        <v>655.5</v>
      </c>
      <c r="E265" s="23" t="s">
        <v>2385</v>
      </c>
      <c r="F265" s="23" t="s">
        <v>797</v>
      </c>
      <c r="G265" s="23" t="s">
        <v>797</v>
      </c>
      <c r="H265" s="205" t="s">
        <v>1408</v>
      </c>
      <c r="I265" s="23"/>
    </row>
    <row r="266" spans="1:9">
      <c r="A266" s="205" t="s">
        <v>1408</v>
      </c>
      <c r="B266" s="23" t="s">
        <v>2442</v>
      </c>
      <c r="C266" s="23" t="s">
        <v>2443</v>
      </c>
      <c r="D266" s="23">
        <v>475.6</v>
      </c>
      <c r="E266" s="23" t="s">
        <v>2385</v>
      </c>
      <c r="F266" s="23" t="s">
        <v>797</v>
      </c>
      <c r="G266" s="23" t="s">
        <v>797</v>
      </c>
      <c r="H266" s="205" t="s">
        <v>1408</v>
      </c>
      <c r="I266" s="23"/>
    </row>
    <row r="267" spans="1:9">
      <c r="A267" s="205" t="s">
        <v>1408</v>
      </c>
      <c r="B267" s="23" t="s">
        <v>2444</v>
      </c>
      <c r="C267" s="23" t="s">
        <v>2445</v>
      </c>
      <c r="D267" s="23">
        <v>741.52</v>
      </c>
      <c r="E267" s="23" t="s">
        <v>2385</v>
      </c>
      <c r="F267" s="23" t="s">
        <v>797</v>
      </c>
      <c r="G267" s="23" t="s">
        <v>797</v>
      </c>
      <c r="H267" s="205" t="s">
        <v>1408</v>
      </c>
      <c r="I267" s="23"/>
    </row>
    <row r="268" spans="1:9">
      <c r="A268" s="205" t="s">
        <v>1408</v>
      </c>
      <c r="B268" s="23" t="s">
        <v>2446</v>
      </c>
      <c r="C268" s="23" t="s">
        <v>2447</v>
      </c>
      <c r="D268" s="23">
        <v>409.85999999999996</v>
      </c>
      <c r="E268" s="23" t="s">
        <v>2385</v>
      </c>
      <c r="F268" s="23" t="s">
        <v>797</v>
      </c>
      <c r="G268" s="23" t="s">
        <v>797</v>
      </c>
      <c r="H268" s="205" t="s">
        <v>1408</v>
      </c>
      <c r="I268" s="23"/>
    </row>
    <row r="269" spans="1:9">
      <c r="A269" s="205" t="s">
        <v>1408</v>
      </c>
      <c r="B269" s="23" t="s">
        <v>2448</v>
      </c>
      <c r="C269" s="23" t="s">
        <v>2449</v>
      </c>
      <c r="D269" s="23">
        <v>557.9799999999999</v>
      </c>
      <c r="E269" s="23" t="s">
        <v>2385</v>
      </c>
      <c r="F269" s="23" t="s">
        <v>797</v>
      </c>
      <c r="G269" s="23" t="s">
        <v>797</v>
      </c>
      <c r="H269" s="205" t="s">
        <v>1408</v>
      </c>
      <c r="I269" s="23"/>
    </row>
    <row r="270" spans="1:9">
      <c r="A270" s="205" t="s">
        <v>1408</v>
      </c>
      <c r="B270" s="23" t="s">
        <v>2450</v>
      </c>
      <c r="C270" s="23" t="s">
        <v>2451</v>
      </c>
      <c r="D270" s="23">
        <v>405.6</v>
      </c>
      <c r="E270" s="23" t="s">
        <v>2385</v>
      </c>
      <c r="F270" s="23" t="s">
        <v>797</v>
      </c>
      <c r="G270" s="23" t="s">
        <v>797</v>
      </c>
      <c r="H270" s="205" t="s">
        <v>1408</v>
      </c>
      <c r="I270" s="23"/>
    </row>
    <row r="271" spans="1:9">
      <c r="A271" s="205" t="s">
        <v>1408</v>
      </c>
      <c r="B271" s="23" t="s">
        <v>2452</v>
      </c>
      <c r="C271" s="23" t="s">
        <v>2453</v>
      </c>
      <c r="D271" s="23">
        <v>436.8</v>
      </c>
      <c r="E271" s="23" t="s">
        <v>2385</v>
      </c>
      <c r="F271" s="23" t="s">
        <v>797</v>
      </c>
      <c r="G271" s="23" t="s">
        <v>797</v>
      </c>
      <c r="H271" s="205" t="s">
        <v>1408</v>
      </c>
      <c r="I271" s="23"/>
    </row>
    <row r="272" spans="1:9">
      <c r="A272" s="205" t="s">
        <v>1408</v>
      </c>
      <c r="B272" s="23" t="s">
        <v>2454</v>
      </c>
      <c r="C272" s="23" t="s">
        <v>2455</v>
      </c>
      <c r="D272" s="23">
        <v>701.04</v>
      </c>
      <c r="E272" s="23" t="s">
        <v>2385</v>
      </c>
      <c r="F272" s="23" t="s">
        <v>797</v>
      </c>
      <c r="G272" s="23" t="s">
        <v>797</v>
      </c>
      <c r="H272" s="205" t="s">
        <v>1408</v>
      </c>
      <c r="I272" s="23"/>
    </row>
    <row r="273" spans="1:9">
      <c r="A273" s="205" t="s">
        <v>1408</v>
      </c>
      <c r="B273" s="23" t="s">
        <v>2456</v>
      </c>
      <c r="C273" s="23" t="s">
        <v>2457</v>
      </c>
      <c r="D273" s="23">
        <v>341.32</v>
      </c>
      <c r="E273" s="23" t="s">
        <v>2385</v>
      </c>
      <c r="F273" s="23" t="s">
        <v>797</v>
      </c>
      <c r="G273" s="23" t="s">
        <v>797</v>
      </c>
      <c r="H273" s="205" t="s">
        <v>1408</v>
      </c>
      <c r="I273" s="23"/>
    </row>
    <row r="274" spans="1:9">
      <c r="A274" s="205" t="s">
        <v>1408</v>
      </c>
      <c r="B274" s="23" t="s">
        <v>2458</v>
      </c>
      <c r="C274" s="23" t="s">
        <v>2459</v>
      </c>
      <c r="D274" s="23">
        <v>303.59999999999997</v>
      </c>
      <c r="E274" s="23" t="s">
        <v>2385</v>
      </c>
      <c r="F274" s="23" t="s">
        <v>797</v>
      </c>
      <c r="G274" s="23" t="s">
        <v>797</v>
      </c>
      <c r="H274" s="205" t="s">
        <v>1408</v>
      </c>
      <c r="I274" s="23"/>
    </row>
    <row r="275" spans="1:9">
      <c r="A275" s="205" t="s">
        <v>1408</v>
      </c>
      <c r="B275" s="23" t="s">
        <v>2460</v>
      </c>
      <c r="C275" s="23" t="s">
        <v>2461</v>
      </c>
      <c r="D275" s="23">
        <v>42.800000000000004</v>
      </c>
      <c r="E275" s="23" t="s">
        <v>2385</v>
      </c>
      <c r="F275" s="23" t="s">
        <v>797</v>
      </c>
      <c r="G275" s="23" t="s">
        <v>797</v>
      </c>
      <c r="H275" s="205" t="s">
        <v>1408</v>
      </c>
      <c r="I275" s="23"/>
    </row>
    <row r="276" spans="1:9">
      <c r="A276" s="205" t="s">
        <v>1408</v>
      </c>
      <c r="B276" s="23" t="s">
        <v>2462</v>
      </c>
      <c r="C276" s="23" t="s">
        <v>2463</v>
      </c>
      <c r="D276" s="23">
        <v>46</v>
      </c>
      <c r="E276" s="23" t="s">
        <v>2385</v>
      </c>
      <c r="F276" s="23" t="s">
        <v>797</v>
      </c>
      <c r="G276" s="23" t="s">
        <v>797</v>
      </c>
      <c r="H276" s="205" t="s">
        <v>1408</v>
      </c>
      <c r="I276" s="23"/>
    </row>
    <row r="277" spans="1:9">
      <c r="A277" s="205" t="s">
        <v>1408</v>
      </c>
      <c r="B277" s="23" t="s">
        <v>2464</v>
      </c>
      <c r="C277" s="23" t="s">
        <v>2465</v>
      </c>
      <c r="D277" s="23">
        <v>184.8</v>
      </c>
      <c r="E277" s="23" t="s">
        <v>2385</v>
      </c>
      <c r="F277" s="23" t="s">
        <v>797</v>
      </c>
      <c r="G277" s="23" t="s">
        <v>797</v>
      </c>
      <c r="H277" s="205" t="s">
        <v>1408</v>
      </c>
      <c r="I277" s="23"/>
    </row>
    <row r="278" spans="1:9">
      <c r="A278" s="205" t="s">
        <v>1408</v>
      </c>
      <c r="B278" s="23" t="s">
        <v>2466</v>
      </c>
      <c r="C278" s="23" t="s">
        <v>2467</v>
      </c>
      <c r="D278" s="23">
        <v>90</v>
      </c>
      <c r="E278" s="23" t="s">
        <v>2385</v>
      </c>
      <c r="F278" s="23" t="s">
        <v>797</v>
      </c>
      <c r="G278" s="23" t="s">
        <v>797</v>
      </c>
      <c r="H278" s="205" t="s">
        <v>1408</v>
      </c>
      <c r="I278" s="23"/>
    </row>
    <row r="279" spans="1:9">
      <c r="A279" s="205" t="s">
        <v>1408</v>
      </c>
      <c r="B279" s="23" t="s">
        <v>2468</v>
      </c>
      <c r="C279" s="23" t="s">
        <v>2469</v>
      </c>
      <c r="D279" s="23">
        <v>230.8</v>
      </c>
      <c r="E279" s="23" t="s">
        <v>2385</v>
      </c>
      <c r="F279" s="23" t="s">
        <v>797</v>
      </c>
      <c r="G279" s="23" t="s">
        <v>797</v>
      </c>
      <c r="H279" s="205" t="s">
        <v>1408</v>
      </c>
      <c r="I279" s="23"/>
    </row>
    <row r="280" spans="1:9">
      <c r="A280" s="205" t="s">
        <v>1408</v>
      </c>
      <c r="B280" s="23" t="s">
        <v>2470</v>
      </c>
      <c r="C280" s="23" t="s">
        <v>2471</v>
      </c>
      <c r="D280" s="23">
        <v>235.20000000000002</v>
      </c>
      <c r="E280" s="23" t="s">
        <v>2385</v>
      </c>
      <c r="F280" s="23" t="s">
        <v>797</v>
      </c>
      <c r="G280" s="23" t="s">
        <v>797</v>
      </c>
      <c r="H280" s="205" t="s">
        <v>1408</v>
      </c>
      <c r="I280" s="23"/>
    </row>
    <row r="281" spans="1:9">
      <c r="A281" s="205" t="s">
        <v>1408</v>
      </c>
      <c r="B281" s="23" t="s">
        <v>2472</v>
      </c>
      <c r="C281" s="23" t="s">
        <v>2473</v>
      </c>
      <c r="D281" s="23">
        <v>188.6</v>
      </c>
      <c r="E281" s="23" t="s">
        <v>2385</v>
      </c>
      <c r="F281" s="23" t="s">
        <v>797</v>
      </c>
      <c r="G281" s="23" t="s">
        <v>797</v>
      </c>
      <c r="H281" s="205" t="s">
        <v>1408</v>
      </c>
      <c r="I281" s="23"/>
    </row>
    <row r="282" spans="1:9">
      <c r="A282" s="205" t="s">
        <v>1408</v>
      </c>
      <c r="B282" s="23" t="s">
        <v>2474</v>
      </c>
      <c r="C282" s="23" t="s">
        <v>2475</v>
      </c>
      <c r="D282" s="23">
        <v>92</v>
      </c>
      <c r="E282" s="23" t="s">
        <v>2385</v>
      </c>
      <c r="F282" s="23" t="s">
        <v>797</v>
      </c>
      <c r="G282" s="23" t="s">
        <v>797</v>
      </c>
      <c r="H282" s="205" t="s">
        <v>1408</v>
      </c>
      <c r="I282" s="23"/>
    </row>
    <row r="283" spans="1:9">
      <c r="A283" s="205" t="s">
        <v>1408</v>
      </c>
      <c r="B283" s="23" t="s">
        <v>2476</v>
      </c>
      <c r="C283" s="23" t="s">
        <v>2453</v>
      </c>
      <c r="D283" s="23">
        <v>290.40000000000003</v>
      </c>
      <c r="E283" s="23" t="s">
        <v>2385</v>
      </c>
      <c r="F283" s="23" t="s">
        <v>797</v>
      </c>
      <c r="G283" s="23" t="s">
        <v>797</v>
      </c>
      <c r="H283" s="205" t="s">
        <v>1408</v>
      </c>
      <c r="I283" s="23"/>
    </row>
    <row r="284" spans="1:9">
      <c r="A284" s="205" t="s">
        <v>1408</v>
      </c>
      <c r="B284" s="23" t="s">
        <v>2477</v>
      </c>
      <c r="C284" s="23" t="s">
        <v>2478</v>
      </c>
      <c r="D284" s="23">
        <v>80</v>
      </c>
      <c r="E284" s="23" t="s">
        <v>2385</v>
      </c>
      <c r="F284" s="23" t="s">
        <v>797</v>
      </c>
      <c r="G284" s="23" t="s">
        <v>797</v>
      </c>
      <c r="H284" s="205" t="s">
        <v>1408</v>
      </c>
      <c r="I284" s="23"/>
    </row>
    <row r="285" spans="1:9">
      <c r="A285" s="205" t="s">
        <v>1408</v>
      </c>
      <c r="B285" s="23" t="s">
        <v>2479</v>
      </c>
      <c r="C285" s="23" t="s">
        <v>2480</v>
      </c>
      <c r="D285" s="23">
        <v>50.599999999999994</v>
      </c>
      <c r="E285" s="23" t="s">
        <v>2385</v>
      </c>
      <c r="F285" s="23" t="s">
        <v>797</v>
      </c>
      <c r="G285" s="23" t="s">
        <v>797</v>
      </c>
      <c r="H285" s="205" t="s">
        <v>1408</v>
      </c>
      <c r="I285" s="23"/>
    </row>
    <row r="286" spans="1:9">
      <c r="A286" s="205" t="s">
        <v>1408</v>
      </c>
      <c r="B286" s="23" t="s">
        <v>2481</v>
      </c>
      <c r="C286" s="23" t="s">
        <v>2482</v>
      </c>
      <c r="D286" s="23">
        <v>119.60000000000001</v>
      </c>
      <c r="E286" s="23" t="s">
        <v>2385</v>
      </c>
      <c r="F286" s="23" t="s">
        <v>797</v>
      </c>
      <c r="G286" s="23" t="s">
        <v>797</v>
      </c>
      <c r="H286" s="205" t="s">
        <v>1408</v>
      </c>
      <c r="I286" s="23"/>
    </row>
    <row r="287" spans="1:9">
      <c r="A287" s="205" t="s">
        <v>1408</v>
      </c>
      <c r="B287" s="23" t="s">
        <v>2483</v>
      </c>
      <c r="C287" s="23" t="s">
        <v>2484</v>
      </c>
      <c r="D287" s="23">
        <v>307.60000000000002</v>
      </c>
      <c r="E287" s="23" t="s">
        <v>2385</v>
      </c>
      <c r="F287" s="23" t="s">
        <v>797</v>
      </c>
      <c r="G287" s="23" t="s">
        <v>797</v>
      </c>
      <c r="H287" s="205" t="s">
        <v>1408</v>
      </c>
      <c r="I287" s="23"/>
    </row>
    <row r="288" spans="1:9">
      <c r="A288" s="205" t="s">
        <v>1408</v>
      </c>
      <c r="B288" s="23" t="s">
        <v>2485</v>
      </c>
      <c r="C288" s="23" t="s">
        <v>2486</v>
      </c>
      <c r="D288" s="23">
        <v>315.60000000000002</v>
      </c>
      <c r="E288" s="23" t="s">
        <v>2385</v>
      </c>
      <c r="F288" s="23" t="s">
        <v>797</v>
      </c>
      <c r="G288" s="23" t="s">
        <v>797</v>
      </c>
      <c r="H288" s="205" t="s">
        <v>1408</v>
      </c>
      <c r="I288" s="23"/>
    </row>
    <row r="289" spans="1:9">
      <c r="A289" s="205" t="s">
        <v>1408</v>
      </c>
      <c r="B289" s="23" t="s">
        <v>2437</v>
      </c>
      <c r="C289" s="23" t="s">
        <v>2438</v>
      </c>
      <c r="D289" s="23">
        <v>241.36199999999997</v>
      </c>
      <c r="E289" s="23" t="s">
        <v>632</v>
      </c>
      <c r="F289" s="23" t="s">
        <v>2386</v>
      </c>
      <c r="G289" s="23" t="s">
        <v>2509</v>
      </c>
      <c r="H289" s="205" t="s">
        <v>1408</v>
      </c>
      <c r="I289" s="23"/>
    </row>
    <row r="290" spans="1:9">
      <c r="A290" s="205" t="s">
        <v>1408</v>
      </c>
      <c r="B290" s="23" t="s">
        <v>2439</v>
      </c>
      <c r="C290" s="23" t="s">
        <v>2440</v>
      </c>
      <c r="D290" s="23">
        <v>241.155</v>
      </c>
      <c r="E290" s="23" t="s">
        <v>632</v>
      </c>
      <c r="F290" s="23" t="s">
        <v>2386</v>
      </c>
      <c r="G290" s="23" t="s">
        <v>2509</v>
      </c>
      <c r="H290" s="205" t="s">
        <v>1408</v>
      </c>
      <c r="I290" s="23"/>
    </row>
    <row r="291" spans="1:9">
      <c r="A291" s="205" t="s">
        <v>1408</v>
      </c>
      <c r="B291" s="23" t="s">
        <v>2441</v>
      </c>
      <c r="C291" s="23" t="s">
        <v>2440</v>
      </c>
      <c r="D291" s="23">
        <v>331.82099999999997</v>
      </c>
      <c r="E291" s="23" t="s">
        <v>632</v>
      </c>
      <c r="F291" s="23" t="s">
        <v>2386</v>
      </c>
      <c r="G291" s="23" t="s">
        <v>2509</v>
      </c>
      <c r="H291" s="205" t="s">
        <v>1408</v>
      </c>
      <c r="I291" s="23"/>
    </row>
    <row r="292" spans="1:9">
      <c r="A292" s="205" t="s">
        <v>1408</v>
      </c>
      <c r="B292" s="23" t="s">
        <v>2442</v>
      </c>
      <c r="C292" s="23" t="s">
        <v>2443</v>
      </c>
      <c r="D292" s="23">
        <v>214.01999999999998</v>
      </c>
      <c r="E292" s="23" t="s">
        <v>632</v>
      </c>
      <c r="F292" s="23" t="s">
        <v>2386</v>
      </c>
      <c r="G292" s="23" t="s">
        <v>2509</v>
      </c>
      <c r="H292" s="205" t="s">
        <v>1408</v>
      </c>
      <c r="I292" s="23"/>
    </row>
    <row r="293" spans="1:9">
      <c r="A293" s="205" t="s">
        <v>1408</v>
      </c>
      <c r="B293" s="23" t="s">
        <v>2444</v>
      </c>
      <c r="C293" s="23" t="s">
        <v>2445</v>
      </c>
      <c r="D293" s="23">
        <v>374.25599999999997</v>
      </c>
      <c r="E293" s="23" t="s">
        <v>632</v>
      </c>
      <c r="F293" s="23" t="s">
        <v>2386</v>
      </c>
      <c r="G293" s="23" t="s">
        <v>2509</v>
      </c>
      <c r="H293" s="205" t="s">
        <v>1408</v>
      </c>
      <c r="I293" s="23"/>
    </row>
    <row r="294" spans="1:9">
      <c r="A294" s="205" t="s">
        <v>1408</v>
      </c>
      <c r="B294" s="23" t="s">
        <v>2446</v>
      </c>
      <c r="C294" s="23" t="s">
        <v>2447</v>
      </c>
      <c r="D294" s="23">
        <v>210.10499999999999</v>
      </c>
      <c r="E294" s="23" t="s">
        <v>632</v>
      </c>
      <c r="F294" s="23" t="s">
        <v>2386</v>
      </c>
      <c r="G294" s="23" t="s">
        <v>2509</v>
      </c>
      <c r="H294" s="205" t="s">
        <v>1408</v>
      </c>
      <c r="I294" s="23"/>
    </row>
    <row r="295" spans="1:9">
      <c r="A295" s="205" t="s">
        <v>1408</v>
      </c>
      <c r="B295" s="23" t="s">
        <v>2448</v>
      </c>
      <c r="C295" s="23" t="s">
        <v>2449</v>
      </c>
      <c r="D295" s="23">
        <v>269.72099999999995</v>
      </c>
      <c r="E295" s="23" t="s">
        <v>632</v>
      </c>
      <c r="F295" s="23" t="s">
        <v>2386</v>
      </c>
      <c r="G295" s="23" t="s">
        <v>2509</v>
      </c>
      <c r="H295" s="205" t="s">
        <v>1408</v>
      </c>
      <c r="I295" s="23"/>
    </row>
    <row r="296" spans="1:9">
      <c r="A296" s="205" t="s">
        <v>1408</v>
      </c>
      <c r="B296" s="23" t="s">
        <v>2450</v>
      </c>
      <c r="C296" s="23" t="s">
        <v>2451</v>
      </c>
      <c r="D296" s="23">
        <v>182.51999999999998</v>
      </c>
      <c r="E296" s="23" t="s">
        <v>632</v>
      </c>
      <c r="F296" s="23" t="s">
        <v>2386</v>
      </c>
      <c r="G296" s="23" t="s">
        <v>2509</v>
      </c>
      <c r="H296" s="205" t="s">
        <v>1408</v>
      </c>
      <c r="I296" s="23"/>
    </row>
    <row r="297" spans="1:9">
      <c r="A297" s="205" t="s">
        <v>1408</v>
      </c>
      <c r="B297" s="23" t="s">
        <v>2452</v>
      </c>
      <c r="C297" s="23" t="s">
        <v>2453</v>
      </c>
      <c r="D297" s="23">
        <v>196.56</v>
      </c>
      <c r="E297" s="23" t="s">
        <v>632</v>
      </c>
      <c r="F297" s="23" t="s">
        <v>2386</v>
      </c>
      <c r="G297" s="23" t="s">
        <v>2509</v>
      </c>
      <c r="H297" s="205" t="s">
        <v>1408</v>
      </c>
      <c r="I297" s="23"/>
    </row>
    <row r="298" spans="1:9">
      <c r="A298" s="205" t="s">
        <v>1408</v>
      </c>
      <c r="B298" s="23" t="s">
        <v>2454</v>
      </c>
      <c r="C298" s="23" t="s">
        <v>2455</v>
      </c>
      <c r="D298" s="23">
        <v>325.404</v>
      </c>
      <c r="E298" s="23" t="s">
        <v>632</v>
      </c>
      <c r="F298" s="23" t="s">
        <v>2386</v>
      </c>
      <c r="G298" s="23" t="s">
        <v>2509</v>
      </c>
      <c r="H298" s="205" t="s">
        <v>1408</v>
      </c>
      <c r="I298" s="23"/>
    </row>
    <row r="299" spans="1:9">
      <c r="A299" s="205" t="s">
        <v>1408</v>
      </c>
      <c r="B299" s="23" t="s">
        <v>2456</v>
      </c>
      <c r="C299" s="23" t="s">
        <v>2457</v>
      </c>
      <c r="D299" s="23">
        <v>170.36099999999999</v>
      </c>
      <c r="E299" s="23" t="s">
        <v>632</v>
      </c>
      <c r="F299" s="23" t="s">
        <v>2386</v>
      </c>
      <c r="G299" s="23" t="s">
        <v>2509</v>
      </c>
      <c r="H299" s="205" t="s">
        <v>1408</v>
      </c>
      <c r="I299" s="23"/>
    </row>
    <row r="300" spans="1:9">
      <c r="A300" s="205" t="s">
        <v>1408</v>
      </c>
      <c r="B300" s="23" t="s">
        <v>2458</v>
      </c>
      <c r="C300" s="23" t="s">
        <v>2459</v>
      </c>
      <c r="D300" s="23">
        <v>156.49199999999999</v>
      </c>
      <c r="E300" s="23" t="s">
        <v>632</v>
      </c>
      <c r="F300" s="23" t="s">
        <v>2386</v>
      </c>
      <c r="G300" s="23" t="s">
        <v>2509</v>
      </c>
      <c r="H300" s="205" t="s">
        <v>1408</v>
      </c>
      <c r="I300" s="23"/>
    </row>
    <row r="301" spans="1:9">
      <c r="A301" s="205" t="s">
        <v>1408</v>
      </c>
      <c r="B301" s="23" t="s">
        <v>2460</v>
      </c>
      <c r="C301" s="23" t="s">
        <v>2461</v>
      </c>
      <c r="D301" s="23">
        <v>19.259999999999998</v>
      </c>
      <c r="E301" s="23" t="s">
        <v>632</v>
      </c>
      <c r="F301" s="23" t="s">
        <v>2386</v>
      </c>
      <c r="G301" s="23" t="s">
        <v>2509</v>
      </c>
      <c r="H301" s="205" t="s">
        <v>1408</v>
      </c>
      <c r="I301" s="23"/>
    </row>
    <row r="302" spans="1:9">
      <c r="A302" s="205" t="s">
        <v>1408</v>
      </c>
      <c r="B302" s="23" t="s">
        <v>2462</v>
      </c>
      <c r="C302" s="23" t="s">
        <v>2463</v>
      </c>
      <c r="D302" s="23">
        <v>20.699999999999996</v>
      </c>
      <c r="E302" s="23" t="s">
        <v>632</v>
      </c>
      <c r="F302" s="23" t="s">
        <v>2386</v>
      </c>
      <c r="G302" s="23" t="s">
        <v>2509</v>
      </c>
      <c r="H302" s="205" t="s">
        <v>1408</v>
      </c>
      <c r="I302" s="23"/>
    </row>
    <row r="303" spans="1:9">
      <c r="A303" s="205" t="s">
        <v>1408</v>
      </c>
      <c r="B303" s="23" t="s">
        <v>2464</v>
      </c>
      <c r="C303" s="23" t="s">
        <v>2465</v>
      </c>
      <c r="D303" s="23">
        <v>90.251999999999995</v>
      </c>
      <c r="E303" s="23" t="s">
        <v>632</v>
      </c>
      <c r="F303" s="23" t="s">
        <v>2386</v>
      </c>
      <c r="G303" s="23" t="s">
        <v>2509</v>
      </c>
      <c r="H303" s="205" t="s">
        <v>1408</v>
      </c>
      <c r="I303" s="23"/>
    </row>
    <row r="304" spans="1:9">
      <c r="A304" s="205" t="s">
        <v>1408</v>
      </c>
      <c r="B304" s="23" t="s">
        <v>2466</v>
      </c>
      <c r="C304" s="23" t="s">
        <v>2467</v>
      </c>
      <c r="D304" s="23">
        <v>40.5</v>
      </c>
      <c r="E304" s="23" t="s">
        <v>632</v>
      </c>
      <c r="F304" s="23" t="s">
        <v>2386</v>
      </c>
      <c r="G304" s="23" t="s">
        <v>2509</v>
      </c>
      <c r="H304" s="205" t="s">
        <v>1408</v>
      </c>
      <c r="I304" s="23"/>
    </row>
    <row r="305" spans="1:9">
      <c r="A305" s="205" t="s">
        <v>1408</v>
      </c>
      <c r="B305" s="23" t="s">
        <v>2468</v>
      </c>
      <c r="C305" s="23" t="s">
        <v>2469</v>
      </c>
      <c r="D305" s="23">
        <v>103.86</v>
      </c>
      <c r="E305" s="23" t="s">
        <v>632</v>
      </c>
      <c r="F305" s="23" t="s">
        <v>2386</v>
      </c>
      <c r="G305" s="23" t="s">
        <v>2509</v>
      </c>
      <c r="H305" s="205" t="s">
        <v>1408</v>
      </c>
      <c r="I305" s="23"/>
    </row>
    <row r="306" spans="1:9">
      <c r="A306" s="205" t="s">
        <v>1408</v>
      </c>
      <c r="B306" s="23" t="s">
        <v>2470</v>
      </c>
      <c r="C306" s="23" t="s">
        <v>2471</v>
      </c>
      <c r="D306" s="23">
        <v>105.83999999999999</v>
      </c>
      <c r="E306" s="23" t="s">
        <v>632</v>
      </c>
      <c r="F306" s="23" t="s">
        <v>2386</v>
      </c>
      <c r="G306" s="23" t="s">
        <v>2509</v>
      </c>
      <c r="H306" s="205" t="s">
        <v>1408</v>
      </c>
      <c r="I306" s="23"/>
    </row>
    <row r="307" spans="1:9">
      <c r="A307" s="205" t="s">
        <v>1408</v>
      </c>
      <c r="B307" s="23" t="s">
        <v>2472</v>
      </c>
      <c r="C307" s="23" t="s">
        <v>2473</v>
      </c>
      <c r="D307" s="23">
        <v>92.73599999999999</v>
      </c>
      <c r="E307" s="23" t="s">
        <v>632</v>
      </c>
      <c r="F307" s="23" t="s">
        <v>2386</v>
      </c>
      <c r="G307" s="23" t="s">
        <v>2509</v>
      </c>
      <c r="H307" s="205" t="s">
        <v>1408</v>
      </c>
      <c r="I307" s="23"/>
    </row>
    <row r="308" spans="1:9">
      <c r="A308" s="205" t="s">
        <v>1408</v>
      </c>
      <c r="B308" s="23" t="s">
        <v>2474</v>
      </c>
      <c r="C308" s="23" t="s">
        <v>2475</v>
      </c>
      <c r="D308" s="23">
        <v>46.98899999999999</v>
      </c>
      <c r="E308" s="23" t="s">
        <v>632</v>
      </c>
      <c r="F308" s="23" t="s">
        <v>2386</v>
      </c>
      <c r="G308" s="23" t="s">
        <v>2509</v>
      </c>
      <c r="H308" s="205" t="s">
        <v>1408</v>
      </c>
      <c r="I308" s="23"/>
    </row>
    <row r="309" spans="1:9">
      <c r="A309" s="205" t="s">
        <v>1408</v>
      </c>
      <c r="B309" s="23" t="s">
        <v>2476</v>
      </c>
      <c r="C309" s="23" t="s">
        <v>2453</v>
      </c>
      <c r="D309" s="23">
        <v>130.68</v>
      </c>
      <c r="E309" s="23" t="s">
        <v>632</v>
      </c>
      <c r="F309" s="23" t="s">
        <v>2386</v>
      </c>
      <c r="G309" s="23" t="s">
        <v>2509</v>
      </c>
      <c r="H309" s="205" t="s">
        <v>1408</v>
      </c>
      <c r="I309" s="23"/>
    </row>
    <row r="310" spans="1:9">
      <c r="A310" s="205" t="s">
        <v>1408</v>
      </c>
      <c r="B310" s="23" t="s">
        <v>2477</v>
      </c>
      <c r="C310" s="23" t="s">
        <v>2478</v>
      </c>
      <c r="D310" s="23">
        <v>36</v>
      </c>
      <c r="E310" s="23" t="s">
        <v>632</v>
      </c>
      <c r="F310" s="23" t="s">
        <v>2386</v>
      </c>
      <c r="G310" s="23" t="s">
        <v>2509</v>
      </c>
      <c r="H310" s="205" t="s">
        <v>1408</v>
      </c>
      <c r="I310" s="23"/>
    </row>
    <row r="311" spans="1:9">
      <c r="A311" s="205" t="s">
        <v>1408</v>
      </c>
      <c r="B311" s="23" t="s">
        <v>2479</v>
      </c>
      <c r="C311" s="23" t="s">
        <v>2480</v>
      </c>
      <c r="D311" s="23">
        <v>23.390999999999998</v>
      </c>
      <c r="E311" s="23" t="s">
        <v>632</v>
      </c>
      <c r="F311" s="23" t="s">
        <v>2386</v>
      </c>
      <c r="G311" s="23" t="s">
        <v>2509</v>
      </c>
      <c r="H311" s="205" t="s">
        <v>1408</v>
      </c>
      <c r="I311" s="23"/>
    </row>
    <row r="312" spans="1:9">
      <c r="A312" s="205" t="s">
        <v>1408</v>
      </c>
      <c r="B312" s="23" t="s">
        <v>2481</v>
      </c>
      <c r="C312" s="23" t="s">
        <v>2482</v>
      </c>
      <c r="D312" s="23">
        <v>58.373999999999988</v>
      </c>
      <c r="E312" s="23" t="s">
        <v>632</v>
      </c>
      <c r="F312" s="23" t="s">
        <v>2386</v>
      </c>
      <c r="G312" s="23" t="s">
        <v>2509</v>
      </c>
      <c r="H312" s="205" t="s">
        <v>1408</v>
      </c>
      <c r="I312" s="23"/>
    </row>
    <row r="313" spans="1:9">
      <c r="A313" s="205" t="s">
        <v>1408</v>
      </c>
      <c r="B313" s="23" t="s">
        <v>2483</v>
      </c>
      <c r="C313" s="23" t="s">
        <v>2484</v>
      </c>
      <c r="D313" s="23">
        <v>145.107</v>
      </c>
      <c r="E313" s="23" t="s">
        <v>632</v>
      </c>
      <c r="F313" s="23" t="s">
        <v>2386</v>
      </c>
      <c r="G313" s="23" t="s">
        <v>2509</v>
      </c>
      <c r="H313" s="205" t="s">
        <v>1408</v>
      </c>
      <c r="I313" s="23"/>
    </row>
    <row r="314" spans="1:9">
      <c r="A314" s="205" t="s">
        <v>1408</v>
      </c>
      <c r="B314" s="23" t="s">
        <v>2485</v>
      </c>
      <c r="C314" s="23" t="s">
        <v>2486</v>
      </c>
      <c r="D314" s="23">
        <v>142.01999999999998</v>
      </c>
      <c r="E314" s="23" t="s">
        <v>632</v>
      </c>
      <c r="F314" s="23" t="s">
        <v>2386</v>
      </c>
      <c r="G314" s="23" t="s">
        <v>2509</v>
      </c>
      <c r="H314" s="205" t="s">
        <v>1408</v>
      </c>
      <c r="I314" s="23"/>
    </row>
    <row r="315" spans="1:9">
      <c r="A315" s="205" t="s">
        <v>1408</v>
      </c>
      <c r="B315" s="23" t="s">
        <v>2437</v>
      </c>
      <c r="C315" s="23" t="s">
        <v>2438</v>
      </c>
      <c r="D315" s="23">
        <v>536.36</v>
      </c>
      <c r="E315" s="23" t="s">
        <v>632</v>
      </c>
      <c r="F315" s="23" t="s">
        <v>797</v>
      </c>
      <c r="G315" s="23" t="s">
        <v>797</v>
      </c>
      <c r="H315" s="205" t="s">
        <v>1408</v>
      </c>
      <c r="I315" s="23"/>
    </row>
    <row r="316" spans="1:9">
      <c r="A316" s="205" t="s">
        <v>1408</v>
      </c>
      <c r="B316" s="23" t="s">
        <v>2439</v>
      </c>
      <c r="C316" s="23" t="s">
        <v>2440</v>
      </c>
      <c r="D316" s="23">
        <v>535.9</v>
      </c>
      <c r="E316" s="23" t="s">
        <v>632</v>
      </c>
      <c r="F316" s="23" t="s">
        <v>797</v>
      </c>
      <c r="G316" s="23" t="s">
        <v>797</v>
      </c>
      <c r="H316" s="205" t="s">
        <v>1408</v>
      </c>
      <c r="I316" s="23"/>
    </row>
    <row r="317" spans="1:9">
      <c r="A317" s="205" t="s">
        <v>1408</v>
      </c>
      <c r="B317" s="23" t="s">
        <v>2441</v>
      </c>
      <c r="C317" s="23" t="s">
        <v>2440</v>
      </c>
      <c r="D317" s="23">
        <v>737.38</v>
      </c>
      <c r="E317" s="23" t="s">
        <v>632</v>
      </c>
      <c r="F317" s="23" t="s">
        <v>797</v>
      </c>
      <c r="G317" s="23" t="s">
        <v>797</v>
      </c>
      <c r="H317" s="205" t="s">
        <v>1408</v>
      </c>
      <c r="I317" s="23"/>
    </row>
    <row r="318" spans="1:9">
      <c r="A318" s="205" t="s">
        <v>1408</v>
      </c>
      <c r="B318" s="23" t="s">
        <v>2442</v>
      </c>
      <c r="C318" s="23" t="s">
        <v>2443</v>
      </c>
      <c r="D318" s="23">
        <v>475.6</v>
      </c>
      <c r="E318" s="23" t="s">
        <v>632</v>
      </c>
      <c r="F318" s="23" t="s">
        <v>797</v>
      </c>
      <c r="G318" s="23" t="s">
        <v>797</v>
      </c>
      <c r="H318" s="205" t="s">
        <v>1408</v>
      </c>
      <c r="I318" s="23"/>
    </row>
    <row r="319" spans="1:9">
      <c r="A319" s="205" t="s">
        <v>1408</v>
      </c>
      <c r="B319" s="23" t="s">
        <v>2444</v>
      </c>
      <c r="C319" s="23" t="s">
        <v>2445</v>
      </c>
      <c r="D319" s="23">
        <v>831.68</v>
      </c>
      <c r="E319" s="23" t="s">
        <v>632</v>
      </c>
      <c r="F319" s="23" t="s">
        <v>797</v>
      </c>
      <c r="G319" s="23" t="s">
        <v>797</v>
      </c>
      <c r="H319" s="205" t="s">
        <v>1408</v>
      </c>
      <c r="I319" s="23"/>
    </row>
    <row r="320" spans="1:9">
      <c r="A320" s="205" t="s">
        <v>1408</v>
      </c>
      <c r="B320" s="23" t="s">
        <v>2446</v>
      </c>
      <c r="C320" s="23" t="s">
        <v>2447</v>
      </c>
      <c r="D320" s="23">
        <v>466.90000000000003</v>
      </c>
      <c r="E320" s="23" t="s">
        <v>632</v>
      </c>
      <c r="F320" s="23" t="s">
        <v>797</v>
      </c>
      <c r="G320" s="23" t="s">
        <v>797</v>
      </c>
      <c r="H320" s="205" t="s">
        <v>1408</v>
      </c>
      <c r="I320" s="23"/>
    </row>
    <row r="321" spans="1:9">
      <c r="A321" s="205" t="s">
        <v>1408</v>
      </c>
      <c r="B321" s="23" t="s">
        <v>2448</v>
      </c>
      <c r="C321" s="23" t="s">
        <v>2449</v>
      </c>
      <c r="D321" s="23">
        <v>599.38</v>
      </c>
      <c r="E321" s="23" t="s">
        <v>632</v>
      </c>
      <c r="F321" s="23" t="s">
        <v>797</v>
      </c>
      <c r="G321" s="23" t="s">
        <v>797</v>
      </c>
      <c r="H321" s="205" t="s">
        <v>1408</v>
      </c>
      <c r="I321" s="23"/>
    </row>
    <row r="322" spans="1:9">
      <c r="A322" s="205" t="s">
        <v>1408</v>
      </c>
      <c r="B322" s="23" t="s">
        <v>2450</v>
      </c>
      <c r="C322" s="23" t="s">
        <v>2451</v>
      </c>
      <c r="D322" s="23">
        <v>405.6</v>
      </c>
      <c r="E322" s="23" t="s">
        <v>632</v>
      </c>
      <c r="F322" s="23" t="s">
        <v>797</v>
      </c>
      <c r="G322" s="23" t="s">
        <v>797</v>
      </c>
      <c r="H322" s="205" t="s">
        <v>1408</v>
      </c>
      <c r="I322" s="23"/>
    </row>
    <row r="323" spans="1:9">
      <c r="A323" s="205" t="s">
        <v>1408</v>
      </c>
      <c r="B323" s="23" t="s">
        <v>2452</v>
      </c>
      <c r="C323" s="23" t="s">
        <v>2453</v>
      </c>
      <c r="D323" s="23">
        <v>436.8</v>
      </c>
      <c r="E323" s="23" t="s">
        <v>632</v>
      </c>
      <c r="F323" s="23" t="s">
        <v>797</v>
      </c>
      <c r="G323" s="23" t="s">
        <v>797</v>
      </c>
      <c r="H323" s="205" t="s">
        <v>1408</v>
      </c>
      <c r="I323" s="23"/>
    </row>
    <row r="324" spans="1:9">
      <c r="A324" s="205" t="s">
        <v>1408</v>
      </c>
      <c r="B324" s="23" t="s">
        <v>2454</v>
      </c>
      <c r="C324" s="23" t="s">
        <v>2455</v>
      </c>
      <c r="D324" s="23">
        <v>723.12</v>
      </c>
      <c r="E324" s="23" t="s">
        <v>632</v>
      </c>
      <c r="F324" s="23" t="s">
        <v>797</v>
      </c>
      <c r="G324" s="23" t="s">
        <v>797</v>
      </c>
      <c r="H324" s="205" t="s">
        <v>1408</v>
      </c>
      <c r="I324" s="23"/>
    </row>
    <row r="325" spans="1:9">
      <c r="A325" s="205" t="s">
        <v>1408</v>
      </c>
      <c r="B325" s="23" t="s">
        <v>2456</v>
      </c>
      <c r="C325" s="23" t="s">
        <v>2457</v>
      </c>
      <c r="D325" s="23">
        <v>378.58</v>
      </c>
      <c r="E325" s="23" t="s">
        <v>632</v>
      </c>
      <c r="F325" s="23" t="s">
        <v>797</v>
      </c>
      <c r="G325" s="23" t="s">
        <v>797</v>
      </c>
      <c r="H325" s="205" t="s">
        <v>1408</v>
      </c>
      <c r="I325" s="23"/>
    </row>
    <row r="326" spans="1:9">
      <c r="A326" s="205" t="s">
        <v>1408</v>
      </c>
      <c r="B326" s="23" t="s">
        <v>2458</v>
      </c>
      <c r="C326" s="23" t="s">
        <v>2459</v>
      </c>
      <c r="D326" s="23">
        <v>347.76</v>
      </c>
      <c r="E326" s="23" t="s">
        <v>632</v>
      </c>
      <c r="F326" s="23" t="s">
        <v>797</v>
      </c>
      <c r="G326" s="23" t="s">
        <v>797</v>
      </c>
      <c r="H326" s="205" t="s">
        <v>1408</v>
      </c>
      <c r="I326" s="23"/>
    </row>
    <row r="327" spans="1:9">
      <c r="A327" s="205" t="s">
        <v>1408</v>
      </c>
      <c r="B327" s="23" t="s">
        <v>2460</v>
      </c>
      <c r="C327" s="23" t="s">
        <v>2461</v>
      </c>
      <c r="D327" s="23">
        <v>42.800000000000004</v>
      </c>
      <c r="E327" s="23" t="s">
        <v>632</v>
      </c>
      <c r="F327" s="23" t="s">
        <v>797</v>
      </c>
      <c r="G327" s="23" t="s">
        <v>797</v>
      </c>
      <c r="H327" s="205" t="s">
        <v>1408</v>
      </c>
      <c r="I327" s="23"/>
    </row>
    <row r="328" spans="1:9">
      <c r="A328" s="205" t="s">
        <v>1408</v>
      </c>
      <c r="B328" s="23" t="s">
        <v>2462</v>
      </c>
      <c r="C328" s="23" t="s">
        <v>2463</v>
      </c>
      <c r="D328" s="23">
        <v>46</v>
      </c>
      <c r="E328" s="23" t="s">
        <v>632</v>
      </c>
      <c r="F328" s="23" t="s">
        <v>797</v>
      </c>
      <c r="G328" s="23" t="s">
        <v>797</v>
      </c>
      <c r="H328" s="205" t="s">
        <v>1408</v>
      </c>
      <c r="I328" s="23"/>
    </row>
    <row r="329" spans="1:9">
      <c r="A329" s="205" t="s">
        <v>1408</v>
      </c>
      <c r="B329" s="23" t="s">
        <v>2464</v>
      </c>
      <c r="C329" s="23" t="s">
        <v>2465</v>
      </c>
      <c r="D329" s="23">
        <v>200.56</v>
      </c>
      <c r="E329" s="23" t="s">
        <v>632</v>
      </c>
      <c r="F329" s="23" t="s">
        <v>797</v>
      </c>
      <c r="G329" s="23" t="s">
        <v>797</v>
      </c>
      <c r="H329" s="205" t="s">
        <v>1408</v>
      </c>
      <c r="I329" s="23"/>
    </row>
    <row r="330" spans="1:9">
      <c r="A330" s="205" t="s">
        <v>1408</v>
      </c>
      <c r="B330" s="23" t="s">
        <v>2466</v>
      </c>
      <c r="C330" s="23" t="s">
        <v>2467</v>
      </c>
      <c r="D330" s="23">
        <v>90</v>
      </c>
      <c r="E330" s="23" t="s">
        <v>632</v>
      </c>
      <c r="F330" s="23" t="s">
        <v>797</v>
      </c>
      <c r="G330" s="23" t="s">
        <v>797</v>
      </c>
      <c r="H330" s="205" t="s">
        <v>1408</v>
      </c>
      <c r="I330" s="23"/>
    </row>
    <row r="331" spans="1:9">
      <c r="A331" s="205" t="s">
        <v>1408</v>
      </c>
      <c r="B331" s="23" t="s">
        <v>2468</v>
      </c>
      <c r="C331" s="23" t="s">
        <v>2469</v>
      </c>
      <c r="D331" s="23">
        <v>230.8</v>
      </c>
      <c r="E331" s="23" t="s">
        <v>632</v>
      </c>
      <c r="F331" s="23" t="s">
        <v>797</v>
      </c>
      <c r="G331" s="23" t="s">
        <v>797</v>
      </c>
      <c r="H331" s="205" t="s">
        <v>1408</v>
      </c>
      <c r="I331" s="23"/>
    </row>
    <row r="332" spans="1:9">
      <c r="A332" s="205" t="s">
        <v>1408</v>
      </c>
      <c r="B332" s="23" t="s">
        <v>2470</v>
      </c>
      <c r="C332" s="23" t="s">
        <v>2471</v>
      </c>
      <c r="D332" s="23">
        <v>235.20000000000002</v>
      </c>
      <c r="E332" s="23" t="s">
        <v>632</v>
      </c>
      <c r="F332" s="23" t="s">
        <v>797</v>
      </c>
      <c r="G332" s="23" t="s">
        <v>797</v>
      </c>
      <c r="H332" s="205" t="s">
        <v>1408</v>
      </c>
      <c r="I332" s="23"/>
    </row>
    <row r="333" spans="1:9">
      <c r="A333" s="205" t="s">
        <v>1408</v>
      </c>
      <c r="B333" s="23" t="s">
        <v>2472</v>
      </c>
      <c r="C333" s="23" t="s">
        <v>2473</v>
      </c>
      <c r="D333" s="23">
        <v>206.07999999999998</v>
      </c>
      <c r="E333" s="23" t="s">
        <v>632</v>
      </c>
      <c r="F333" s="23" t="s">
        <v>797</v>
      </c>
      <c r="G333" s="23" t="s">
        <v>797</v>
      </c>
      <c r="H333" s="205" t="s">
        <v>1408</v>
      </c>
      <c r="I333" s="23"/>
    </row>
    <row r="334" spans="1:9">
      <c r="A334" s="205" t="s">
        <v>1408</v>
      </c>
      <c r="B334" s="23" t="s">
        <v>2474</v>
      </c>
      <c r="C334" s="23" t="s">
        <v>2475</v>
      </c>
      <c r="D334" s="23">
        <v>104.41999999999999</v>
      </c>
      <c r="E334" s="23" t="s">
        <v>632</v>
      </c>
      <c r="F334" s="23" t="s">
        <v>797</v>
      </c>
      <c r="G334" s="23" t="s">
        <v>797</v>
      </c>
      <c r="H334" s="205" t="s">
        <v>1408</v>
      </c>
      <c r="I334" s="23"/>
    </row>
    <row r="335" spans="1:9">
      <c r="A335" s="205" t="s">
        <v>1408</v>
      </c>
      <c r="B335" s="23" t="s">
        <v>2476</v>
      </c>
      <c r="C335" s="23" t="s">
        <v>2453</v>
      </c>
      <c r="D335" s="23">
        <v>290.40000000000003</v>
      </c>
      <c r="E335" s="23" t="s">
        <v>632</v>
      </c>
      <c r="F335" s="23" t="s">
        <v>797</v>
      </c>
      <c r="G335" s="23" t="s">
        <v>797</v>
      </c>
      <c r="H335" s="205" t="s">
        <v>1408</v>
      </c>
      <c r="I335" s="23"/>
    </row>
    <row r="336" spans="1:9">
      <c r="A336" s="205" t="s">
        <v>1408</v>
      </c>
      <c r="B336" s="23" t="s">
        <v>2477</v>
      </c>
      <c r="C336" s="23" t="s">
        <v>2478</v>
      </c>
      <c r="D336" s="23">
        <v>80</v>
      </c>
      <c r="E336" s="23" t="s">
        <v>632</v>
      </c>
      <c r="F336" s="23" t="s">
        <v>797</v>
      </c>
      <c r="G336" s="23" t="s">
        <v>797</v>
      </c>
      <c r="H336" s="205" t="s">
        <v>1408</v>
      </c>
      <c r="I336" s="23"/>
    </row>
    <row r="337" spans="1:9">
      <c r="A337" s="205" t="s">
        <v>1408</v>
      </c>
      <c r="B337" s="23" t="s">
        <v>2479</v>
      </c>
      <c r="C337" s="23" t="s">
        <v>2480</v>
      </c>
      <c r="D337" s="23">
        <v>51.98</v>
      </c>
      <c r="E337" s="23" t="s">
        <v>632</v>
      </c>
      <c r="F337" s="23" t="s">
        <v>797</v>
      </c>
      <c r="G337" s="23" t="s">
        <v>797</v>
      </c>
      <c r="H337" s="205" t="s">
        <v>1408</v>
      </c>
      <c r="I337" s="23"/>
    </row>
    <row r="338" spans="1:9">
      <c r="A338" s="205" t="s">
        <v>1408</v>
      </c>
      <c r="B338" s="23" t="s">
        <v>2481</v>
      </c>
      <c r="C338" s="23" t="s">
        <v>2482</v>
      </c>
      <c r="D338" s="23">
        <v>129.72</v>
      </c>
      <c r="E338" s="23" t="s">
        <v>632</v>
      </c>
      <c r="F338" s="23" t="s">
        <v>797</v>
      </c>
      <c r="G338" s="23" t="s">
        <v>797</v>
      </c>
      <c r="H338" s="205" t="s">
        <v>1408</v>
      </c>
      <c r="I338" s="23"/>
    </row>
    <row r="339" spans="1:9">
      <c r="A339" s="205" t="s">
        <v>1408</v>
      </c>
      <c r="B339" s="23" t="s">
        <v>2483</v>
      </c>
      <c r="C339" s="23" t="s">
        <v>2484</v>
      </c>
      <c r="D339" s="23">
        <v>322.46000000000004</v>
      </c>
      <c r="E339" s="23" t="s">
        <v>632</v>
      </c>
      <c r="F339" s="23" t="s">
        <v>797</v>
      </c>
      <c r="G339" s="23" t="s">
        <v>797</v>
      </c>
      <c r="H339" s="205" t="s">
        <v>1408</v>
      </c>
      <c r="I339" s="23"/>
    </row>
    <row r="340" spans="1:9">
      <c r="A340" s="205" t="s">
        <v>1408</v>
      </c>
      <c r="B340" s="23" t="s">
        <v>2485</v>
      </c>
      <c r="C340" s="23" t="s">
        <v>2486</v>
      </c>
      <c r="D340" s="23">
        <v>315.60000000000002</v>
      </c>
      <c r="E340" s="23" t="s">
        <v>632</v>
      </c>
      <c r="F340" s="23" t="s">
        <v>797</v>
      </c>
      <c r="G340" s="23" t="s">
        <v>797</v>
      </c>
      <c r="H340" s="205" t="s">
        <v>1408</v>
      </c>
      <c r="I340" s="23"/>
    </row>
    <row r="341" spans="1:9">
      <c r="A341" s="205" t="s">
        <v>1408</v>
      </c>
      <c r="B341" s="23" t="s">
        <v>2437</v>
      </c>
      <c r="C341" s="23" t="s">
        <v>2438</v>
      </c>
      <c r="D341" s="23">
        <v>241.36199999999997</v>
      </c>
      <c r="E341" s="23" t="s">
        <v>2389</v>
      </c>
      <c r="F341" s="23" t="s">
        <v>2386</v>
      </c>
      <c r="G341" s="23" t="s">
        <v>2509</v>
      </c>
      <c r="H341" s="205" t="s">
        <v>1408</v>
      </c>
      <c r="I341" s="23"/>
    </row>
    <row r="342" spans="1:9">
      <c r="A342" s="205" t="s">
        <v>1408</v>
      </c>
      <c r="B342" s="23" t="s">
        <v>2439</v>
      </c>
      <c r="C342" s="23" t="s">
        <v>2440</v>
      </c>
      <c r="D342" s="23">
        <v>252</v>
      </c>
      <c r="E342" s="23" t="s">
        <v>2389</v>
      </c>
      <c r="F342" s="23" t="s">
        <v>2386</v>
      </c>
      <c r="G342" s="23" t="s">
        <v>2509</v>
      </c>
      <c r="H342" s="205" t="s">
        <v>1408</v>
      </c>
      <c r="I342" s="23"/>
    </row>
    <row r="343" spans="1:9">
      <c r="A343" s="205" t="s">
        <v>1408</v>
      </c>
      <c r="B343" s="23" t="s">
        <v>2441</v>
      </c>
      <c r="C343" s="23" t="s">
        <v>2440</v>
      </c>
      <c r="D343" s="23">
        <v>364.5</v>
      </c>
      <c r="E343" s="23" t="s">
        <v>2389</v>
      </c>
      <c r="F343" s="23" t="s">
        <v>2386</v>
      </c>
      <c r="G343" s="23" t="s">
        <v>2509</v>
      </c>
      <c r="H343" s="205" t="s">
        <v>1408</v>
      </c>
      <c r="I343" s="23"/>
    </row>
    <row r="344" spans="1:9">
      <c r="A344" s="205" t="s">
        <v>1408</v>
      </c>
      <c r="B344" s="23" t="s">
        <v>2442</v>
      </c>
      <c r="C344" s="23" t="s">
        <v>2443</v>
      </c>
      <c r="D344" s="23">
        <v>214.01999999999998</v>
      </c>
      <c r="E344" s="23" t="s">
        <v>2389</v>
      </c>
      <c r="F344" s="23" t="s">
        <v>2386</v>
      </c>
      <c r="G344" s="23" t="s">
        <v>2509</v>
      </c>
      <c r="H344" s="205" t="s">
        <v>1408</v>
      </c>
      <c r="I344" s="23"/>
    </row>
    <row r="345" spans="1:9">
      <c r="A345" s="205" t="s">
        <v>1408</v>
      </c>
      <c r="B345" s="23" t="s">
        <v>2444</v>
      </c>
      <c r="C345" s="23" t="s">
        <v>2445</v>
      </c>
      <c r="D345" s="23">
        <v>381.59999999999997</v>
      </c>
      <c r="E345" s="23" t="s">
        <v>2389</v>
      </c>
      <c r="F345" s="23" t="s">
        <v>2386</v>
      </c>
      <c r="G345" s="23" t="s">
        <v>2509</v>
      </c>
      <c r="H345" s="205" t="s">
        <v>1408</v>
      </c>
      <c r="I345" s="23"/>
    </row>
    <row r="346" spans="1:9">
      <c r="A346" s="205" t="s">
        <v>1408</v>
      </c>
      <c r="B346" s="23" t="s">
        <v>2446</v>
      </c>
      <c r="C346" s="23" t="s">
        <v>2447</v>
      </c>
      <c r="D346" s="23">
        <v>228.6</v>
      </c>
      <c r="E346" s="23" t="s">
        <v>2389</v>
      </c>
      <c r="F346" s="23" t="s">
        <v>2386</v>
      </c>
      <c r="G346" s="23" t="s">
        <v>2509</v>
      </c>
      <c r="H346" s="205" t="s">
        <v>1408</v>
      </c>
      <c r="I346" s="23"/>
    </row>
    <row r="347" spans="1:9">
      <c r="A347" s="205" t="s">
        <v>1408</v>
      </c>
      <c r="B347" s="23" t="s">
        <v>2448</v>
      </c>
      <c r="C347" s="23" t="s">
        <v>2449</v>
      </c>
      <c r="D347" s="23">
        <v>293.39999999999998</v>
      </c>
      <c r="E347" s="23" t="s">
        <v>2389</v>
      </c>
      <c r="F347" s="23" t="s">
        <v>2386</v>
      </c>
      <c r="G347" s="23" t="s">
        <v>2509</v>
      </c>
      <c r="H347" s="205" t="s">
        <v>1408</v>
      </c>
      <c r="I347" s="23"/>
    </row>
    <row r="348" spans="1:9">
      <c r="A348" s="205" t="s">
        <v>1408</v>
      </c>
      <c r="B348" s="23" t="s">
        <v>2450</v>
      </c>
      <c r="C348" s="23" t="s">
        <v>2451</v>
      </c>
      <c r="D348" s="23">
        <v>248.39999999999998</v>
      </c>
      <c r="E348" s="23" t="s">
        <v>2389</v>
      </c>
      <c r="F348" s="23" t="s">
        <v>2386</v>
      </c>
      <c r="G348" s="23" t="s">
        <v>2509</v>
      </c>
      <c r="H348" s="205" t="s">
        <v>1408</v>
      </c>
      <c r="I348" s="23"/>
    </row>
    <row r="349" spans="1:9">
      <c r="A349" s="205" t="s">
        <v>1408</v>
      </c>
      <c r="B349" s="23" t="s">
        <v>2452</v>
      </c>
      <c r="C349" s="23" t="s">
        <v>2453</v>
      </c>
      <c r="D349" s="23">
        <v>229.5</v>
      </c>
      <c r="E349" s="23" t="s">
        <v>2389</v>
      </c>
      <c r="F349" s="23" t="s">
        <v>2386</v>
      </c>
      <c r="G349" s="23" t="s">
        <v>2509</v>
      </c>
      <c r="H349" s="205" t="s">
        <v>1408</v>
      </c>
      <c r="I349" s="23"/>
    </row>
    <row r="350" spans="1:9">
      <c r="A350" s="205" t="s">
        <v>1408</v>
      </c>
      <c r="B350" s="23" t="s">
        <v>2454</v>
      </c>
      <c r="C350" s="23" t="s">
        <v>2455</v>
      </c>
      <c r="D350" s="23">
        <v>360</v>
      </c>
      <c r="E350" s="23" t="s">
        <v>2389</v>
      </c>
      <c r="F350" s="23" t="s">
        <v>2386</v>
      </c>
      <c r="G350" s="23" t="s">
        <v>2509</v>
      </c>
      <c r="H350" s="205" t="s">
        <v>1408</v>
      </c>
      <c r="I350" s="23"/>
    </row>
    <row r="351" spans="1:9">
      <c r="A351" s="205" t="s">
        <v>1408</v>
      </c>
      <c r="B351" s="23" t="s">
        <v>2456</v>
      </c>
      <c r="C351" s="23" t="s">
        <v>2457</v>
      </c>
      <c r="D351" s="23">
        <v>228.6</v>
      </c>
      <c r="E351" s="23" t="s">
        <v>2389</v>
      </c>
      <c r="F351" s="23" t="s">
        <v>2386</v>
      </c>
      <c r="G351" s="23" t="s">
        <v>2509</v>
      </c>
      <c r="H351" s="205" t="s">
        <v>1408</v>
      </c>
      <c r="I351" s="23"/>
    </row>
    <row r="352" spans="1:9">
      <c r="A352" s="205" t="s">
        <v>1408</v>
      </c>
      <c r="B352" s="23" t="s">
        <v>2458</v>
      </c>
      <c r="C352" s="23" t="s">
        <v>2459</v>
      </c>
      <c r="D352" s="23">
        <v>165.6</v>
      </c>
      <c r="E352" s="23" t="s">
        <v>2389</v>
      </c>
      <c r="F352" s="23" t="s">
        <v>2386</v>
      </c>
      <c r="G352" s="23" t="s">
        <v>2509</v>
      </c>
      <c r="H352" s="205" t="s">
        <v>1408</v>
      </c>
      <c r="I352" s="23"/>
    </row>
    <row r="353" spans="1:9">
      <c r="A353" s="205" t="s">
        <v>1408</v>
      </c>
      <c r="B353" s="23" t="s">
        <v>2460</v>
      </c>
      <c r="C353" s="23" t="s">
        <v>2461</v>
      </c>
      <c r="D353" s="23">
        <v>19.259999999999998</v>
      </c>
      <c r="E353" s="23" t="s">
        <v>2389</v>
      </c>
      <c r="F353" s="23" t="s">
        <v>2386</v>
      </c>
      <c r="G353" s="23" t="s">
        <v>2509</v>
      </c>
      <c r="H353" s="205" t="s">
        <v>1408</v>
      </c>
      <c r="I353" s="23"/>
    </row>
    <row r="354" spans="1:9">
      <c r="A354" s="205" t="s">
        <v>1408</v>
      </c>
      <c r="B354" s="23" t="s">
        <v>2462</v>
      </c>
      <c r="C354" s="23" t="s">
        <v>2463</v>
      </c>
      <c r="D354" s="23">
        <v>20.699999999999996</v>
      </c>
      <c r="E354" s="23" t="s">
        <v>2389</v>
      </c>
      <c r="F354" s="23" t="s">
        <v>2386</v>
      </c>
      <c r="G354" s="23" t="s">
        <v>2509</v>
      </c>
      <c r="H354" s="205" t="s">
        <v>1408</v>
      </c>
      <c r="I354" s="23"/>
    </row>
    <row r="355" spans="1:9">
      <c r="A355" s="205" t="s">
        <v>1408</v>
      </c>
      <c r="B355" s="23" t="s">
        <v>2464</v>
      </c>
      <c r="C355" s="23" t="s">
        <v>2465</v>
      </c>
      <c r="D355" s="23">
        <v>90.87299999999999</v>
      </c>
      <c r="E355" s="23" t="s">
        <v>2389</v>
      </c>
      <c r="F355" s="23" t="s">
        <v>2386</v>
      </c>
      <c r="G355" s="23" t="s">
        <v>2509</v>
      </c>
      <c r="H355" s="205" t="s">
        <v>1408</v>
      </c>
      <c r="I355" s="23"/>
    </row>
    <row r="356" spans="1:9">
      <c r="A356" s="205" t="s">
        <v>1408</v>
      </c>
      <c r="B356" s="23" t="s">
        <v>2466</v>
      </c>
      <c r="C356" s="23" t="s">
        <v>2467</v>
      </c>
      <c r="D356" s="23">
        <v>40.5</v>
      </c>
      <c r="E356" s="23" t="s">
        <v>2389</v>
      </c>
      <c r="F356" s="23" t="s">
        <v>2386</v>
      </c>
      <c r="G356" s="23" t="s">
        <v>2509</v>
      </c>
      <c r="H356" s="205" t="s">
        <v>1408</v>
      </c>
      <c r="I356" s="23"/>
    </row>
    <row r="357" spans="1:9">
      <c r="A357" s="205" t="s">
        <v>1408</v>
      </c>
      <c r="B357" s="23" t="s">
        <v>2468</v>
      </c>
      <c r="C357" s="23" t="s">
        <v>2469</v>
      </c>
      <c r="D357" s="23">
        <v>125.235</v>
      </c>
      <c r="E357" s="23" t="s">
        <v>2389</v>
      </c>
      <c r="F357" s="23" t="s">
        <v>2386</v>
      </c>
      <c r="G357" s="23" t="s">
        <v>2509</v>
      </c>
      <c r="H357" s="205" t="s">
        <v>1408</v>
      </c>
      <c r="I357" s="23"/>
    </row>
    <row r="358" spans="1:9">
      <c r="A358" s="205" t="s">
        <v>1408</v>
      </c>
      <c r="B358" s="23" t="s">
        <v>2470</v>
      </c>
      <c r="C358" s="23" t="s">
        <v>2471</v>
      </c>
      <c r="D358" s="23">
        <v>113.85</v>
      </c>
      <c r="E358" s="23" t="s">
        <v>2389</v>
      </c>
      <c r="F358" s="23" t="s">
        <v>2386</v>
      </c>
      <c r="G358" s="23" t="s">
        <v>2509</v>
      </c>
      <c r="H358" s="205" t="s">
        <v>1408</v>
      </c>
      <c r="I358" s="23"/>
    </row>
    <row r="359" spans="1:9">
      <c r="A359" s="205" t="s">
        <v>1408</v>
      </c>
      <c r="B359" s="23" t="s">
        <v>2472</v>
      </c>
      <c r="C359" s="23" t="s">
        <v>2473</v>
      </c>
      <c r="D359" s="23">
        <v>92.73599999999999</v>
      </c>
      <c r="E359" s="23" t="s">
        <v>2389</v>
      </c>
      <c r="F359" s="23" t="s">
        <v>2386</v>
      </c>
      <c r="G359" s="23" t="s">
        <v>2509</v>
      </c>
      <c r="H359" s="205" t="s">
        <v>1408</v>
      </c>
      <c r="I359" s="23"/>
    </row>
    <row r="360" spans="1:9">
      <c r="A360" s="205" t="s">
        <v>1408</v>
      </c>
      <c r="B360" s="23" t="s">
        <v>2474</v>
      </c>
      <c r="C360" s="23" t="s">
        <v>2475</v>
      </c>
      <c r="D360" s="23">
        <v>46.98899999999999</v>
      </c>
      <c r="E360" s="23" t="s">
        <v>2389</v>
      </c>
      <c r="F360" s="23" t="s">
        <v>2386</v>
      </c>
      <c r="G360" s="23" t="s">
        <v>2509</v>
      </c>
      <c r="H360" s="205" t="s">
        <v>1408</v>
      </c>
      <c r="I360" s="23"/>
    </row>
    <row r="361" spans="1:9">
      <c r="A361" s="205" t="s">
        <v>1408</v>
      </c>
      <c r="B361" s="23" t="s">
        <v>2476</v>
      </c>
      <c r="C361" s="23" t="s">
        <v>2453</v>
      </c>
      <c r="D361" s="23">
        <v>130.68</v>
      </c>
      <c r="E361" s="23" t="s">
        <v>2389</v>
      </c>
      <c r="F361" s="23" t="s">
        <v>2386</v>
      </c>
      <c r="G361" s="23" t="s">
        <v>2509</v>
      </c>
      <c r="H361" s="205" t="s">
        <v>1408</v>
      </c>
      <c r="I361" s="23"/>
    </row>
    <row r="362" spans="1:9">
      <c r="A362" s="205" t="s">
        <v>1408</v>
      </c>
      <c r="B362" s="23" t="s">
        <v>2477</v>
      </c>
      <c r="C362" s="23" t="s">
        <v>2478</v>
      </c>
      <c r="D362" s="23">
        <v>40.157999999999994</v>
      </c>
      <c r="E362" s="23" t="s">
        <v>2389</v>
      </c>
      <c r="F362" s="23" t="s">
        <v>2386</v>
      </c>
      <c r="G362" s="23" t="s">
        <v>2509</v>
      </c>
      <c r="H362" s="205" t="s">
        <v>1408</v>
      </c>
      <c r="I362" s="23"/>
    </row>
    <row r="363" spans="1:9">
      <c r="A363" s="205" t="s">
        <v>1408</v>
      </c>
      <c r="B363" s="23" t="s">
        <v>2479</v>
      </c>
      <c r="C363" s="23" t="s">
        <v>2480</v>
      </c>
      <c r="D363" s="23">
        <v>26.081999999999994</v>
      </c>
      <c r="E363" s="23" t="s">
        <v>2389</v>
      </c>
      <c r="F363" s="23" t="s">
        <v>2386</v>
      </c>
      <c r="G363" s="23" t="s">
        <v>2509</v>
      </c>
      <c r="H363" s="205" t="s">
        <v>1408</v>
      </c>
      <c r="I363" s="23"/>
    </row>
    <row r="364" spans="1:9">
      <c r="A364" s="205" t="s">
        <v>1408</v>
      </c>
      <c r="B364" s="23" t="s">
        <v>2481</v>
      </c>
      <c r="C364" s="23" t="s">
        <v>2482</v>
      </c>
      <c r="D364" s="23">
        <v>77.831999999999994</v>
      </c>
      <c r="E364" s="23" t="s">
        <v>2389</v>
      </c>
      <c r="F364" s="23" t="s">
        <v>2386</v>
      </c>
      <c r="G364" s="23" t="s">
        <v>2509</v>
      </c>
      <c r="H364" s="205" t="s">
        <v>1408</v>
      </c>
      <c r="I364" s="23"/>
    </row>
    <row r="365" spans="1:9">
      <c r="A365" s="205" t="s">
        <v>1408</v>
      </c>
      <c r="B365" s="23" t="s">
        <v>2483</v>
      </c>
      <c r="C365" s="23" t="s">
        <v>2484</v>
      </c>
      <c r="D365" s="23">
        <v>146.55599999999998</v>
      </c>
      <c r="E365" s="23" t="s">
        <v>2389</v>
      </c>
      <c r="F365" s="23" t="s">
        <v>2386</v>
      </c>
      <c r="G365" s="23" t="s">
        <v>2509</v>
      </c>
      <c r="H365" s="205" t="s">
        <v>1408</v>
      </c>
      <c r="I365" s="23"/>
    </row>
    <row r="366" spans="1:9">
      <c r="A366" s="205" t="s">
        <v>1408</v>
      </c>
      <c r="B366" s="23" t="s">
        <v>2485</v>
      </c>
      <c r="C366" s="23" t="s">
        <v>2486</v>
      </c>
      <c r="D366" s="23">
        <v>172.22399999999999</v>
      </c>
      <c r="E366" s="23" t="s">
        <v>2389</v>
      </c>
      <c r="F366" s="23" t="s">
        <v>2386</v>
      </c>
      <c r="G366" s="23" t="s">
        <v>2509</v>
      </c>
      <c r="H366" s="205" t="s">
        <v>1408</v>
      </c>
      <c r="I366" s="23"/>
    </row>
    <row r="367" spans="1:9">
      <c r="A367" s="205" t="s">
        <v>1408</v>
      </c>
      <c r="B367" s="23" t="s">
        <v>2437</v>
      </c>
      <c r="C367" s="23" t="s">
        <v>2438</v>
      </c>
      <c r="D367" s="23">
        <v>536.36</v>
      </c>
      <c r="E367" s="23" t="s">
        <v>2389</v>
      </c>
      <c r="F367" s="23" t="s">
        <v>797</v>
      </c>
      <c r="G367" s="23" t="s">
        <v>797</v>
      </c>
      <c r="H367" s="205" t="s">
        <v>1408</v>
      </c>
      <c r="I367" s="23"/>
    </row>
    <row r="368" spans="1:9">
      <c r="A368" s="205" t="s">
        <v>1408</v>
      </c>
      <c r="B368" s="23" t="s">
        <v>2439</v>
      </c>
      <c r="C368" s="23" t="s">
        <v>2440</v>
      </c>
      <c r="D368" s="23">
        <v>560</v>
      </c>
      <c r="E368" s="23" t="s">
        <v>2389</v>
      </c>
      <c r="F368" s="23" t="s">
        <v>797</v>
      </c>
      <c r="G368" s="23" t="s">
        <v>797</v>
      </c>
      <c r="H368" s="205" t="s">
        <v>1408</v>
      </c>
      <c r="I368" s="23"/>
    </row>
    <row r="369" spans="1:9">
      <c r="A369" s="205" t="s">
        <v>1408</v>
      </c>
      <c r="B369" s="23" t="s">
        <v>2441</v>
      </c>
      <c r="C369" s="23" t="s">
        <v>2440</v>
      </c>
      <c r="D369" s="23">
        <v>810</v>
      </c>
      <c r="E369" s="23" t="s">
        <v>2389</v>
      </c>
      <c r="F369" s="23" t="s">
        <v>797</v>
      </c>
      <c r="G369" s="23" t="s">
        <v>797</v>
      </c>
      <c r="H369" s="205" t="s">
        <v>1408</v>
      </c>
      <c r="I369" s="23"/>
    </row>
    <row r="370" spans="1:9">
      <c r="A370" s="205" t="s">
        <v>1408</v>
      </c>
      <c r="B370" s="23" t="s">
        <v>2442</v>
      </c>
      <c r="C370" s="23" t="s">
        <v>2443</v>
      </c>
      <c r="D370" s="23">
        <v>475.6</v>
      </c>
      <c r="E370" s="23" t="s">
        <v>2389</v>
      </c>
      <c r="F370" s="23" t="s">
        <v>797</v>
      </c>
      <c r="G370" s="23" t="s">
        <v>797</v>
      </c>
      <c r="H370" s="205" t="s">
        <v>1408</v>
      </c>
      <c r="I370" s="23"/>
    </row>
    <row r="371" spans="1:9">
      <c r="A371" s="205" t="s">
        <v>1408</v>
      </c>
      <c r="B371" s="23" t="s">
        <v>2444</v>
      </c>
      <c r="C371" s="23" t="s">
        <v>2445</v>
      </c>
      <c r="D371" s="23">
        <v>848</v>
      </c>
      <c r="E371" s="23" t="s">
        <v>2389</v>
      </c>
      <c r="F371" s="23" t="s">
        <v>797</v>
      </c>
      <c r="G371" s="23" t="s">
        <v>797</v>
      </c>
      <c r="H371" s="205" t="s">
        <v>1408</v>
      </c>
      <c r="I371" s="23"/>
    </row>
    <row r="372" spans="1:9">
      <c r="A372" s="205" t="s">
        <v>1408</v>
      </c>
      <c r="B372" s="23" t="s">
        <v>2446</v>
      </c>
      <c r="C372" s="23" t="s">
        <v>2447</v>
      </c>
      <c r="D372" s="23">
        <v>508</v>
      </c>
      <c r="E372" s="23" t="s">
        <v>2389</v>
      </c>
      <c r="F372" s="23" t="s">
        <v>797</v>
      </c>
      <c r="G372" s="23" t="s">
        <v>797</v>
      </c>
      <c r="H372" s="205" t="s">
        <v>1408</v>
      </c>
      <c r="I372" s="23"/>
    </row>
    <row r="373" spans="1:9">
      <c r="A373" s="205" t="s">
        <v>1408</v>
      </c>
      <c r="B373" s="23" t="s">
        <v>2448</v>
      </c>
      <c r="C373" s="23" t="s">
        <v>2449</v>
      </c>
      <c r="D373" s="23">
        <v>652</v>
      </c>
      <c r="E373" s="23" t="s">
        <v>2389</v>
      </c>
      <c r="F373" s="23" t="s">
        <v>797</v>
      </c>
      <c r="G373" s="23" t="s">
        <v>797</v>
      </c>
      <c r="H373" s="205" t="s">
        <v>1408</v>
      </c>
      <c r="I373" s="23"/>
    </row>
    <row r="374" spans="1:9">
      <c r="A374" s="205" t="s">
        <v>1408</v>
      </c>
      <c r="B374" s="23" t="s">
        <v>2450</v>
      </c>
      <c r="C374" s="23" t="s">
        <v>2451</v>
      </c>
      <c r="D374" s="23">
        <v>552</v>
      </c>
      <c r="E374" s="23" t="s">
        <v>2389</v>
      </c>
      <c r="F374" s="23" t="s">
        <v>797</v>
      </c>
      <c r="G374" s="23" t="s">
        <v>797</v>
      </c>
      <c r="H374" s="205" t="s">
        <v>1408</v>
      </c>
      <c r="I374" s="23"/>
    </row>
    <row r="375" spans="1:9">
      <c r="A375" s="205" t="s">
        <v>1408</v>
      </c>
      <c r="B375" s="23" t="s">
        <v>2452</v>
      </c>
      <c r="C375" s="23" t="s">
        <v>2453</v>
      </c>
      <c r="D375" s="23">
        <v>510</v>
      </c>
      <c r="E375" s="23" t="s">
        <v>2389</v>
      </c>
      <c r="F375" s="23" t="s">
        <v>797</v>
      </c>
      <c r="G375" s="23" t="s">
        <v>797</v>
      </c>
      <c r="H375" s="205" t="s">
        <v>1408</v>
      </c>
      <c r="I375" s="23"/>
    </row>
    <row r="376" spans="1:9">
      <c r="A376" s="205" t="s">
        <v>1408</v>
      </c>
      <c r="B376" s="23" t="s">
        <v>2454</v>
      </c>
      <c r="C376" s="23" t="s">
        <v>2455</v>
      </c>
      <c r="D376" s="23">
        <v>800</v>
      </c>
      <c r="E376" s="23" t="s">
        <v>2389</v>
      </c>
      <c r="F376" s="23" t="s">
        <v>797</v>
      </c>
      <c r="G376" s="23" t="s">
        <v>797</v>
      </c>
      <c r="H376" s="205" t="s">
        <v>1408</v>
      </c>
      <c r="I376" s="23"/>
    </row>
    <row r="377" spans="1:9">
      <c r="A377" s="205" t="s">
        <v>1408</v>
      </c>
      <c r="B377" s="23" t="s">
        <v>2456</v>
      </c>
      <c r="C377" s="23" t="s">
        <v>2457</v>
      </c>
      <c r="D377" s="23">
        <v>508</v>
      </c>
      <c r="E377" s="23" t="s">
        <v>2389</v>
      </c>
      <c r="F377" s="23" t="s">
        <v>797</v>
      </c>
      <c r="G377" s="23" t="s">
        <v>797</v>
      </c>
      <c r="H377" s="205" t="s">
        <v>1408</v>
      </c>
      <c r="I377" s="23"/>
    </row>
    <row r="378" spans="1:9">
      <c r="A378" s="205" t="s">
        <v>1408</v>
      </c>
      <c r="B378" s="23" t="s">
        <v>2458</v>
      </c>
      <c r="C378" s="23" t="s">
        <v>2459</v>
      </c>
      <c r="D378" s="23">
        <v>368</v>
      </c>
      <c r="E378" s="23" t="s">
        <v>2389</v>
      </c>
      <c r="F378" s="23" t="s">
        <v>797</v>
      </c>
      <c r="G378" s="23" t="s">
        <v>797</v>
      </c>
      <c r="H378" s="205" t="s">
        <v>1408</v>
      </c>
      <c r="I378" s="23"/>
    </row>
    <row r="379" spans="1:9">
      <c r="A379" s="205" t="s">
        <v>1408</v>
      </c>
      <c r="B379" s="23" t="s">
        <v>2460</v>
      </c>
      <c r="C379" s="23" t="s">
        <v>2461</v>
      </c>
      <c r="D379" s="23">
        <v>42.800000000000004</v>
      </c>
      <c r="E379" s="23" t="s">
        <v>2389</v>
      </c>
      <c r="F379" s="23" t="s">
        <v>797</v>
      </c>
      <c r="G379" s="23" t="s">
        <v>797</v>
      </c>
      <c r="H379" s="205" t="s">
        <v>1408</v>
      </c>
      <c r="I379" s="23"/>
    </row>
    <row r="380" spans="1:9">
      <c r="A380" s="205" t="s">
        <v>1408</v>
      </c>
      <c r="B380" s="23" t="s">
        <v>2462</v>
      </c>
      <c r="C380" s="23" t="s">
        <v>2463</v>
      </c>
      <c r="D380" s="23">
        <v>46</v>
      </c>
      <c r="E380" s="23" t="s">
        <v>2389</v>
      </c>
      <c r="F380" s="23" t="s">
        <v>797</v>
      </c>
      <c r="G380" s="23" t="s">
        <v>797</v>
      </c>
      <c r="H380" s="205" t="s">
        <v>1408</v>
      </c>
      <c r="I380" s="23"/>
    </row>
    <row r="381" spans="1:9">
      <c r="A381" s="205" t="s">
        <v>1408</v>
      </c>
      <c r="B381" s="23" t="s">
        <v>2464</v>
      </c>
      <c r="C381" s="23" t="s">
        <v>2465</v>
      </c>
      <c r="D381" s="23">
        <v>201.94</v>
      </c>
      <c r="E381" s="23" t="s">
        <v>2389</v>
      </c>
      <c r="F381" s="23" t="s">
        <v>797</v>
      </c>
      <c r="G381" s="23" t="s">
        <v>797</v>
      </c>
      <c r="H381" s="205" t="s">
        <v>1408</v>
      </c>
      <c r="I381" s="23"/>
    </row>
    <row r="382" spans="1:9">
      <c r="A382" s="205" t="s">
        <v>1408</v>
      </c>
      <c r="B382" s="23" t="s">
        <v>2466</v>
      </c>
      <c r="C382" s="23" t="s">
        <v>2467</v>
      </c>
      <c r="D382" s="23">
        <v>90</v>
      </c>
      <c r="E382" s="23" t="s">
        <v>2389</v>
      </c>
      <c r="F382" s="23" t="s">
        <v>797</v>
      </c>
      <c r="G382" s="23" t="s">
        <v>797</v>
      </c>
      <c r="H382" s="205" t="s">
        <v>1408</v>
      </c>
      <c r="I382" s="23"/>
    </row>
    <row r="383" spans="1:9">
      <c r="A383" s="205" t="s">
        <v>1408</v>
      </c>
      <c r="B383" s="23" t="s">
        <v>2468</v>
      </c>
      <c r="C383" s="23" t="s">
        <v>2469</v>
      </c>
      <c r="D383" s="23">
        <v>278.3</v>
      </c>
      <c r="E383" s="23" t="s">
        <v>2389</v>
      </c>
      <c r="F383" s="23" t="s">
        <v>797</v>
      </c>
      <c r="G383" s="23" t="s">
        <v>797</v>
      </c>
      <c r="H383" s="205" t="s">
        <v>1408</v>
      </c>
      <c r="I383" s="23"/>
    </row>
    <row r="384" spans="1:9">
      <c r="A384" s="205" t="s">
        <v>1408</v>
      </c>
      <c r="B384" s="23" t="s">
        <v>2470</v>
      </c>
      <c r="C384" s="23" t="s">
        <v>2471</v>
      </c>
      <c r="D384" s="23">
        <v>253</v>
      </c>
      <c r="E384" s="23" t="s">
        <v>2389</v>
      </c>
      <c r="F384" s="23" t="s">
        <v>797</v>
      </c>
      <c r="G384" s="23" t="s">
        <v>797</v>
      </c>
      <c r="H384" s="205" t="s">
        <v>1408</v>
      </c>
      <c r="I384" s="23"/>
    </row>
    <row r="385" spans="1:9">
      <c r="A385" s="205" t="s">
        <v>1408</v>
      </c>
      <c r="B385" s="23" t="s">
        <v>2472</v>
      </c>
      <c r="C385" s="23" t="s">
        <v>2473</v>
      </c>
      <c r="D385" s="23">
        <v>206.07999999999998</v>
      </c>
      <c r="E385" s="23" t="s">
        <v>2389</v>
      </c>
      <c r="F385" s="23" t="s">
        <v>797</v>
      </c>
      <c r="G385" s="23" t="s">
        <v>797</v>
      </c>
      <c r="H385" s="205" t="s">
        <v>1408</v>
      </c>
      <c r="I385" s="23"/>
    </row>
    <row r="386" spans="1:9">
      <c r="A386" s="205" t="s">
        <v>1408</v>
      </c>
      <c r="B386" s="23" t="s">
        <v>2474</v>
      </c>
      <c r="C386" s="23" t="s">
        <v>2475</v>
      </c>
      <c r="D386" s="23">
        <v>104.41999999999999</v>
      </c>
      <c r="E386" s="23" t="s">
        <v>2389</v>
      </c>
      <c r="F386" s="23" t="s">
        <v>797</v>
      </c>
      <c r="G386" s="23" t="s">
        <v>797</v>
      </c>
      <c r="H386" s="205" t="s">
        <v>1408</v>
      </c>
      <c r="I386" s="23"/>
    </row>
    <row r="387" spans="1:9">
      <c r="A387" s="205" t="s">
        <v>1408</v>
      </c>
      <c r="B387" s="23" t="s">
        <v>2476</v>
      </c>
      <c r="C387" s="23" t="s">
        <v>2453</v>
      </c>
      <c r="D387" s="23">
        <v>290.40000000000003</v>
      </c>
      <c r="E387" s="23" t="s">
        <v>2389</v>
      </c>
      <c r="F387" s="23" t="s">
        <v>797</v>
      </c>
      <c r="G387" s="23" t="s">
        <v>797</v>
      </c>
      <c r="H387" s="205" t="s">
        <v>1408</v>
      </c>
      <c r="I387" s="23"/>
    </row>
    <row r="388" spans="1:9">
      <c r="A388" s="205" t="s">
        <v>1408</v>
      </c>
      <c r="B388" s="23" t="s">
        <v>2477</v>
      </c>
      <c r="C388" s="23" t="s">
        <v>2478</v>
      </c>
      <c r="D388" s="23">
        <v>89.240000000000009</v>
      </c>
      <c r="E388" s="23" t="s">
        <v>2389</v>
      </c>
      <c r="F388" s="23" t="s">
        <v>797</v>
      </c>
      <c r="G388" s="23" t="s">
        <v>797</v>
      </c>
      <c r="H388" s="205" t="s">
        <v>1408</v>
      </c>
      <c r="I388" s="23"/>
    </row>
    <row r="389" spans="1:9">
      <c r="A389" s="205" t="s">
        <v>1408</v>
      </c>
      <c r="B389" s="23" t="s">
        <v>2479</v>
      </c>
      <c r="C389" s="23" t="s">
        <v>2480</v>
      </c>
      <c r="D389" s="23">
        <v>57.959999999999994</v>
      </c>
      <c r="E389" s="23" t="s">
        <v>2389</v>
      </c>
      <c r="F389" s="23" t="s">
        <v>797</v>
      </c>
      <c r="G389" s="23" t="s">
        <v>797</v>
      </c>
      <c r="H389" s="205" t="s">
        <v>1408</v>
      </c>
      <c r="I389" s="23"/>
    </row>
    <row r="390" spans="1:9">
      <c r="A390" s="205" t="s">
        <v>1408</v>
      </c>
      <c r="B390" s="23" t="s">
        <v>2481</v>
      </c>
      <c r="C390" s="23" t="s">
        <v>2482</v>
      </c>
      <c r="D390" s="23">
        <v>172.96</v>
      </c>
      <c r="E390" s="23" t="s">
        <v>2389</v>
      </c>
      <c r="F390" s="23" t="s">
        <v>797</v>
      </c>
      <c r="G390" s="23" t="s">
        <v>797</v>
      </c>
      <c r="H390" s="205" t="s">
        <v>1408</v>
      </c>
      <c r="I390" s="23"/>
    </row>
    <row r="391" spans="1:9">
      <c r="A391" s="205" t="s">
        <v>1408</v>
      </c>
      <c r="B391" s="23" t="s">
        <v>2483</v>
      </c>
      <c r="C391" s="23" t="s">
        <v>2484</v>
      </c>
      <c r="D391" s="23">
        <v>325.68</v>
      </c>
      <c r="E391" s="23" t="s">
        <v>2389</v>
      </c>
      <c r="F391" s="23" t="s">
        <v>797</v>
      </c>
      <c r="G391" s="23" t="s">
        <v>797</v>
      </c>
      <c r="H391" s="205" t="s">
        <v>1408</v>
      </c>
      <c r="I391" s="23"/>
    </row>
    <row r="392" spans="1:9">
      <c r="A392" s="205" t="s">
        <v>1408</v>
      </c>
      <c r="B392" s="23" t="s">
        <v>2485</v>
      </c>
      <c r="C392" s="23" t="s">
        <v>2486</v>
      </c>
      <c r="D392" s="23">
        <v>382.72</v>
      </c>
      <c r="E392" s="23" t="s">
        <v>2389</v>
      </c>
      <c r="F392" s="23" t="s">
        <v>797</v>
      </c>
      <c r="G392" s="23" t="s">
        <v>797</v>
      </c>
      <c r="H392" s="205" t="s">
        <v>1408</v>
      </c>
      <c r="I392" s="23"/>
    </row>
    <row r="393" spans="1:9">
      <c r="A393" s="205" t="s">
        <v>1608</v>
      </c>
      <c r="B393" s="23" t="s">
        <v>2404</v>
      </c>
      <c r="C393" s="23" t="s">
        <v>2405</v>
      </c>
      <c r="D393" s="23">
        <v>46.559999999999995</v>
      </c>
      <c r="E393" s="23" t="s">
        <v>2385</v>
      </c>
      <c r="F393" s="23" t="s">
        <v>2386</v>
      </c>
      <c r="G393" s="23" t="s">
        <v>2509</v>
      </c>
      <c r="H393" s="205" t="s">
        <v>1608</v>
      </c>
      <c r="I393" s="23"/>
    </row>
    <row r="394" spans="1:9">
      <c r="A394" s="205" t="s">
        <v>1608</v>
      </c>
      <c r="B394" s="23" t="s">
        <v>2406</v>
      </c>
      <c r="C394" s="23" t="s">
        <v>2407</v>
      </c>
      <c r="D394" s="23">
        <v>6.12</v>
      </c>
      <c r="E394" s="23" t="s">
        <v>2385</v>
      </c>
      <c r="F394" s="23" t="s">
        <v>2386</v>
      </c>
      <c r="G394" s="23" t="s">
        <v>2509</v>
      </c>
      <c r="H394" s="205" t="s">
        <v>1608</v>
      </c>
      <c r="I394" s="23"/>
    </row>
    <row r="395" spans="1:9">
      <c r="A395" s="205" t="s">
        <v>1608</v>
      </c>
      <c r="B395" s="23" t="s">
        <v>2408</v>
      </c>
      <c r="C395" s="23" t="s">
        <v>2409</v>
      </c>
      <c r="D395" s="23">
        <v>103.2</v>
      </c>
      <c r="E395" s="23" t="s">
        <v>2385</v>
      </c>
      <c r="F395" s="23" t="s">
        <v>2386</v>
      </c>
      <c r="G395" s="23" t="s">
        <v>2509</v>
      </c>
      <c r="H395" s="205" t="s">
        <v>1608</v>
      </c>
      <c r="I395" s="23"/>
    </row>
    <row r="396" spans="1:9">
      <c r="A396" s="205" t="s">
        <v>1608</v>
      </c>
      <c r="B396" s="23" t="s">
        <v>2410</v>
      </c>
      <c r="C396" s="23" t="s">
        <v>2411</v>
      </c>
      <c r="D396" s="23">
        <v>41.4</v>
      </c>
      <c r="E396" s="23" t="s">
        <v>2385</v>
      </c>
      <c r="F396" s="23" t="s">
        <v>2386</v>
      </c>
      <c r="G396" s="23" t="s">
        <v>2509</v>
      </c>
      <c r="H396" s="205" t="s">
        <v>1608</v>
      </c>
      <c r="I396" s="23"/>
    </row>
    <row r="397" spans="1:9">
      <c r="A397" s="205" t="s">
        <v>1608</v>
      </c>
      <c r="B397" s="23" t="s">
        <v>2412</v>
      </c>
      <c r="C397" s="23" t="s">
        <v>2413</v>
      </c>
      <c r="D397" s="23">
        <v>96</v>
      </c>
      <c r="E397" s="23" t="s">
        <v>2385</v>
      </c>
      <c r="F397" s="23" t="s">
        <v>2386</v>
      </c>
      <c r="G397" s="23" t="s">
        <v>2509</v>
      </c>
      <c r="H397" s="205" t="s">
        <v>1608</v>
      </c>
      <c r="I397" s="23"/>
    </row>
    <row r="398" spans="1:9">
      <c r="A398" s="205" t="s">
        <v>1608</v>
      </c>
      <c r="B398" s="23" t="s">
        <v>2414</v>
      </c>
      <c r="C398" s="23" t="s">
        <v>2415</v>
      </c>
      <c r="D398" s="23">
        <v>69</v>
      </c>
      <c r="E398" s="23" t="s">
        <v>2385</v>
      </c>
      <c r="F398" s="23" t="s">
        <v>2386</v>
      </c>
      <c r="G398" s="23" t="s">
        <v>2509</v>
      </c>
      <c r="H398" s="205" t="s">
        <v>1608</v>
      </c>
      <c r="I398" s="23"/>
    </row>
    <row r="399" spans="1:9">
      <c r="A399" s="205" t="s">
        <v>1608</v>
      </c>
      <c r="B399" s="23" t="s">
        <v>2416</v>
      </c>
      <c r="C399" s="23" t="s">
        <v>2417</v>
      </c>
      <c r="D399" s="23">
        <v>51.72</v>
      </c>
      <c r="E399" s="23" t="s">
        <v>2385</v>
      </c>
      <c r="F399" s="23" t="s">
        <v>2386</v>
      </c>
      <c r="G399" s="23" t="s">
        <v>2509</v>
      </c>
      <c r="H399" s="205" t="s">
        <v>1608</v>
      </c>
      <c r="I399" s="23"/>
    </row>
    <row r="400" spans="1:9">
      <c r="A400" s="205" t="s">
        <v>1608</v>
      </c>
      <c r="B400" s="23" t="s">
        <v>2418</v>
      </c>
      <c r="C400" s="23" t="s">
        <v>2419</v>
      </c>
      <c r="D400" s="23">
        <v>148.35</v>
      </c>
      <c r="E400" s="23" t="s">
        <v>2385</v>
      </c>
      <c r="F400" s="23" t="s">
        <v>2386</v>
      </c>
      <c r="G400" s="23" t="s">
        <v>2509</v>
      </c>
      <c r="H400" s="205" t="s">
        <v>1608</v>
      </c>
      <c r="I400" s="23"/>
    </row>
    <row r="401" spans="1:9">
      <c r="A401" s="205" t="s">
        <v>1608</v>
      </c>
      <c r="B401" s="23" t="s">
        <v>2420</v>
      </c>
      <c r="C401" s="23" t="s">
        <v>2421</v>
      </c>
      <c r="D401" s="23">
        <v>105</v>
      </c>
      <c r="E401" s="23" t="s">
        <v>2385</v>
      </c>
      <c r="F401" s="23" t="s">
        <v>2386</v>
      </c>
      <c r="G401" s="23" t="s">
        <v>2509</v>
      </c>
      <c r="H401" s="205" t="s">
        <v>1608</v>
      </c>
      <c r="I401" s="23"/>
    </row>
    <row r="402" spans="1:9">
      <c r="A402" s="205" t="s">
        <v>1608</v>
      </c>
      <c r="B402" s="23" t="s">
        <v>2422</v>
      </c>
      <c r="C402" s="23" t="s">
        <v>2423</v>
      </c>
      <c r="D402" s="23">
        <v>138</v>
      </c>
      <c r="E402" s="23" t="s">
        <v>2385</v>
      </c>
      <c r="F402" s="23" t="s">
        <v>2386</v>
      </c>
      <c r="G402" s="23" t="s">
        <v>2509</v>
      </c>
      <c r="H402" s="205" t="s">
        <v>1608</v>
      </c>
      <c r="I402" s="23"/>
    </row>
    <row r="403" spans="1:9">
      <c r="A403" s="205" t="s">
        <v>1608</v>
      </c>
      <c r="B403" s="23" t="s">
        <v>2424</v>
      </c>
      <c r="C403" s="23" t="s">
        <v>2425</v>
      </c>
      <c r="D403" s="23">
        <v>96.6</v>
      </c>
      <c r="E403" s="23" t="s">
        <v>2385</v>
      </c>
      <c r="F403" s="23" t="s">
        <v>2386</v>
      </c>
      <c r="G403" s="23" t="s">
        <v>2509</v>
      </c>
      <c r="H403" s="205" t="s">
        <v>1608</v>
      </c>
      <c r="I403" s="23"/>
    </row>
    <row r="404" spans="1:9">
      <c r="A404" s="205" t="s">
        <v>1608</v>
      </c>
      <c r="B404" s="23" t="s">
        <v>2426</v>
      </c>
      <c r="C404" s="23" t="s">
        <v>2427</v>
      </c>
      <c r="D404" s="23">
        <v>156</v>
      </c>
      <c r="E404" s="23" t="s">
        <v>2385</v>
      </c>
      <c r="F404" s="23" t="s">
        <v>2386</v>
      </c>
      <c r="G404" s="23" t="s">
        <v>2509</v>
      </c>
      <c r="H404" s="205" t="s">
        <v>1608</v>
      </c>
      <c r="I404" s="23"/>
    </row>
    <row r="405" spans="1:9">
      <c r="A405" s="205" t="s">
        <v>1608</v>
      </c>
      <c r="B405" s="23" t="s">
        <v>2428</v>
      </c>
      <c r="C405" s="23" t="s">
        <v>2429</v>
      </c>
      <c r="D405" s="23">
        <v>124.19999999999999</v>
      </c>
      <c r="E405" s="23" t="s">
        <v>2385</v>
      </c>
      <c r="F405" s="23" t="s">
        <v>2386</v>
      </c>
      <c r="G405" s="23" t="s">
        <v>2509</v>
      </c>
      <c r="H405" s="205" t="s">
        <v>1608</v>
      </c>
      <c r="I405" s="23"/>
    </row>
    <row r="406" spans="1:9">
      <c r="A406" s="205" t="s">
        <v>1608</v>
      </c>
      <c r="B406" s="23" t="s">
        <v>2430</v>
      </c>
      <c r="C406" s="23" t="s">
        <v>2431</v>
      </c>
      <c r="D406" s="23">
        <v>152.51999999999998</v>
      </c>
      <c r="E406" s="23" t="s">
        <v>2385</v>
      </c>
      <c r="F406" s="23" t="s">
        <v>2386</v>
      </c>
      <c r="G406" s="23" t="s">
        <v>2509</v>
      </c>
      <c r="H406" s="205" t="s">
        <v>1608</v>
      </c>
      <c r="I406" s="23"/>
    </row>
    <row r="407" spans="1:9">
      <c r="A407" s="205" t="s">
        <v>1608</v>
      </c>
      <c r="B407" s="23" t="s">
        <v>2432</v>
      </c>
      <c r="C407" s="23" t="s">
        <v>2433</v>
      </c>
      <c r="D407" s="23">
        <v>123.96</v>
      </c>
      <c r="E407" s="23" t="s">
        <v>2385</v>
      </c>
      <c r="F407" s="23" t="s">
        <v>2386</v>
      </c>
      <c r="G407" s="23" t="s">
        <v>2509</v>
      </c>
      <c r="H407" s="205" t="s">
        <v>1608</v>
      </c>
      <c r="I407" s="23"/>
    </row>
    <row r="408" spans="1:9">
      <c r="A408" s="205" t="s">
        <v>1608</v>
      </c>
      <c r="B408" s="23" t="s">
        <v>2434</v>
      </c>
      <c r="C408" s="23" t="s">
        <v>2435</v>
      </c>
      <c r="D408" s="23">
        <v>345</v>
      </c>
      <c r="E408" s="23" t="s">
        <v>2385</v>
      </c>
      <c r="F408" s="23" t="s">
        <v>2386</v>
      </c>
      <c r="G408" s="23" t="s">
        <v>2509</v>
      </c>
      <c r="H408" s="205" t="s">
        <v>1608</v>
      </c>
      <c r="I408" s="23"/>
    </row>
    <row r="409" spans="1:9">
      <c r="A409" s="205" t="s">
        <v>1608</v>
      </c>
      <c r="B409" s="23" t="s">
        <v>2436</v>
      </c>
      <c r="C409" s="23" t="s">
        <v>2427</v>
      </c>
      <c r="D409" s="23">
        <v>110.39999999999999</v>
      </c>
      <c r="E409" s="23" t="s">
        <v>2385</v>
      </c>
      <c r="F409" s="23" t="s">
        <v>2386</v>
      </c>
      <c r="G409" s="23" t="s">
        <v>2509</v>
      </c>
      <c r="H409" s="205" t="s">
        <v>1608</v>
      </c>
      <c r="I409" s="23"/>
    </row>
    <row r="410" spans="1:9">
      <c r="A410" s="205" t="s">
        <v>1608</v>
      </c>
      <c r="B410" s="216" t="s">
        <v>2404</v>
      </c>
      <c r="C410" s="216" t="s">
        <v>2405</v>
      </c>
      <c r="D410" s="23">
        <v>155.20000000000002</v>
      </c>
      <c r="E410" s="23" t="s">
        <v>2385</v>
      </c>
      <c r="F410" s="23" t="s">
        <v>797</v>
      </c>
      <c r="G410" s="23" t="s">
        <v>797</v>
      </c>
      <c r="H410" s="205" t="s">
        <v>1608</v>
      </c>
      <c r="I410" s="23"/>
    </row>
    <row r="411" spans="1:9">
      <c r="A411" s="205" t="s">
        <v>1608</v>
      </c>
      <c r="B411" s="216" t="s">
        <v>2406</v>
      </c>
      <c r="C411" s="216" t="s">
        <v>2407</v>
      </c>
      <c r="D411" s="23">
        <v>20.400000000000002</v>
      </c>
      <c r="E411" s="23" t="s">
        <v>2385</v>
      </c>
      <c r="F411" s="23" t="s">
        <v>797</v>
      </c>
      <c r="G411" s="23" t="s">
        <v>797</v>
      </c>
      <c r="H411" s="205" t="s">
        <v>1608</v>
      </c>
      <c r="I411" s="23"/>
    </row>
    <row r="412" spans="1:9">
      <c r="A412" s="205" t="s">
        <v>1608</v>
      </c>
      <c r="B412" s="216" t="s">
        <v>2408</v>
      </c>
      <c r="C412" s="216" t="s">
        <v>2409</v>
      </c>
      <c r="D412" s="23">
        <v>344</v>
      </c>
      <c r="E412" s="23" t="s">
        <v>2385</v>
      </c>
      <c r="F412" s="23" t="s">
        <v>797</v>
      </c>
      <c r="G412" s="23" t="s">
        <v>797</v>
      </c>
      <c r="H412" s="205" t="s">
        <v>1608</v>
      </c>
      <c r="I412" s="23"/>
    </row>
    <row r="413" spans="1:9">
      <c r="A413" s="205" t="s">
        <v>1608</v>
      </c>
      <c r="B413" s="216" t="s">
        <v>2410</v>
      </c>
      <c r="C413" s="216" t="s">
        <v>2411</v>
      </c>
      <c r="D413" s="23">
        <v>138</v>
      </c>
      <c r="E413" s="23" t="s">
        <v>2385</v>
      </c>
      <c r="F413" s="23" t="s">
        <v>797</v>
      </c>
      <c r="G413" s="23" t="s">
        <v>797</v>
      </c>
      <c r="H413" s="205" t="s">
        <v>1608</v>
      </c>
      <c r="I413" s="23"/>
    </row>
    <row r="414" spans="1:9">
      <c r="A414" s="205" t="s">
        <v>1608</v>
      </c>
      <c r="B414" s="216" t="s">
        <v>2412</v>
      </c>
      <c r="C414" s="216" t="s">
        <v>2413</v>
      </c>
      <c r="D414" s="23">
        <v>320</v>
      </c>
      <c r="E414" s="23" t="s">
        <v>2385</v>
      </c>
      <c r="F414" s="23" t="s">
        <v>797</v>
      </c>
      <c r="G414" s="23" t="s">
        <v>797</v>
      </c>
      <c r="H414" s="205" t="s">
        <v>1608</v>
      </c>
      <c r="I414" s="23"/>
    </row>
    <row r="415" spans="1:9">
      <c r="A415" s="205" t="s">
        <v>1608</v>
      </c>
      <c r="B415" s="216" t="s">
        <v>2414</v>
      </c>
      <c r="C415" s="216" t="s">
        <v>2415</v>
      </c>
      <c r="D415" s="23">
        <v>230</v>
      </c>
      <c r="E415" s="23" t="s">
        <v>2385</v>
      </c>
      <c r="F415" s="23" t="s">
        <v>797</v>
      </c>
      <c r="G415" s="23" t="s">
        <v>797</v>
      </c>
      <c r="H415" s="205" t="s">
        <v>1608</v>
      </c>
      <c r="I415" s="23"/>
    </row>
    <row r="416" spans="1:9">
      <c r="A416" s="205" t="s">
        <v>1608</v>
      </c>
      <c r="B416" s="216" t="s">
        <v>2416</v>
      </c>
      <c r="C416" s="216" t="s">
        <v>2417</v>
      </c>
      <c r="D416" s="23">
        <v>172.4</v>
      </c>
      <c r="E416" s="23" t="s">
        <v>2385</v>
      </c>
      <c r="F416" s="23" t="s">
        <v>797</v>
      </c>
      <c r="G416" s="23" t="s">
        <v>797</v>
      </c>
      <c r="H416" s="205" t="s">
        <v>1608</v>
      </c>
      <c r="I416" s="23"/>
    </row>
    <row r="417" spans="1:9">
      <c r="A417" s="205" t="s">
        <v>1608</v>
      </c>
      <c r="B417" s="216" t="s">
        <v>2418</v>
      </c>
      <c r="C417" s="216" t="s">
        <v>2419</v>
      </c>
      <c r="D417" s="23">
        <v>494.5</v>
      </c>
      <c r="E417" s="23" t="s">
        <v>2385</v>
      </c>
      <c r="F417" s="23" t="s">
        <v>797</v>
      </c>
      <c r="G417" s="23" t="s">
        <v>797</v>
      </c>
      <c r="H417" s="205" t="s">
        <v>1608</v>
      </c>
      <c r="I417" s="23"/>
    </row>
    <row r="418" spans="1:9">
      <c r="A418" s="205" t="s">
        <v>1608</v>
      </c>
      <c r="B418" s="216" t="s">
        <v>2420</v>
      </c>
      <c r="C418" s="216" t="s">
        <v>2421</v>
      </c>
      <c r="D418" s="23">
        <v>350</v>
      </c>
      <c r="E418" s="23" t="s">
        <v>2385</v>
      </c>
      <c r="F418" s="23" t="s">
        <v>797</v>
      </c>
      <c r="G418" s="23" t="s">
        <v>797</v>
      </c>
      <c r="H418" s="205" t="s">
        <v>1608</v>
      </c>
      <c r="I418" s="23"/>
    </row>
    <row r="419" spans="1:9">
      <c r="A419" s="205" t="s">
        <v>1608</v>
      </c>
      <c r="B419" s="216" t="s">
        <v>2422</v>
      </c>
      <c r="C419" s="216" t="s">
        <v>2423</v>
      </c>
      <c r="D419" s="23">
        <v>460</v>
      </c>
      <c r="E419" s="23" t="s">
        <v>2385</v>
      </c>
      <c r="F419" s="23" t="s">
        <v>797</v>
      </c>
      <c r="G419" s="23" t="s">
        <v>797</v>
      </c>
      <c r="H419" s="205" t="s">
        <v>1608</v>
      </c>
      <c r="I419" s="23"/>
    </row>
    <row r="420" spans="1:9">
      <c r="A420" s="205" t="s">
        <v>1608</v>
      </c>
      <c r="B420" s="216" t="s">
        <v>2424</v>
      </c>
      <c r="C420" s="216" t="s">
        <v>2425</v>
      </c>
      <c r="D420" s="23">
        <v>322</v>
      </c>
      <c r="E420" s="23" t="s">
        <v>2385</v>
      </c>
      <c r="F420" s="23" t="s">
        <v>797</v>
      </c>
      <c r="G420" s="23" t="s">
        <v>797</v>
      </c>
      <c r="H420" s="205" t="s">
        <v>1608</v>
      </c>
      <c r="I420" s="23"/>
    </row>
    <row r="421" spans="1:9">
      <c r="A421" s="205" t="s">
        <v>1608</v>
      </c>
      <c r="B421" s="216" t="s">
        <v>2426</v>
      </c>
      <c r="C421" s="216" t="s">
        <v>2427</v>
      </c>
      <c r="D421" s="23">
        <v>520</v>
      </c>
      <c r="E421" s="23" t="s">
        <v>2385</v>
      </c>
      <c r="F421" s="23" t="s">
        <v>797</v>
      </c>
      <c r="G421" s="23" t="s">
        <v>797</v>
      </c>
      <c r="H421" s="205" t="s">
        <v>1608</v>
      </c>
      <c r="I421" s="23"/>
    </row>
    <row r="422" spans="1:9">
      <c r="A422" s="205" t="s">
        <v>1608</v>
      </c>
      <c r="B422" s="216" t="s">
        <v>2428</v>
      </c>
      <c r="C422" s="216" t="s">
        <v>2429</v>
      </c>
      <c r="D422" s="23">
        <v>414</v>
      </c>
      <c r="E422" s="23" t="s">
        <v>2385</v>
      </c>
      <c r="F422" s="23" t="s">
        <v>797</v>
      </c>
      <c r="G422" s="23" t="s">
        <v>797</v>
      </c>
      <c r="H422" s="205" t="s">
        <v>1608</v>
      </c>
      <c r="I422" s="23"/>
    </row>
    <row r="423" spans="1:9">
      <c r="A423" s="205" t="s">
        <v>1608</v>
      </c>
      <c r="B423" s="216" t="s">
        <v>2430</v>
      </c>
      <c r="C423" s="216" t="s">
        <v>2431</v>
      </c>
      <c r="D423" s="23">
        <v>508.40000000000003</v>
      </c>
      <c r="E423" s="23" t="s">
        <v>2385</v>
      </c>
      <c r="F423" s="23" t="s">
        <v>797</v>
      </c>
      <c r="G423" s="23" t="s">
        <v>797</v>
      </c>
      <c r="H423" s="205" t="s">
        <v>1608</v>
      </c>
      <c r="I423" s="23"/>
    </row>
    <row r="424" spans="1:9">
      <c r="A424" s="205" t="s">
        <v>1608</v>
      </c>
      <c r="B424" s="216" t="s">
        <v>2432</v>
      </c>
      <c r="C424" s="216" t="s">
        <v>2433</v>
      </c>
      <c r="D424" s="23">
        <v>413.20000000000005</v>
      </c>
      <c r="E424" s="23" t="s">
        <v>2385</v>
      </c>
      <c r="F424" s="23" t="s">
        <v>797</v>
      </c>
      <c r="G424" s="23" t="s">
        <v>797</v>
      </c>
      <c r="H424" s="205" t="s">
        <v>1608</v>
      </c>
      <c r="I424" s="23"/>
    </row>
    <row r="425" spans="1:9">
      <c r="A425" s="205" t="s">
        <v>1608</v>
      </c>
      <c r="B425" s="216" t="s">
        <v>2434</v>
      </c>
      <c r="C425" s="216" t="s">
        <v>2435</v>
      </c>
      <c r="D425" s="23">
        <v>1150</v>
      </c>
      <c r="E425" s="23" t="s">
        <v>2385</v>
      </c>
      <c r="F425" s="23" t="s">
        <v>797</v>
      </c>
      <c r="G425" s="23" t="s">
        <v>797</v>
      </c>
      <c r="H425" s="205" t="s">
        <v>1608</v>
      </c>
      <c r="I425" s="23"/>
    </row>
    <row r="426" spans="1:9">
      <c r="A426" s="205" t="s">
        <v>1608</v>
      </c>
      <c r="B426" s="216" t="s">
        <v>2436</v>
      </c>
      <c r="C426" s="216" t="s">
        <v>2427</v>
      </c>
      <c r="D426" s="23">
        <v>368</v>
      </c>
      <c r="E426" s="23" t="s">
        <v>2385</v>
      </c>
      <c r="F426" s="23" t="s">
        <v>797</v>
      </c>
      <c r="G426" s="23" t="s">
        <v>797</v>
      </c>
      <c r="H426" s="205" t="s">
        <v>1608</v>
      </c>
      <c r="I426" s="23"/>
    </row>
    <row r="427" spans="1:9">
      <c r="A427" s="205" t="s">
        <v>1608</v>
      </c>
      <c r="B427" s="216" t="s">
        <v>2404</v>
      </c>
      <c r="C427" s="216" t="s">
        <v>2405</v>
      </c>
      <c r="D427" s="23">
        <v>46.559999999999995</v>
      </c>
      <c r="E427" s="23" t="s">
        <v>632</v>
      </c>
      <c r="F427" s="23" t="s">
        <v>2386</v>
      </c>
      <c r="G427" s="23" t="s">
        <v>2509</v>
      </c>
      <c r="H427" s="205" t="s">
        <v>1608</v>
      </c>
      <c r="I427" s="23"/>
    </row>
    <row r="428" spans="1:9">
      <c r="A428" s="205" t="s">
        <v>1608</v>
      </c>
      <c r="B428" s="216" t="s">
        <v>2406</v>
      </c>
      <c r="C428" s="216" t="s">
        <v>2407</v>
      </c>
      <c r="D428" s="23">
        <v>6.12</v>
      </c>
      <c r="E428" s="23" t="s">
        <v>632</v>
      </c>
      <c r="F428" s="23" t="s">
        <v>2386</v>
      </c>
      <c r="G428" s="23" t="s">
        <v>2509</v>
      </c>
      <c r="H428" s="205" t="s">
        <v>1608</v>
      </c>
      <c r="I428" s="23"/>
    </row>
    <row r="429" spans="1:9">
      <c r="A429" s="205" t="s">
        <v>1608</v>
      </c>
      <c r="B429" s="216" t="s">
        <v>2408</v>
      </c>
      <c r="C429" s="216" t="s">
        <v>2409</v>
      </c>
      <c r="D429" s="23">
        <v>103.2</v>
      </c>
      <c r="E429" s="23" t="s">
        <v>632</v>
      </c>
      <c r="F429" s="23" t="s">
        <v>2386</v>
      </c>
      <c r="G429" s="23" t="s">
        <v>2509</v>
      </c>
      <c r="H429" s="205" t="s">
        <v>1608</v>
      </c>
      <c r="I429" s="23"/>
    </row>
    <row r="430" spans="1:9">
      <c r="A430" s="205" t="s">
        <v>1608</v>
      </c>
      <c r="B430" s="216" t="s">
        <v>2410</v>
      </c>
      <c r="C430" s="216" t="s">
        <v>2411</v>
      </c>
      <c r="D430" s="23">
        <v>41.4</v>
      </c>
      <c r="E430" s="23" t="s">
        <v>632</v>
      </c>
      <c r="F430" s="23" t="s">
        <v>2386</v>
      </c>
      <c r="G430" s="23" t="s">
        <v>2509</v>
      </c>
      <c r="H430" s="205" t="s">
        <v>1608</v>
      </c>
      <c r="I430" s="23"/>
    </row>
    <row r="431" spans="1:9">
      <c r="A431" s="205" t="s">
        <v>1608</v>
      </c>
      <c r="B431" s="216" t="s">
        <v>2412</v>
      </c>
      <c r="C431" s="216" t="s">
        <v>2413</v>
      </c>
      <c r="D431" s="23">
        <v>96</v>
      </c>
      <c r="E431" s="23" t="s">
        <v>632</v>
      </c>
      <c r="F431" s="23" t="s">
        <v>2386</v>
      </c>
      <c r="G431" s="23" t="s">
        <v>2509</v>
      </c>
      <c r="H431" s="205" t="s">
        <v>1608</v>
      </c>
      <c r="I431" s="23"/>
    </row>
    <row r="432" spans="1:9">
      <c r="A432" s="205" t="s">
        <v>1608</v>
      </c>
      <c r="B432" s="216" t="s">
        <v>2414</v>
      </c>
      <c r="C432" s="216" t="s">
        <v>2415</v>
      </c>
      <c r="D432" s="23">
        <v>69</v>
      </c>
      <c r="E432" s="23" t="s">
        <v>632</v>
      </c>
      <c r="F432" s="23" t="s">
        <v>2386</v>
      </c>
      <c r="G432" s="23" t="s">
        <v>2509</v>
      </c>
      <c r="H432" s="205" t="s">
        <v>1608</v>
      </c>
      <c r="I432" s="23"/>
    </row>
    <row r="433" spans="1:9">
      <c r="A433" s="205" t="s">
        <v>1608</v>
      </c>
      <c r="B433" s="216" t="s">
        <v>2416</v>
      </c>
      <c r="C433" s="216" t="s">
        <v>2417</v>
      </c>
      <c r="D433" s="23">
        <v>51.72</v>
      </c>
      <c r="E433" s="23" t="s">
        <v>632</v>
      </c>
      <c r="F433" s="23" t="s">
        <v>2386</v>
      </c>
      <c r="G433" s="23" t="s">
        <v>2509</v>
      </c>
      <c r="H433" s="205" t="s">
        <v>1608</v>
      </c>
      <c r="I433" s="23"/>
    </row>
    <row r="434" spans="1:9">
      <c r="A434" s="205" t="s">
        <v>1608</v>
      </c>
      <c r="B434" s="216" t="s">
        <v>2418</v>
      </c>
      <c r="C434" s="216" t="s">
        <v>2419</v>
      </c>
      <c r="D434" s="23">
        <v>148.32</v>
      </c>
      <c r="E434" s="23" t="s">
        <v>632</v>
      </c>
      <c r="F434" s="23" t="s">
        <v>2386</v>
      </c>
      <c r="G434" s="23" t="s">
        <v>2509</v>
      </c>
      <c r="H434" s="205" t="s">
        <v>1608</v>
      </c>
      <c r="I434" s="23"/>
    </row>
    <row r="435" spans="1:9">
      <c r="A435" s="205" t="s">
        <v>1608</v>
      </c>
      <c r="B435" s="216" t="s">
        <v>2420</v>
      </c>
      <c r="C435" s="216" t="s">
        <v>2421</v>
      </c>
      <c r="D435" s="23">
        <v>105</v>
      </c>
      <c r="E435" s="23" t="s">
        <v>632</v>
      </c>
      <c r="F435" s="23" t="s">
        <v>2386</v>
      </c>
      <c r="G435" s="23" t="s">
        <v>2509</v>
      </c>
      <c r="H435" s="205" t="s">
        <v>1608</v>
      </c>
      <c r="I435" s="23"/>
    </row>
    <row r="436" spans="1:9">
      <c r="A436" s="205" t="s">
        <v>1608</v>
      </c>
      <c r="B436" s="216" t="s">
        <v>2422</v>
      </c>
      <c r="C436" s="216" t="s">
        <v>2423</v>
      </c>
      <c r="D436" s="23">
        <v>138</v>
      </c>
      <c r="E436" s="23" t="s">
        <v>632</v>
      </c>
      <c r="F436" s="23" t="s">
        <v>2386</v>
      </c>
      <c r="G436" s="23" t="s">
        <v>2509</v>
      </c>
      <c r="H436" s="205" t="s">
        <v>1608</v>
      </c>
      <c r="I436" s="23"/>
    </row>
    <row r="437" spans="1:9">
      <c r="A437" s="205" t="s">
        <v>1608</v>
      </c>
      <c r="B437" s="216" t="s">
        <v>2424</v>
      </c>
      <c r="C437" s="216" t="s">
        <v>2425</v>
      </c>
      <c r="D437" s="23">
        <v>96.6</v>
      </c>
      <c r="E437" s="23" t="s">
        <v>632</v>
      </c>
      <c r="F437" s="23" t="s">
        <v>2386</v>
      </c>
      <c r="G437" s="23" t="s">
        <v>2509</v>
      </c>
      <c r="H437" s="205" t="s">
        <v>1608</v>
      </c>
      <c r="I437" s="23"/>
    </row>
    <row r="438" spans="1:9">
      <c r="A438" s="205" t="s">
        <v>1608</v>
      </c>
      <c r="B438" s="216" t="s">
        <v>2426</v>
      </c>
      <c r="C438" s="216" t="s">
        <v>2427</v>
      </c>
      <c r="D438" s="23">
        <v>156</v>
      </c>
      <c r="E438" s="23" t="s">
        <v>632</v>
      </c>
      <c r="F438" s="23" t="s">
        <v>2386</v>
      </c>
      <c r="G438" s="23" t="s">
        <v>2509</v>
      </c>
      <c r="H438" s="205" t="s">
        <v>1608</v>
      </c>
      <c r="I438" s="23"/>
    </row>
    <row r="439" spans="1:9">
      <c r="A439" s="205" t="s">
        <v>1608</v>
      </c>
      <c r="B439" s="216" t="s">
        <v>2428</v>
      </c>
      <c r="C439" s="216" t="s">
        <v>2429</v>
      </c>
      <c r="D439" s="23">
        <v>124.19999999999999</v>
      </c>
      <c r="E439" s="23" t="s">
        <v>632</v>
      </c>
      <c r="F439" s="23" t="s">
        <v>2386</v>
      </c>
      <c r="G439" s="23" t="s">
        <v>2509</v>
      </c>
      <c r="H439" s="205" t="s">
        <v>1608</v>
      </c>
      <c r="I439" s="23"/>
    </row>
    <row r="440" spans="1:9">
      <c r="A440" s="205" t="s">
        <v>1608</v>
      </c>
      <c r="B440" s="216" t="s">
        <v>2430</v>
      </c>
      <c r="C440" s="216" t="s">
        <v>2431</v>
      </c>
      <c r="D440" s="23">
        <v>152.51999999999998</v>
      </c>
      <c r="E440" s="23" t="s">
        <v>632</v>
      </c>
      <c r="F440" s="23" t="s">
        <v>2386</v>
      </c>
      <c r="G440" s="23" t="s">
        <v>2509</v>
      </c>
      <c r="H440" s="205" t="s">
        <v>1608</v>
      </c>
      <c r="I440" s="23"/>
    </row>
    <row r="441" spans="1:9">
      <c r="A441" s="205" t="s">
        <v>1608</v>
      </c>
      <c r="B441" s="216" t="s">
        <v>2432</v>
      </c>
      <c r="C441" s="216" t="s">
        <v>2433</v>
      </c>
      <c r="D441" s="23">
        <v>123.96</v>
      </c>
      <c r="E441" s="23" t="s">
        <v>632</v>
      </c>
      <c r="F441" s="23" t="s">
        <v>2386</v>
      </c>
      <c r="G441" s="23" t="s">
        <v>2509</v>
      </c>
      <c r="H441" s="205" t="s">
        <v>1608</v>
      </c>
      <c r="I441" s="23"/>
    </row>
    <row r="442" spans="1:9">
      <c r="A442" s="205" t="s">
        <v>1608</v>
      </c>
      <c r="B442" s="216" t="s">
        <v>2434</v>
      </c>
      <c r="C442" s="216" t="s">
        <v>2435</v>
      </c>
      <c r="D442" s="23">
        <v>345</v>
      </c>
      <c r="E442" s="23" t="s">
        <v>632</v>
      </c>
      <c r="F442" s="23" t="s">
        <v>2386</v>
      </c>
      <c r="G442" s="23" t="s">
        <v>2509</v>
      </c>
      <c r="H442" s="205" t="s">
        <v>1608</v>
      </c>
      <c r="I442" s="23"/>
    </row>
    <row r="443" spans="1:9">
      <c r="A443" s="205" t="s">
        <v>1608</v>
      </c>
      <c r="B443" s="216" t="s">
        <v>2436</v>
      </c>
      <c r="C443" s="216" t="s">
        <v>2427</v>
      </c>
      <c r="D443" s="23">
        <v>110.39999999999999</v>
      </c>
      <c r="E443" s="23" t="s">
        <v>632</v>
      </c>
      <c r="F443" s="23" t="s">
        <v>2386</v>
      </c>
      <c r="G443" s="23" t="s">
        <v>2509</v>
      </c>
      <c r="H443" s="205" t="s">
        <v>1608</v>
      </c>
      <c r="I443" s="23"/>
    </row>
    <row r="444" spans="1:9">
      <c r="A444" s="205" t="s">
        <v>1608</v>
      </c>
      <c r="B444" s="216" t="s">
        <v>2404</v>
      </c>
      <c r="C444" s="216" t="s">
        <v>2405</v>
      </c>
      <c r="D444" s="23">
        <v>155.20000000000002</v>
      </c>
      <c r="E444" s="23" t="s">
        <v>632</v>
      </c>
      <c r="F444" s="23" t="s">
        <v>797</v>
      </c>
      <c r="G444" s="23" t="s">
        <v>797</v>
      </c>
      <c r="H444" s="205" t="s">
        <v>1608</v>
      </c>
      <c r="I444" s="23"/>
    </row>
    <row r="445" spans="1:9">
      <c r="A445" s="205" t="s">
        <v>1608</v>
      </c>
      <c r="B445" s="216" t="s">
        <v>2406</v>
      </c>
      <c r="C445" s="216" t="s">
        <v>2407</v>
      </c>
      <c r="D445" s="23">
        <v>20.400000000000002</v>
      </c>
      <c r="E445" s="23" t="s">
        <v>632</v>
      </c>
      <c r="F445" s="23" t="s">
        <v>797</v>
      </c>
      <c r="G445" s="23" t="s">
        <v>797</v>
      </c>
      <c r="H445" s="205" t="s">
        <v>1608</v>
      </c>
      <c r="I445" s="23"/>
    </row>
    <row r="446" spans="1:9">
      <c r="A446" s="205" t="s">
        <v>1608</v>
      </c>
      <c r="B446" s="216" t="s">
        <v>2408</v>
      </c>
      <c r="C446" s="216" t="s">
        <v>2409</v>
      </c>
      <c r="D446" s="23">
        <v>344</v>
      </c>
      <c r="E446" s="23" t="s">
        <v>632</v>
      </c>
      <c r="F446" s="23" t="s">
        <v>797</v>
      </c>
      <c r="G446" s="23" t="s">
        <v>797</v>
      </c>
      <c r="H446" s="205" t="s">
        <v>1608</v>
      </c>
      <c r="I446" s="23"/>
    </row>
    <row r="447" spans="1:9">
      <c r="A447" s="205" t="s">
        <v>1608</v>
      </c>
      <c r="B447" s="216" t="s">
        <v>2410</v>
      </c>
      <c r="C447" s="216" t="s">
        <v>2411</v>
      </c>
      <c r="D447" s="23">
        <v>138</v>
      </c>
      <c r="E447" s="23" t="s">
        <v>632</v>
      </c>
      <c r="F447" s="23" t="s">
        <v>797</v>
      </c>
      <c r="G447" s="23" t="s">
        <v>797</v>
      </c>
      <c r="H447" s="205" t="s">
        <v>1608</v>
      </c>
      <c r="I447" s="23"/>
    </row>
    <row r="448" spans="1:9">
      <c r="A448" s="205" t="s">
        <v>1608</v>
      </c>
      <c r="B448" s="216" t="s">
        <v>2412</v>
      </c>
      <c r="C448" s="216" t="s">
        <v>2413</v>
      </c>
      <c r="D448" s="23">
        <v>320</v>
      </c>
      <c r="E448" s="23" t="s">
        <v>632</v>
      </c>
      <c r="F448" s="23" t="s">
        <v>797</v>
      </c>
      <c r="G448" s="23" t="s">
        <v>797</v>
      </c>
      <c r="H448" s="205" t="s">
        <v>1608</v>
      </c>
      <c r="I448" s="23"/>
    </row>
    <row r="449" spans="1:9">
      <c r="A449" s="205" t="s">
        <v>1608</v>
      </c>
      <c r="B449" s="216" t="s">
        <v>2414</v>
      </c>
      <c r="C449" s="216" t="s">
        <v>2415</v>
      </c>
      <c r="D449" s="23">
        <v>230</v>
      </c>
      <c r="E449" s="23" t="s">
        <v>632</v>
      </c>
      <c r="F449" s="23" t="s">
        <v>797</v>
      </c>
      <c r="G449" s="23" t="s">
        <v>797</v>
      </c>
      <c r="H449" s="205" t="s">
        <v>1608</v>
      </c>
      <c r="I449" s="23"/>
    </row>
    <row r="450" spans="1:9">
      <c r="A450" s="205" t="s">
        <v>1608</v>
      </c>
      <c r="B450" s="216" t="s">
        <v>2416</v>
      </c>
      <c r="C450" s="216" t="s">
        <v>2417</v>
      </c>
      <c r="D450" s="23">
        <v>172.4</v>
      </c>
      <c r="E450" s="23" t="s">
        <v>632</v>
      </c>
      <c r="F450" s="23" t="s">
        <v>797</v>
      </c>
      <c r="G450" s="23" t="s">
        <v>797</v>
      </c>
      <c r="H450" s="205" t="s">
        <v>1608</v>
      </c>
      <c r="I450" s="23"/>
    </row>
    <row r="451" spans="1:9">
      <c r="A451" s="205" t="s">
        <v>1608</v>
      </c>
      <c r="B451" s="216" t="s">
        <v>2418</v>
      </c>
      <c r="C451" s="216" t="s">
        <v>2419</v>
      </c>
      <c r="D451" s="23">
        <v>494.40000000000003</v>
      </c>
      <c r="E451" s="23" t="s">
        <v>632</v>
      </c>
      <c r="F451" s="23" t="s">
        <v>797</v>
      </c>
      <c r="G451" s="23" t="s">
        <v>797</v>
      </c>
      <c r="H451" s="205" t="s">
        <v>1608</v>
      </c>
      <c r="I451" s="23"/>
    </row>
    <row r="452" spans="1:9">
      <c r="A452" s="205" t="s">
        <v>1608</v>
      </c>
      <c r="B452" s="216" t="s">
        <v>2420</v>
      </c>
      <c r="C452" s="216" t="s">
        <v>2421</v>
      </c>
      <c r="D452" s="23">
        <v>350</v>
      </c>
      <c r="E452" s="23" t="s">
        <v>632</v>
      </c>
      <c r="F452" s="23" t="s">
        <v>797</v>
      </c>
      <c r="G452" s="23" t="s">
        <v>797</v>
      </c>
      <c r="H452" s="205" t="s">
        <v>1608</v>
      </c>
      <c r="I452" s="23"/>
    </row>
    <row r="453" spans="1:9">
      <c r="A453" s="205" t="s">
        <v>1608</v>
      </c>
      <c r="B453" s="216" t="s">
        <v>2422</v>
      </c>
      <c r="C453" s="216" t="s">
        <v>2423</v>
      </c>
      <c r="D453" s="23">
        <v>460</v>
      </c>
      <c r="E453" s="23" t="s">
        <v>632</v>
      </c>
      <c r="F453" s="23" t="s">
        <v>797</v>
      </c>
      <c r="G453" s="23" t="s">
        <v>797</v>
      </c>
      <c r="H453" s="205" t="s">
        <v>1608</v>
      </c>
      <c r="I453" s="23"/>
    </row>
    <row r="454" spans="1:9">
      <c r="A454" s="205" t="s">
        <v>1608</v>
      </c>
      <c r="B454" s="216" t="s">
        <v>2424</v>
      </c>
      <c r="C454" s="216" t="s">
        <v>2425</v>
      </c>
      <c r="D454" s="23">
        <v>322</v>
      </c>
      <c r="E454" s="23" t="s">
        <v>632</v>
      </c>
      <c r="F454" s="23" t="s">
        <v>797</v>
      </c>
      <c r="G454" s="23" t="s">
        <v>797</v>
      </c>
      <c r="H454" s="205" t="s">
        <v>1608</v>
      </c>
      <c r="I454" s="23"/>
    </row>
    <row r="455" spans="1:9">
      <c r="A455" s="205" t="s">
        <v>1608</v>
      </c>
      <c r="B455" s="216" t="s">
        <v>2426</v>
      </c>
      <c r="C455" s="216" t="s">
        <v>2427</v>
      </c>
      <c r="D455" s="23">
        <v>520</v>
      </c>
      <c r="E455" s="23" t="s">
        <v>632</v>
      </c>
      <c r="F455" s="23" t="s">
        <v>797</v>
      </c>
      <c r="G455" s="23" t="s">
        <v>797</v>
      </c>
      <c r="H455" s="205" t="s">
        <v>1608</v>
      </c>
      <c r="I455" s="23"/>
    </row>
    <row r="456" spans="1:9">
      <c r="A456" s="205" t="s">
        <v>1608</v>
      </c>
      <c r="B456" s="216" t="s">
        <v>2428</v>
      </c>
      <c r="C456" s="216" t="s">
        <v>2429</v>
      </c>
      <c r="D456" s="23">
        <v>414</v>
      </c>
      <c r="E456" s="23" t="s">
        <v>632</v>
      </c>
      <c r="F456" s="23" t="s">
        <v>797</v>
      </c>
      <c r="G456" s="23" t="s">
        <v>797</v>
      </c>
      <c r="H456" s="205" t="s">
        <v>1608</v>
      </c>
      <c r="I456" s="23"/>
    </row>
    <row r="457" spans="1:9">
      <c r="A457" s="205" t="s">
        <v>1608</v>
      </c>
      <c r="B457" s="216" t="s">
        <v>2430</v>
      </c>
      <c r="C457" s="216" t="s">
        <v>2431</v>
      </c>
      <c r="D457" s="23">
        <v>508.40000000000003</v>
      </c>
      <c r="E457" s="23" t="s">
        <v>632</v>
      </c>
      <c r="F457" s="23" t="s">
        <v>797</v>
      </c>
      <c r="G457" s="23" t="s">
        <v>797</v>
      </c>
      <c r="H457" s="205" t="s">
        <v>1608</v>
      </c>
      <c r="I457" s="23"/>
    </row>
    <row r="458" spans="1:9">
      <c r="A458" s="205" t="s">
        <v>1608</v>
      </c>
      <c r="B458" s="216" t="s">
        <v>2432</v>
      </c>
      <c r="C458" s="216" t="s">
        <v>2433</v>
      </c>
      <c r="D458" s="23">
        <v>413.20000000000005</v>
      </c>
      <c r="E458" s="23" t="s">
        <v>632</v>
      </c>
      <c r="F458" s="23" t="s">
        <v>797</v>
      </c>
      <c r="G458" s="23" t="s">
        <v>797</v>
      </c>
      <c r="H458" s="205" t="s">
        <v>1608</v>
      </c>
      <c r="I458" s="23"/>
    </row>
    <row r="459" spans="1:9">
      <c r="A459" s="205" t="s">
        <v>1608</v>
      </c>
      <c r="B459" s="216" t="s">
        <v>2434</v>
      </c>
      <c r="C459" s="216" t="s">
        <v>2435</v>
      </c>
      <c r="D459" s="23">
        <v>1150</v>
      </c>
      <c r="E459" s="23" t="s">
        <v>632</v>
      </c>
      <c r="F459" s="23" t="s">
        <v>797</v>
      </c>
      <c r="G459" s="23" t="s">
        <v>797</v>
      </c>
      <c r="H459" s="205" t="s">
        <v>1608</v>
      </c>
      <c r="I459" s="23"/>
    </row>
    <row r="460" spans="1:9">
      <c r="A460" s="205" t="s">
        <v>1608</v>
      </c>
      <c r="B460" s="216" t="s">
        <v>2436</v>
      </c>
      <c r="C460" s="216" t="s">
        <v>2427</v>
      </c>
      <c r="D460" s="23">
        <v>368</v>
      </c>
      <c r="E460" s="23" t="s">
        <v>632</v>
      </c>
      <c r="F460" s="23" t="s">
        <v>797</v>
      </c>
      <c r="G460" s="23" t="s">
        <v>797</v>
      </c>
      <c r="H460" s="205" t="s">
        <v>1608</v>
      </c>
      <c r="I460" s="23"/>
    </row>
    <row r="461" spans="1:9">
      <c r="A461" s="205" t="s">
        <v>1608</v>
      </c>
      <c r="B461" s="216" t="s">
        <v>2404</v>
      </c>
      <c r="C461" s="216" t="s">
        <v>2405</v>
      </c>
      <c r="D461" s="23">
        <v>48.239999999999995</v>
      </c>
      <c r="E461" s="23" t="s">
        <v>2389</v>
      </c>
      <c r="F461" s="23" t="s">
        <v>2386</v>
      </c>
      <c r="G461" s="23" t="s">
        <v>2509</v>
      </c>
      <c r="H461" s="205" t="s">
        <v>1608</v>
      </c>
      <c r="I461" s="23"/>
    </row>
    <row r="462" spans="1:9">
      <c r="A462" s="205" t="s">
        <v>1608</v>
      </c>
      <c r="B462" s="216" t="s">
        <v>2406</v>
      </c>
      <c r="C462" s="216" t="s">
        <v>2407</v>
      </c>
      <c r="D462" s="23">
        <v>6.12</v>
      </c>
      <c r="E462" s="23" t="s">
        <v>2389</v>
      </c>
      <c r="F462" s="23" t="s">
        <v>2386</v>
      </c>
      <c r="G462" s="23" t="s">
        <v>2509</v>
      </c>
      <c r="H462" s="205" t="s">
        <v>1608</v>
      </c>
      <c r="I462" s="23"/>
    </row>
    <row r="463" spans="1:9">
      <c r="A463" s="205" t="s">
        <v>1608</v>
      </c>
      <c r="B463" s="216" t="s">
        <v>2408</v>
      </c>
      <c r="C463" s="216" t="s">
        <v>2409</v>
      </c>
      <c r="D463" s="23">
        <v>103.2</v>
      </c>
      <c r="E463" s="23" t="s">
        <v>2389</v>
      </c>
      <c r="F463" s="23" t="s">
        <v>2386</v>
      </c>
      <c r="G463" s="23" t="s">
        <v>2509</v>
      </c>
      <c r="H463" s="205" t="s">
        <v>1608</v>
      </c>
      <c r="I463" s="23"/>
    </row>
    <row r="464" spans="1:9">
      <c r="A464" s="205" t="s">
        <v>1608</v>
      </c>
      <c r="B464" s="216" t="s">
        <v>2410</v>
      </c>
      <c r="C464" s="216" t="s">
        <v>2411</v>
      </c>
      <c r="D464" s="23">
        <v>41.4</v>
      </c>
      <c r="E464" s="23" t="s">
        <v>2389</v>
      </c>
      <c r="F464" s="23" t="s">
        <v>2386</v>
      </c>
      <c r="G464" s="23" t="s">
        <v>2509</v>
      </c>
      <c r="H464" s="205" t="s">
        <v>1608</v>
      </c>
      <c r="I464" s="23"/>
    </row>
    <row r="465" spans="1:9">
      <c r="A465" s="205" t="s">
        <v>1608</v>
      </c>
      <c r="B465" s="216" t="s">
        <v>2412</v>
      </c>
      <c r="C465" s="216" t="s">
        <v>2413</v>
      </c>
      <c r="D465" s="23">
        <v>96</v>
      </c>
      <c r="E465" s="23" t="s">
        <v>2389</v>
      </c>
      <c r="F465" s="23" t="s">
        <v>2386</v>
      </c>
      <c r="G465" s="23" t="s">
        <v>2509</v>
      </c>
      <c r="H465" s="205" t="s">
        <v>1608</v>
      </c>
      <c r="I465" s="23"/>
    </row>
    <row r="466" spans="1:9">
      <c r="A466" s="205" t="s">
        <v>1608</v>
      </c>
      <c r="B466" s="216" t="s">
        <v>2414</v>
      </c>
      <c r="C466" s="216" t="s">
        <v>2415</v>
      </c>
      <c r="D466" s="23">
        <v>69</v>
      </c>
      <c r="E466" s="23" t="s">
        <v>2389</v>
      </c>
      <c r="F466" s="23" t="s">
        <v>2386</v>
      </c>
      <c r="G466" s="23" t="s">
        <v>2509</v>
      </c>
      <c r="H466" s="205" t="s">
        <v>1608</v>
      </c>
      <c r="I466" s="23"/>
    </row>
    <row r="467" spans="1:9">
      <c r="A467" s="205" t="s">
        <v>1608</v>
      </c>
      <c r="B467" s="216" t="s">
        <v>2416</v>
      </c>
      <c r="C467" s="216" t="s">
        <v>2417</v>
      </c>
      <c r="D467" s="23">
        <v>51.72</v>
      </c>
      <c r="E467" s="23" t="s">
        <v>2389</v>
      </c>
      <c r="F467" s="23" t="s">
        <v>2386</v>
      </c>
      <c r="G467" s="23" t="s">
        <v>2509</v>
      </c>
      <c r="H467" s="205" t="s">
        <v>1608</v>
      </c>
      <c r="I467" s="23"/>
    </row>
    <row r="468" spans="1:9">
      <c r="A468" s="205" t="s">
        <v>1608</v>
      </c>
      <c r="B468" s="216" t="s">
        <v>2418</v>
      </c>
      <c r="C468" s="216" t="s">
        <v>2419</v>
      </c>
      <c r="D468" s="23">
        <v>172.22399999999996</v>
      </c>
      <c r="E468" s="23" t="s">
        <v>2389</v>
      </c>
      <c r="F468" s="23" t="s">
        <v>2386</v>
      </c>
      <c r="G468" s="23" t="s">
        <v>2509</v>
      </c>
      <c r="H468" s="205" t="s">
        <v>1608</v>
      </c>
      <c r="I468" s="23"/>
    </row>
    <row r="469" spans="1:9">
      <c r="A469" s="205" t="s">
        <v>1608</v>
      </c>
      <c r="B469" s="216" t="s">
        <v>2420</v>
      </c>
      <c r="C469" s="216" t="s">
        <v>2421</v>
      </c>
      <c r="D469" s="23">
        <v>172.22399999999996</v>
      </c>
      <c r="E469" s="23" t="s">
        <v>2389</v>
      </c>
      <c r="F469" s="23" t="s">
        <v>2386</v>
      </c>
      <c r="G469" s="23" t="s">
        <v>2509</v>
      </c>
      <c r="H469" s="205" t="s">
        <v>1608</v>
      </c>
      <c r="I469" s="23"/>
    </row>
    <row r="470" spans="1:9">
      <c r="A470" s="205" t="s">
        <v>1608</v>
      </c>
      <c r="B470" s="216" t="s">
        <v>2422</v>
      </c>
      <c r="C470" s="216" t="s">
        <v>2423</v>
      </c>
      <c r="D470" s="23">
        <v>138</v>
      </c>
      <c r="E470" s="23" t="s">
        <v>2389</v>
      </c>
      <c r="F470" s="23" t="s">
        <v>2386</v>
      </c>
      <c r="G470" s="23" t="s">
        <v>2509</v>
      </c>
      <c r="H470" s="205" t="s">
        <v>1608</v>
      </c>
      <c r="I470" s="23"/>
    </row>
    <row r="471" spans="1:9">
      <c r="A471" s="205" t="s">
        <v>1608</v>
      </c>
      <c r="B471" s="216" t="s">
        <v>2424</v>
      </c>
      <c r="C471" s="216" t="s">
        <v>2425</v>
      </c>
      <c r="D471" s="23">
        <v>96.6</v>
      </c>
      <c r="E471" s="23" t="s">
        <v>2389</v>
      </c>
      <c r="F471" s="23" t="s">
        <v>2386</v>
      </c>
      <c r="G471" s="23" t="s">
        <v>2509</v>
      </c>
      <c r="H471" s="205" t="s">
        <v>1608</v>
      </c>
      <c r="I471" s="23"/>
    </row>
    <row r="472" spans="1:9">
      <c r="A472" s="205" t="s">
        <v>1608</v>
      </c>
      <c r="B472" s="216" t="s">
        <v>2426</v>
      </c>
      <c r="C472" s="216" t="s">
        <v>2427</v>
      </c>
      <c r="D472" s="23">
        <v>193.2</v>
      </c>
      <c r="E472" s="23" t="s">
        <v>2389</v>
      </c>
      <c r="F472" s="23" t="s">
        <v>2386</v>
      </c>
      <c r="G472" s="23" t="s">
        <v>2509</v>
      </c>
      <c r="H472" s="205" t="s">
        <v>1608</v>
      </c>
      <c r="I472" s="23"/>
    </row>
    <row r="473" spans="1:9">
      <c r="A473" s="205" t="s">
        <v>1608</v>
      </c>
      <c r="B473" s="216" t="s">
        <v>2428</v>
      </c>
      <c r="C473" s="216" t="s">
        <v>2429</v>
      </c>
      <c r="D473" s="23">
        <v>146.4</v>
      </c>
      <c r="E473" s="23" t="s">
        <v>2389</v>
      </c>
      <c r="F473" s="23" t="s">
        <v>2386</v>
      </c>
      <c r="G473" s="23" t="s">
        <v>2509</v>
      </c>
      <c r="H473" s="205" t="s">
        <v>1608</v>
      </c>
      <c r="I473" s="23"/>
    </row>
    <row r="474" spans="1:9">
      <c r="A474" s="205" t="s">
        <v>1608</v>
      </c>
      <c r="B474" s="216" t="s">
        <v>2430</v>
      </c>
      <c r="C474" s="216" t="s">
        <v>2431</v>
      </c>
      <c r="D474" s="23">
        <v>152.51999999999998</v>
      </c>
      <c r="E474" s="23" t="s">
        <v>2389</v>
      </c>
      <c r="F474" s="23" t="s">
        <v>2386</v>
      </c>
      <c r="G474" s="23" t="s">
        <v>2509</v>
      </c>
      <c r="H474" s="205" t="s">
        <v>1608</v>
      </c>
      <c r="I474" s="23"/>
    </row>
    <row r="475" spans="1:9">
      <c r="A475" s="205" t="s">
        <v>1608</v>
      </c>
      <c r="B475" s="216" t="s">
        <v>2432</v>
      </c>
      <c r="C475" s="216" t="s">
        <v>2433</v>
      </c>
      <c r="D475" s="23">
        <v>123.96</v>
      </c>
      <c r="E475" s="23" t="s">
        <v>2389</v>
      </c>
      <c r="F475" s="23" t="s">
        <v>2386</v>
      </c>
      <c r="G475" s="23" t="s">
        <v>2509</v>
      </c>
      <c r="H475" s="205" t="s">
        <v>1608</v>
      </c>
      <c r="I475" s="23"/>
    </row>
    <row r="476" spans="1:9">
      <c r="A476" s="205" t="s">
        <v>1608</v>
      </c>
      <c r="B476" s="216" t="s">
        <v>2434</v>
      </c>
      <c r="C476" s="216" t="s">
        <v>2435</v>
      </c>
      <c r="D476" s="23">
        <v>345</v>
      </c>
      <c r="E476" s="23" t="s">
        <v>2389</v>
      </c>
      <c r="F476" s="23" t="s">
        <v>2386</v>
      </c>
      <c r="G476" s="23" t="s">
        <v>2509</v>
      </c>
      <c r="H476" s="205" t="s">
        <v>1608</v>
      </c>
      <c r="I476" s="23"/>
    </row>
    <row r="477" spans="1:9">
      <c r="A477" s="205" t="s">
        <v>1608</v>
      </c>
      <c r="B477" s="216" t="s">
        <v>2436</v>
      </c>
      <c r="C477" s="216" t="s">
        <v>2427</v>
      </c>
      <c r="D477" s="23">
        <v>110.39999999999999</v>
      </c>
      <c r="E477" s="23" t="s">
        <v>2389</v>
      </c>
      <c r="F477" s="23" t="s">
        <v>2386</v>
      </c>
      <c r="G477" s="23" t="s">
        <v>2509</v>
      </c>
      <c r="H477" s="205" t="s">
        <v>1608</v>
      </c>
      <c r="I477" s="23"/>
    </row>
    <row r="478" spans="1:9">
      <c r="A478" s="205" t="s">
        <v>1608</v>
      </c>
      <c r="B478" s="216" t="s">
        <v>2404</v>
      </c>
      <c r="C478" s="216" t="s">
        <v>2405</v>
      </c>
      <c r="D478" s="23">
        <v>160.80000000000001</v>
      </c>
      <c r="E478" s="23" t="s">
        <v>2389</v>
      </c>
      <c r="F478" s="23" t="s">
        <v>797</v>
      </c>
      <c r="G478" s="23" t="s">
        <v>797</v>
      </c>
      <c r="H478" s="205" t="s">
        <v>1608</v>
      </c>
      <c r="I478" s="23"/>
    </row>
    <row r="479" spans="1:9">
      <c r="A479" s="205" t="s">
        <v>1608</v>
      </c>
      <c r="B479" s="216" t="s">
        <v>2406</v>
      </c>
      <c r="C479" s="216" t="s">
        <v>2407</v>
      </c>
      <c r="D479" s="23">
        <v>20.400000000000002</v>
      </c>
      <c r="E479" s="23" t="s">
        <v>2389</v>
      </c>
      <c r="F479" s="23" t="s">
        <v>797</v>
      </c>
      <c r="G479" s="23" t="s">
        <v>797</v>
      </c>
      <c r="H479" s="205" t="s">
        <v>1608</v>
      </c>
      <c r="I479" s="23"/>
    </row>
    <row r="480" spans="1:9">
      <c r="A480" s="205" t="s">
        <v>1608</v>
      </c>
      <c r="B480" s="216" t="s">
        <v>2408</v>
      </c>
      <c r="C480" s="216" t="s">
        <v>2409</v>
      </c>
      <c r="D480" s="23">
        <v>344</v>
      </c>
      <c r="E480" s="23" t="s">
        <v>2389</v>
      </c>
      <c r="F480" s="23" t="s">
        <v>797</v>
      </c>
      <c r="G480" s="23" t="s">
        <v>797</v>
      </c>
      <c r="H480" s="205" t="s">
        <v>1608</v>
      </c>
      <c r="I480" s="23"/>
    </row>
    <row r="481" spans="1:9">
      <c r="A481" s="205" t="s">
        <v>1608</v>
      </c>
      <c r="B481" s="216" t="s">
        <v>2410</v>
      </c>
      <c r="C481" s="216" t="s">
        <v>2411</v>
      </c>
      <c r="D481" s="23">
        <v>138</v>
      </c>
      <c r="E481" s="23" t="s">
        <v>2389</v>
      </c>
      <c r="F481" s="23" t="s">
        <v>797</v>
      </c>
      <c r="G481" s="23" t="s">
        <v>797</v>
      </c>
      <c r="H481" s="205" t="s">
        <v>1608</v>
      </c>
      <c r="I481" s="23"/>
    </row>
    <row r="482" spans="1:9">
      <c r="A482" s="205" t="s">
        <v>1608</v>
      </c>
      <c r="B482" s="216" t="s">
        <v>2412</v>
      </c>
      <c r="C482" s="216" t="s">
        <v>2413</v>
      </c>
      <c r="D482" s="23">
        <v>320</v>
      </c>
      <c r="E482" s="23" t="s">
        <v>2389</v>
      </c>
      <c r="F482" s="23" t="s">
        <v>797</v>
      </c>
      <c r="G482" s="23" t="s">
        <v>797</v>
      </c>
      <c r="H482" s="205" t="s">
        <v>1608</v>
      </c>
      <c r="I482" s="23"/>
    </row>
    <row r="483" spans="1:9">
      <c r="A483" s="205" t="s">
        <v>1608</v>
      </c>
      <c r="B483" s="216" t="s">
        <v>2414</v>
      </c>
      <c r="C483" s="216" t="s">
        <v>2415</v>
      </c>
      <c r="D483" s="23">
        <v>230</v>
      </c>
      <c r="E483" s="23" t="s">
        <v>2389</v>
      </c>
      <c r="F483" s="23" t="s">
        <v>797</v>
      </c>
      <c r="G483" s="23" t="s">
        <v>797</v>
      </c>
      <c r="H483" s="205" t="s">
        <v>1608</v>
      </c>
      <c r="I483" s="23"/>
    </row>
    <row r="484" spans="1:9">
      <c r="A484" s="205" t="s">
        <v>1608</v>
      </c>
      <c r="B484" s="216" t="s">
        <v>2416</v>
      </c>
      <c r="C484" s="216" t="s">
        <v>2417</v>
      </c>
      <c r="D484" s="23">
        <v>172.4</v>
      </c>
      <c r="E484" s="23" t="s">
        <v>2389</v>
      </c>
      <c r="F484" s="23" t="s">
        <v>797</v>
      </c>
      <c r="G484" s="23" t="s">
        <v>797</v>
      </c>
      <c r="H484" s="205" t="s">
        <v>1608</v>
      </c>
      <c r="I484" s="23"/>
    </row>
    <row r="485" spans="1:9">
      <c r="A485" s="205" t="s">
        <v>1608</v>
      </c>
      <c r="B485" s="216" t="s">
        <v>2418</v>
      </c>
      <c r="C485" s="216" t="s">
        <v>2419</v>
      </c>
      <c r="D485" s="23">
        <v>574.07999999999993</v>
      </c>
      <c r="E485" s="23" t="s">
        <v>2389</v>
      </c>
      <c r="F485" s="23" t="s">
        <v>797</v>
      </c>
      <c r="G485" s="23" t="s">
        <v>797</v>
      </c>
      <c r="H485" s="205" t="s">
        <v>1608</v>
      </c>
      <c r="I485" s="23"/>
    </row>
    <row r="486" spans="1:9">
      <c r="A486" s="205" t="s">
        <v>1608</v>
      </c>
      <c r="B486" s="216" t="s">
        <v>2420</v>
      </c>
      <c r="C486" s="216" t="s">
        <v>2421</v>
      </c>
      <c r="D486" s="23">
        <v>574.07999999999993</v>
      </c>
      <c r="E486" s="23" t="s">
        <v>2389</v>
      </c>
      <c r="F486" s="23" t="s">
        <v>797</v>
      </c>
      <c r="G486" s="23" t="s">
        <v>797</v>
      </c>
      <c r="H486" s="205" t="s">
        <v>1608</v>
      </c>
      <c r="I486" s="23"/>
    </row>
    <row r="487" spans="1:9">
      <c r="A487" s="205" t="s">
        <v>1608</v>
      </c>
      <c r="B487" s="216" t="s">
        <v>2422</v>
      </c>
      <c r="C487" s="216" t="s">
        <v>2423</v>
      </c>
      <c r="D487" s="23">
        <v>460</v>
      </c>
      <c r="E487" s="23" t="s">
        <v>2389</v>
      </c>
      <c r="F487" s="23" t="s">
        <v>797</v>
      </c>
      <c r="G487" s="23" t="s">
        <v>797</v>
      </c>
      <c r="H487" s="205" t="s">
        <v>1608</v>
      </c>
      <c r="I487" s="23"/>
    </row>
    <row r="488" spans="1:9">
      <c r="A488" s="205" t="s">
        <v>1608</v>
      </c>
      <c r="B488" s="216" t="s">
        <v>2424</v>
      </c>
      <c r="C488" s="216" t="s">
        <v>2425</v>
      </c>
      <c r="D488" s="23">
        <v>322</v>
      </c>
      <c r="E488" s="23" t="s">
        <v>2389</v>
      </c>
      <c r="F488" s="23" t="s">
        <v>797</v>
      </c>
      <c r="G488" s="23" t="s">
        <v>797</v>
      </c>
      <c r="H488" s="205" t="s">
        <v>1608</v>
      </c>
      <c r="I488" s="23"/>
    </row>
    <row r="489" spans="1:9">
      <c r="A489" s="205" t="s">
        <v>1608</v>
      </c>
      <c r="B489" s="216" t="s">
        <v>2426</v>
      </c>
      <c r="C489" s="216" t="s">
        <v>2427</v>
      </c>
      <c r="D489" s="23">
        <v>644</v>
      </c>
      <c r="E489" s="23" t="s">
        <v>2389</v>
      </c>
      <c r="F489" s="23" t="s">
        <v>797</v>
      </c>
      <c r="G489" s="23" t="s">
        <v>797</v>
      </c>
      <c r="H489" s="205" t="s">
        <v>1608</v>
      </c>
      <c r="I489" s="23"/>
    </row>
    <row r="490" spans="1:9">
      <c r="A490" s="205" t="s">
        <v>1608</v>
      </c>
      <c r="B490" s="216" t="s">
        <v>2428</v>
      </c>
      <c r="C490" s="216" t="s">
        <v>2429</v>
      </c>
      <c r="D490" s="23">
        <v>488</v>
      </c>
      <c r="E490" s="23" t="s">
        <v>2389</v>
      </c>
      <c r="F490" s="23" t="s">
        <v>797</v>
      </c>
      <c r="G490" s="23" t="s">
        <v>797</v>
      </c>
      <c r="H490" s="205" t="s">
        <v>1608</v>
      </c>
      <c r="I490" s="23"/>
    </row>
    <row r="491" spans="1:9">
      <c r="A491" s="205" t="s">
        <v>1608</v>
      </c>
      <c r="B491" s="216" t="s">
        <v>2430</v>
      </c>
      <c r="C491" s="216" t="s">
        <v>2431</v>
      </c>
      <c r="D491" s="23">
        <v>508.40000000000003</v>
      </c>
      <c r="E491" s="23" t="s">
        <v>2389</v>
      </c>
      <c r="F491" s="23" t="s">
        <v>797</v>
      </c>
      <c r="G491" s="23" t="s">
        <v>797</v>
      </c>
      <c r="H491" s="205" t="s">
        <v>1608</v>
      </c>
      <c r="I491" s="23"/>
    </row>
    <row r="492" spans="1:9">
      <c r="A492" s="205" t="s">
        <v>1608</v>
      </c>
      <c r="B492" s="216" t="s">
        <v>2432</v>
      </c>
      <c r="C492" s="216" t="s">
        <v>2433</v>
      </c>
      <c r="D492" s="23">
        <v>413.20000000000005</v>
      </c>
      <c r="E492" s="23" t="s">
        <v>2389</v>
      </c>
      <c r="F492" s="23" t="s">
        <v>797</v>
      </c>
      <c r="G492" s="23" t="s">
        <v>797</v>
      </c>
      <c r="H492" s="205" t="s">
        <v>1608</v>
      </c>
      <c r="I492" s="23"/>
    </row>
    <row r="493" spans="1:9">
      <c r="A493" s="205" t="s">
        <v>1608</v>
      </c>
      <c r="B493" s="216" t="s">
        <v>2434</v>
      </c>
      <c r="C493" s="216" t="s">
        <v>2435</v>
      </c>
      <c r="D493" s="23">
        <v>1150</v>
      </c>
      <c r="E493" s="23" t="s">
        <v>2389</v>
      </c>
      <c r="F493" s="23" t="s">
        <v>797</v>
      </c>
      <c r="G493" s="23" t="s">
        <v>797</v>
      </c>
      <c r="H493" s="205" t="s">
        <v>1608</v>
      </c>
      <c r="I493" s="23"/>
    </row>
    <row r="494" spans="1:9">
      <c r="A494" s="205" t="s">
        <v>1608</v>
      </c>
      <c r="B494" s="216" t="s">
        <v>2436</v>
      </c>
      <c r="C494" s="216" t="s">
        <v>2427</v>
      </c>
      <c r="D494" s="23">
        <v>368</v>
      </c>
      <c r="E494" s="23" t="s">
        <v>2389</v>
      </c>
      <c r="F494" s="23" t="s">
        <v>797</v>
      </c>
      <c r="G494" s="23" t="s">
        <v>797</v>
      </c>
      <c r="H494" s="205" t="s">
        <v>1608</v>
      </c>
      <c r="I494" s="23"/>
    </row>
    <row r="495" spans="1:9">
      <c r="A495" s="205" t="s">
        <v>1830</v>
      </c>
      <c r="B495" s="23" t="s">
        <v>2383</v>
      </c>
      <c r="C495" s="23" t="s">
        <v>2384</v>
      </c>
      <c r="D495" s="23">
        <v>346.2</v>
      </c>
      <c r="E495" s="23" t="s">
        <v>2385</v>
      </c>
      <c r="F495" s="23" t="s">
        <v>2386</v>
      </c>
      <c r="G495" s="23" t="s">
        <v>2509</v>
      </c>
      <c r="H495" s="205" t="s">
        <v>1830</v>
      </c>
      <c r="I495" s="23"/>
    </row>
    <row r="496" spans="1:9">
      <c r="A496" s="205" t="s">
        <v>1830</v>
      </c>
      <c r="B496" s="23" t="s">
        <v>2390</v>
      </c>
      <c r="C496" s="23" t="s">
        <v>2391</v>
      </c>
      <c r="D496" s="23">
        <v>183.15</v>
      </c>
      <c r="E496" s="23" t="s">
        <v>2385</v>
      </c>
      <c r="F496" s="23" t="s">
        <v>2386</v>
      </c>
      <c r="G496" s="23" t="s">
        <v>2509</v>
      </c>
      <c r="H496" s="205" t="s">
        <v>1830</v>
      </c>
      <c r="I496" s="23"/>
    </row>
    <row r="497" spans="1:9">
      <c r="A497" s="205" t="s">
        <v>1830</v>
      </c>
      <c r="B497" s="23" t="s">
        <v>2392</v>
      </c>
      <c r="C497" s="23" t="s">
        <v>2393</v>
      </c>
      <c r="D497" s="23">
        <v>201.82499999999999</v>
      </c>
      <c r="E497" s="23" t="s">
        <v>2385</v>
      </c>
      <c r="F497" s="23" t="s">
        <v>2386</v>
      </c>
      <c r="G497" s="23" t="s">
        <v>2509</v>
      </c>
      <c r="H497" s="205" t="s">
        <v>1830</v>
      </c>
      <c r="I497" s="23"/>
    </row>
    <row r="498" spans="1:9">
      <c r="A498" s="205" t="s">
        <v>1830</v>
      </c>
      <c r="B498" s="23" t="s">
        <v>2394</v>
      </c>
      <c r="C498" s="23" t="s">
        <v>2395</v>
      </c>
      <c r="D498" s="23">
        <v>73.312499999999986</v>
      </c>
      <c r="E498" s="23" t="s">
        <v>2385</v>
      </c>
      <c r="F498" s="23" t="s">
        <v>2386</v>
      </c>
      <c r="G498" s="23" t="s">
        <v>2509</v>
      </c>
      <c r="H498" s="205" t="s">
        <v>1830</v>
      </c>
      <c r="I498" s="23"/>
    </row>
    <row r="499" spans="1:9">
      <c r="A499" s="205" t="s">
        <v>1830</v>
      </c>
      <c r="B499" s="23" t="s">
        <v>2396</v>
      </c>
      <c r="C499" s="23" t="s">
        <v>2397</v>
      </c>
      <c r="D499" s="23">
        <v>140.58749999999998</v>
      </c>
      <c r="E499" s="23" t="s">
        <v>2385</v>
      </c>
      <c r="F499" s="23" t="s">
        <v>2386</v>
      </c>
      <c r="G499" s="23" t="s">
        <v>2509</v>
      </c>
      <c r="H499" s="205" t="s">
        <v>1830</v>
      </c>
      <c r="I499" s="23"/>
    </row>
    <row r="500" spans="1:9">
      <c r="A500" s="205" t="s">
        <v>1830</v>
      </c>
      <c r="B500" s="23" t="s">
        <v>2398</v>
      </c>
      <c r="C500" s="23" t="s">
        <v>2399</v>
      </c>
      <c r="D500" s="23">
        <v>77.969999999999985</v>
      </c>
      <c r="E500" s="23" t="s">
        <v>2385</v>
      </c>
      <c r="F500" s="23" t="s">
        <v>2386</v>
      </c>
      <c r="G500" s="23" t="s">
        <v>2509</v>
      </c>
      <c r="H500" s="205" t="s">
        <v>1830</v>
      </c>
      <c r="I500" s="23"/>
    </row>
    <row r="501" spans="1:9">
      <c r="A501" s="205" t="s">
        <v>1830</v>
      </c>
      <c r="B501" s="23" t="s">
        <v>2400</v>
      </c>
      <c r="C501" s="23" t="s">
        <v>2401</v>
      </c>
      <c r="D501" s="23">
        <v>100.56749999999998</v>
      </c>
      <c r="E501" s="23" t="s">
        <v>2385</v>
      </c>
      <c r="F501" s="23" t="s">
        <v>2386</v>
      </c>
      <c r="G501" s="23" t="s">
        <v>2509</v>
      </c>
      <c r="H501" s="205" t="s">
        <v>1830</v>
      </c>
      <c r="I501" s="23"/>
    </row>
    <row r="502" spans="1:9">
      <c r="A502" s="205" t="s">
        <v>1830</v>
      </c>
      <c r="B502" s="23" t="s">
        <v>2402</v>
      </c>
      <c r="C502" s="23" t="s">
        <v>2403</v>
      </c>
      <c r="D502" s="23">
        <v>16.042499999999997</v>
      </c>
      <c r="E502" s="23" t="s">
        <v>2385</v>
      </c>
      <c r="F502" s="23" t="s">
        <v>2386</v>
      </c>
      <c r="G502" s="23" t="s">
        <v>2509</v>
      </c>
      <c r="H502" s="205" t="s">
        <v>1830</v>
      </c>
      <c r="I502" s="23"/>
    </row>
    <row r="503" spans="1:9">
      <c r="A503" s="205" t="s">
        <v>1830</v>
      </c>
      <c r="B503" s="23" t="s">
        <v>2383</v>
      </c>
      <c r="C503" s="23" t="s">
        <v>2384</v>
      </c>
      <c r="D503" s="23">
        <v>923.2</v>
      </c>
      <c r="E503" s="23" t="s">
        <v>2385</v>
      </c>
      <c r="F503" s="23" t="s">
        <v>797</v>
      </c>
      <c r="G503" s="23" t="s">
        <v>797</v>
      </c>
      <c r="H503" s="205" t="s">
        <v>1830</v>
      </c>
      <c r="I503" s="23"/>
    </row>
    <row r="504" spans="1:9">
      <c r="A504" s="205" t="s">
        <v>1830</v>
      </c>
      <c r="B504" s="23" t="s">
        <v>2390</v>
      </c>
      <c r="C504" s="23" t="s">
        <v>2391</v>
      </c>
      <c r="D504" s="23">
        <v>488.40000000000003</v>
      </c>
      <c r="E504" s="23" t="s">
        <v>2385</v>
      </c>
      <c r="F504" s="23" t="s">
        <v>797</v>
      </c>
      <c r="G504" s="23" t="s">
        <v>797</v>
      </c>
      <c r="H504" s="205" t="s">
        <v>1830</v>
      </c>
      <c r="I504" s="23"/>
    </row>
    <row r="505" spans="1:9">
      <c r="A505" s="205" t="s">
        <v>1830</v>
      </c>
      <c r="B505" s="23" t="s">
        <v>2392</v>
      </c>
      <c r="C505" s="23" t="s">
        <v>2393</v>
      </c>
      <c r="D505" s="23">
        <v>538.20000000000005</v>
      </c>
      <c r="E505" s="23" t="s">
        <v>2385</v>
      </c>
      <c r="F505" s="23" t="s">
        <v>797</v>
      </c>
      <c r="G505" s="23" t="s">
        <v>797</v>
      </c>
      <c r="H505" s="205" t="s">
        <v>1830</v>
      </c>
      <c r="I505" s="23"/>
    </row>
    <row r="506" spans="1:9">
      <c r="A506" s="205" t="s">
        <v>1830</v>
      </c>
      <c r="B506" s="23" t="s">
        <v>2394</v>
      </c>
      <c r="C506" s="23" t="s">
        <v>2395</v>
      </c>
      <c r="D506" s="23">
        <v>195.5</v>
      </c>
      <c r="E506" s="23" t="s">
        <v>2385</v>
      </c>
      <c r="F506" s="23" t="s">
        <v>797</v>
      </c>
      <c r="G506" s="23" t="s">
        <v>797</v>
      </c>
      <c r="H506" s="205" t="s">
        <v>1830</v>
      </c>
      <c r="I506" s="23"/>
    </row>
    <row r="507" spans="1:9">
      <c r="A507" s="205" t="s">
        <v>1830</v>
      </c>
      <c r="B507" s="23" t="s">
        <v>2396</v>
      </c>
      <c r="C507" s="23" t="s">
        <v>2397</v>
      </c>
      <c r="D507" s="23">
        <v>374.9</v>
      </c>
      <c r="E507" s="23" t="s">
        <v>2385</v>
      </c>
      <c r="F507" s="23" t="s">
        <v>797</v>
      </c>
      <c r="G507" s="23" t="s">
        <v>797</v>
      </c>
      <c r="H507" s="205" t="s">
        <v>1830</v>
      </c>
      <c r="I507" s="23"/>
    </row>
    <row r="508" spans="1:9">
      <c r="A508" s="205" t="s">
        <v>1830</v>
      </c>
      <c r="B508" s="23" t="s">
        <v>2398</v>
      </c>
      <c r="C508" s="23" t="s">
        <v>2399</v>
      </c>
      <c r="D508" s="23">
        <v>207.92</v>
      </c>
      <c r="E508" s="23" t="s">
        <v>2385</v>
      </c>
      <c r="F508" s="23" t="s">
        <v>797</v>
      </c>
      <c r="G508" s="23" t="s">
        <v>797</v>
      </c>
      <c r="H508" s="205" t="s">
        <v>1830</v>
      </c>
      <c r="I508" s="23"/>
    </row>
    <row r="509" spans="1:9">
      <c r="A509" s="205" t="s">
        <v>1830</v>
      </c>
      <c r="B509" s="23" t="s">
        <v>2400</v>
      </c>
      <c r="C509" s="23" t="s">
        <v>2401</v>
      </c>
      <c r="D509" s="23">
        <v>268.18</v>
      </c>
      <c r="E509" s="23" t="s">
        <v>2385</v>
      </c>
      <c r="F509" s="23" t="s">
        <v>797</v>
      </c>
      <c r="G509" s="23" t="s">
        <v>797</v>
      </c>
      <c r="H509" s="205" t="s">
        <v>1830</v>
      </c>
      <c r="I509" s="23"/>
    </row>
    <row r="510" spans="1:9">
      <c r="A510" s="205" t="s">
        <v>1830</v>
      </c>
      <c r="B510" s="23" t="s">
        <v>2402</v>
      </c>
      <c r="C510" s="23" t="s">
        <v>2403</v>
      </c>
      <c r="D510" s="23">
        <v>42.78</v>
      </c>
      <c r="E510" s="23" t="s">
        <v>2385</v>
      </c>
      <c r="F510" s="23" t="s">
        <v>797</v>
      </c>
      <c r="G510" s="23" t="s">
        <v>797</v>
      </c>
      <c r="H510" s="205" t="s">
        <v>1830</v>
      </c>
      <c r="I510" s="23"/>
    </row>
    <row r="511" spans="1:9">
      <c r="A511" s="205" t="s">
        <v>1830</v>
      </c>
      <c r="B511" s="23" t="s">
        <v>2383</v>
      </c>
      <c r="C511" s="23" t="s">
        <v>2384</v>
      </c>
      <c r="D511" s="23">
        <v>357.07499999999999</v>
      </c>
      <c r="E511" s="23" t="s">
        <v>632</v>
      </c>
      <c r="F511" s="23" t="s">
        <v>2386</v>
      </c>
      <c r="G511" s="23" t="s">
        <v>2509</v>
      </c>
      <c r="H511" s="205" t="s">
        <v>1830</v>
      </c>
      <c r="I511" s="23"/>
    </row>
    <row r="512" spans="1:9">
      <c r="A512" s="205" t="s">
        <v>1830</v>
      </c>
      <c r="B512" s="23" t="s">
        <v>2390</v>
      </c>
      <c r="C512" s="23" t="s">
        <v>2391</v>
      </c>
      <c r="D512" s="23">
        <v>183.15</v>
      </c>
      <c r="E512" s="23" t="s">
        <v>632</v>
      </c>
      <c r="F512" s="23" t="s">
        <v>2386</v>
      </c>
      <c r="G512" s="23" t="s">
        <v>2509</v>
      </c>
      <c r="H512" s="205" t="s">
        <v>1830</v>
      </c>
      <c r="I512" s="23"/>
    </row>
    <row r="513" spans="1:9">
      <c r="A513" s="205" t="s">
        <v>1830</v>
      </c>
      <c r="B513" s="23" t="s">
        <v>2392</v>
      </c>
      <c r="C513" s="23" t="s">
        <v>2393</v>
      </c>
      <c r="D513" s="23">
        <v>201.9</v>
      </c>
      <c r="E513" s="23" t="s">
        <v>632</v>
      </c>
      <c r="F513" s="23" t="s">
        <v>2386</v>
      </c>
      <c r="G513" s="23" t="s">
        <v>2509</v>
      </c>
      <c r="H513" s="205" t="s">
        <v>1830</v>
      </c>
      <c r="I513" s="23"/>
    </row>
    <row r="514" spans="1:9">
      <c r="A514" s="205" t="s">
        <v>1830</v>
      </c>
      <c r="B514" s="23" t="s">
        <v>2394</v>
      </c>
      <c r="C514" s="23" t="s">
        <v>2395</v>
      </c>
      <c r="D514" s="23">
        <v>115.22999999999999</v>
      </c>
      <c r="E514" s="23" t="s">
        <v>632</v>
      </c>
      <c r="F514" s="23" t="s">
        <v>2386</v>
      </c>
      <c r="G514" s="23" t="s">
        <v>2509</v>
      </c>
      <c r="H514" s="205" t="s">
        <v>1830</v>
      </c>
      <c r="I514" s="23"/>
    </row>
    <row r="515" spans="1:9">
      <c r="A515" s="205" t="s">
        <v>1830</v>
      </c>
      <c r="B515" s="23" t="s">
        <v>2396</v>
      </c>
      <c r="C515" s="23" t="s">
        <v>2397</v>
      </c>
      <c r="D515" s="23">
        <v>140.54999999999998</v>
      </c>
      <c r="E515" s="23" t="s">
        <v>632</v>
      </c>
      <c r="F515" s="23" t="s">
        <v>2386</v>
      </c>
      <c r="G515" s="23" t="s">
        <v>2509</v>
      </c>
      <c r="H515" s="205" t="s">
        <v>1830</v>
      </c>
      <c r="I515" s="23"/>
    </row>
    <row r="516" spans="1:9">
      <c r="A516" s="205" t="s">
        <v>1830</v>
      </c>
      <c r="B516" s="23" t="s">
        <v>2398</v>
      </c>
      <c r="C516" s="23" t="s">
        <v>2399</v>
      </c>
      <c r="D516" s="23">
        <v>89.872499999999988</v>
      </c>
      <c r="E516" s="23" t="s">
        <v>632</v>
      </c>
      <c r="F516" s="23" t="s">
        <v>2386</v>
      </c>
      <c r="G516" s="23" t="s">
        <v>2509</v>
      </c>
      <c r="H516" s="205" t="s">
        <v>1830</v>
      </c>
      <c r="I516" s="23"/>
    </row>
    <row r="517" spans="1:9">
      <c r="A517" s="205" t="s">
        <v>1830</v>
      </c>
      <c r="B517" s="23" t="s">
        <v>2400</v>
      </c>
      <c r="C517" s="23" t="s">
        <v>2401</v>
      </c>
      <c r="D517" s="23">
        <v>100.5</v>
      </c>
      <c r="E517" s="23" t="s">
        <v>632</v>
      </c>
      <c r="F517" s="23" t="s">
        <v>2386</v>
      </c>
      <c r="G517" s="23" t="s">
        <v>2509</v>
      </c>
      <c r="H517" s="205" t="s">
        <v>1830</v>
      </c>
      <c r="I517" s="23"/>
    </row>
    <row r="518" spans="1:9">
      <c r="A518" s="205" t="s">
        <v>1830</v>
      </c>
      <c r="B518" s="23" t="s">
        <v>2402</v>
      </c>
      <c r="C518" s="23" t="s">
        <v>2403</v>
      </c>
      <c r="D518" s="23">
        <v>16.05</v>
      </c>
      <c r="E518" s="23" t="s">
        <v>632</v>
      </c>
      <c r="F518" s="23" t="s">
        <v>2386</v>
      </c>
      <c r="G518" s="23" t="s">
        <v>2509</v>
      </c>
      <c r="H518" s="205" t="s">
        <v>1830</v>
      </c>
      <c r="I518" s="23"/>
    </row>
    <row r="519" spans="1:9">
      <c r="A519" s="205" t="s">
        <v>1830</v>
      </c>
      <c r="B519" s="23" t="s">
        <v>2383</v>
      </c>
      <c r="C519" s="23" t="s">
        <v>2384</v>
      </c>
      <c r="D519" s="23">
        <v>952.2</v>
      </c>
      <c r="E519" s="23" t="s">
        <v>632</v>
      </c>
      <c r="F519" s="23" t="s">
        <v>797</v>
      </c>
      <c r="G519" s="23" t="s">
        <v>797</v>
      </c>
      <c r="H519" s="205" t="s">
        <v>1830</v>
      </c>
      <c r="I519" s="23"/>
    </row>
    <row r="520" spans="1:9">
      <c r="A520" s="205" t="s">
        <v>1830</v>
      </c>
      <c r="B520" s="23" t="s">
        <v>2390</v>
      </c>
      <c r="C520" s="23" t="s">
        <v>2391</v>
      </c>
      <c r="D520" s="23">
        <v>488.40000000000003</v>
      </c>
      <c r="E520" s="23" t="s">
        <v>632</v>
      </c>
      <c r="F520" s="23" t="s">
        <v>797</v>
      </c>
      <c r="G520" s="23" t="s">
        <v>797</v>
      </c>
      <c r="H520" s="205" t="s">
        <v>1830</v>
      </c>
      <c r="I520" s="23"/>
    </row>
    <row r="521" spans="1:9">
      <c r="A521" s="205" t="s">
        <v>1830</v>
      </c>
      <c r="B521" s="23" t="s">
        <v>2392</v>
      </c>
      <c r="C521" s="23" t="s">
        <v>2393</v>
      </c>
      <c r="D521" s="23">
        <v>538.4</v>
      </c>
      <c r="E521" s="23" t="s">
        <v>632</v>
      </c>
      <c r="F521" s="23" t="s">
        <v>797</v>
      </c>
      <c r="G521" s="23" t="s">
        <v>797</v>
      </c>
      <c r="H521" s="205" t="s">
        <v>1830</v>
      </c>
      <c r="I521" s="23"/>
    </row>
    <row r="522" spans="1:9">
      <c r="A522" s="205" t="s">
        <v>1830</v>
      </c>
      <c r="B522" s="23" t="s">
        <v>2394</v>
      </c>
      <c r="C522" s="23" t="s">
        <v>2395</v>
      </c>
      <c r="D522" s="23">
        <v>307.27999999999997</v>
      </c>
      <c r="E522" s="23" t="s">
        <v>632</v>
      </c>
      <c r="F522" s="23" t="s">
        <v>797</v>
      </c>
      <c r="G522" s="23" t="s">
        <v>797</v>
      </c>
      <c r="H522" s="205" t="s">
        <v>1830</v>
      </c>
      <c r="I522" s="23"/>
    </row>
    <row r="523" spans="1:9">
      <c r="A523" s="205" t="s">
        <v>1830</v>
      </c>
      <c r="B523" s="23" t="s">
        <v>2396</v>
      </c>
      <c r="C523" s="23" t="s">
        <v>2397</v>
      </c>
      <c r="D523" s="23">
        <v>374.8</v>
      </c>
      <c r="E523" s="23" t="s">
        <v>632</v>
      </c>
      <c r="F523" s="23" t="s">
        <v>797</v>
      </c>
      <c r="G523" s="23" t="s">
        <v>797</v>
      </c>
      <c r="H523" s="205" t="s">
        <v>1830</v>
      </c>
      <c r="I523" s="23"/>
    </row>
    <row r="524" spans="1:9">
      <c r="A524" s="205" t="s">
        <v>1830</v>
      </c>
      <c r="B524" s="23" t="s">
        <v>2398</v>
      </c>
      <c r="C524" s="23" t="s">
        <v>2399</v>
      </c>
      <c r="D524" s="23">
        <v>239.66</v>
      </c>
      <c r="E524" s="23" t="s">
        <v>632</v>
      </c>
      <c r="F524" s="23" t="s">
        <v>797</v>
      </c>
      <c r="G524" s="23" t="s">
        <v>797</v>
      </c>
      <c r="H524" s="205" t="s">
        <v>1830</v>
      </c>
      <c r="I524" s="23"/>
    </row>
    <row r="525" spans="1:9">
      <c r="A525" s="205" t="s">
        <v>1830</v>
      </c>
      <c r="B525" s="23" t="s">
        <v>2400</v>
      </c>
      <c r="C525" s="23" t="s">
        <v>2401</v>
      </c>
      <c r="D525" s="23">
        <v>268</v>
      </c>
      <c r="E525" s="23" t="s">
        <v>632</v>
      </c>
      <c r="F525" s="23" t="s">
        <v>797</v>
      </c>
      <c r="G525" s="23" t="s">
        <v>797</v>
      </c>
      <c r="H525" s="205" t="s">
        <v>1830</v>
      </c>
      <c r="I525" s="23"/>
    </row>
    <row r="526" spans="1:9">
      <c r="A526" s="205" t="s">
        <v>1830</v>
      </c>
      <c r="B526" s="23" t="s">
        <v>2402</v>
      </c>
      <c r="C526" s="23" t="s">
        <v>2403</v>
      </c>
      <c r="D526" s="23">
        <v>42.800000000000004</v>
      </c>
      <c r="E526" s="23" t="s">
        <v>632</v>
      </c>
      <c r="F526" s="23" t="s">
        <v>797</v>
      </c>
      <c r="G526" s="23" t="s">
        <v>797</v>
      </c>
      <c r="H526" s="205" t="s">
        <v>1830</v>
      </c>
      <c r="I526" s="23"/>
    </row>
    <row r="527" spans="1:9">
      <c r="A527" s="205" t="s">
        <v>1830</v>
      </c>
      <c r="B527" s="23" t="s">
        <v>2383</v>
      </c>
      <c r="C527" s="23" t="s">
        <v>2384</v>
      </c>
      <c r="D527" s="23">
        <v>357.07499999999999</v>
      </c>
      <c r="E527" s="23" t="s">
        <v>2389</v>
      </c>
      <c r="F527" s="23" t="s">
        <v>2386</v>
      </c>
      <c r="G527" s="23" t="s">
        <v>2509</v>
      </c>
      <c r="H527" s="205" t="s">
        <v>1830</v>
      </c>
      <c r="I527" s="23"/>
    </row>
    <row r="528" spans="1:9">
      <c r="A528" s="205" t="s">
        <v>1830</v>
      </c>
      <c r="B528" s="23" t="s">
        <v>2390</v>
      </c>
      <c r="C528" s="23" t="s">
        <v>2391</v>
      </c>
      <c r="D528" s="23">
        <v>278.58749999999998</v>
      </c>
      <c r="E528" s="23" t="s">
        <v>2389</v>
      </c>
      <c r="F528" s="23" t="s">
        <v>2386</v>
      </c>
      <c r="G528" s="23" t="s">
        <v>2509</v>
      </c>
      <c r="H528" s="205" t="s">
        <v>1830</v>
      </c>
      <c r="I528" s="23"/>
    </row>
    <row r="529" spans="1:9">
      <c r="A529" s="205" t="s">
        <v>1830</v>
      </c>
      <c r="B529" s="23" t="s">
        <v>2392</v>
      </c>
      <c r="C529" s="23" t="s">
        <v>2393</v>
      </c>
      <c r="D529" s="23">
        <v>201.9</v>
      </c>
      <c r="E529" s="23" t="s">
        <v>2389</v>
      </c>
      <c r="F529" s="23" t="s">
        <v>2386</v>
      </c>
      <c r="G529" s="23" t="s">
        <v>2509</v>
      </c>
      <c r="H529" s="205" t="s">
        <v>1830</v>
      </c>
      <c r="I529" s="23"/>
    </row>
    <row r="530" spans="1:9">
      <c r="A530" s="205" t="s">
        <v>1830</v>
      </c>
      <c r="B530" s="23" t="s">
        <v>2394</v>
      </c>
      <c r="C530" s="23" t="s">
        <v>2395</v>
      </c>
      <c r="D530" s="23">
        <v>115.22999999999999</v>
      </c>
      <c r="E530" s="23" t="s">
        <v>2389</v>
      </c>
      <c r="F530" s="23" t="s">
        <v>2386</v>
      </c>
      <c r="G530" s="23" t="s">
        <v>2509</v>
      </c>
      <c r="H530" s="205" t="s">
        <v>1830</v>
      </c>
      <c r="I530" s="23"/>
    </row>
    <row r="531" spans="1:9">
      <c r="A531" s="205" t="s">
        <v>1830</v>
      </c>
      <c r="B531" s="23" t="s">
        <v>2396</v>
      </c>
      <c r="C531" s="23" t="s">
        <v>2397</v>
      </c>
      <c r="D531" s="23">
        <v>216.14249999999996</v>
      </c>
      <c r="E531" s="23" t="s">
        <v>2389</v>
      </c>
      <c r="F531" s="23" t="s">
        <v>2386</v>
      </c>
      <c r="G531" s="23" t="s">
        <v>2509</v>
      </c>
      <c r="H531" s="205" t="s">
        <v>1830</v>
      </c>
      <c r="I531" s="23"/>
    </row>
    <row r="532" spans="1:9">
      <c r="A532" s="205" t="s">
        <v>1830</v>
      </c>
      <c r="B532" s="23" t="s">
        <v>2398</v>
      </c>
      <c r="C532" s="23" t="s">
        <v>2399</v>
      </c>
      <c r="D532" s="23">
        <v>89.872499999999988</v>
      </c>
      <c r="E532" s="23" t="s">
        <v>2389</v>
      </c>
      <c r="F532" s="23" t="s">
        <v>2386</v>
      </c>
      <c r="G532" s="23" t="s">
        <v>2509</v>
      </c>
      <c r="H532" s="205" t="s">
        <v>1830</v>
      </c>
      <c r="I532" s="23"/>
    </row>
    <row r="533" spans="1:9">
      <c r="A533" s="205" t="s">
        <v>1830</v>
      </c>
      <c r="B533" s="23" t="s">
        <v>2400</v>
      </c>
      <c r="C533" s="23" t="s">
        <v>2401</v>
      </c>
      <c r="D533" s="23">
        <v>100.5</v>
      </c>
      <c r="E533" s="23" t="s">
        <v>2389</v>
      </c>
      <c r="F533" s="23" t="s">
        <v>2386</v>
      </c>
      <c r="G533" s="23" t="s">
        <v>2509</v>
      </c>
      <c r="H533" s="205" t="s">
        <v>1830</v>
      </c>
      <c r="I533" s="23"/>
    </row>
    <row r="534" spans="1:9">
      <c r="A534" s="205" t="s">
        <v>1830</v>
      </c>
      <c r="B534" s="23" t="s">
        <v>2402</v>
      </c>
      <c r="C534" s="23" t="s">
        <v>2403</v>
      </c>
      <c r="D534" s="23">
        <v>40.537500000000001</v>
      </c>
      <c r="E534" s="23" t="s">
        <v>2389</v>
      </c>
      <c r="F534" s="23" t="s">
        <v>2386</v>
      </c>
      <c r="G534" s="23" t="s">
        <v>2509</v>
      </c>
      <c r="H534" s="205" t="s">
        <v>1830</v>
      </c>
      <c r="I534" s="23"/>
    </row>
    <row r="535" spans="1:9">
      <c r="A535" s="205" t="s">
        <v>1830</v>
      </c>
      <c r="B535" s="23" t="s">
        <v>2383</v>
      </c>
      <c r="C535" s="23" t="s">
        <v>2384</v>
      </c>
      <c r="D535" s="23">
        <v>952.2</v>
      </c>
      <c r="E535" s="23" t="s">
        <v>2389</v>
      </c>
      <c r="F535" s="23" t="s">
        <v>797</v>
      </c>
      <c r="G535" s="23" t="s">
        <v>797</v>
      </c>
      <c r="H535" s="205" t="s">
        <v>1830</v>
      </c>
      <c r="I535" s="23"/>
    </row>
    <row r="536" spans="1:9">
      <c r="A536" s="205" t="s">
        <v>1830</v>
      </c>
      <c r="B536" s="23" t="s">
        <v>2390</v>
      </c>
      <c r="C536" s="23" t="s">
        <v>2391</v>
      </c>
      <c r="D536" s="23">
        <v>742.9</v>
      </c>
      <c r="E536" s="23" t="s">
        <v>2389</v>
      </c>
      <c r="F536" s="23" t="s">
        <v>797</v>
      </c>
      <c r="G536" s="23" t="s">
        <v>797</v>
      </c>
      <c r="H536" s="205" t="s">
        <v>1830</v>
      </c>
      <c r="I536" s="23"/>
    </row>
    <row r="537" spans="1:9">
      <c r="A537" s="205" t="s">
        <v>1830</v>
      </c>
      <c r="B537" s="23" t="s">
        <v>2392</v>
      </c>
      <c r="C537" s="23" t="s">
        <v>2393</v>
      </c>
      <c r="D537" s="23">
        <v>538.4</v>
      </c>
      <c r="E537" s="23" t="s">
        <v>2389</v>
      </c>
      <c r="F537" s="23" t="s">
        <v>797</v>
      </c>
      <c r="G537" s="23" t="s">
        <v>797</v>
      </c>
      <c r="H537" s="205" t="s">
        <v>1830</v>
      </c>
      <c r="I537" s="23"/>
    </row>
    <row r="538" spans="1:9">
      <c r="A538" s="205" t="s">
        <v>1830</v>
      </c>
      <c r="B538" s="23" t="s">
        <v>2394</v>
      </c>
      <c r="C538" s="23" t="s">
        <v>2395</v>
      </c>
      <c r="D538" s="23">
        <v>307.27999999999997</v>
      </c>
      <c r="E538" s="23" t="s">
        <v>2389</v>
      </c>
      <c r="F538" s="23" t="s">
        <v>797</v>
      </c>
      <c r="G538" s="23" t="s">
        <v>797</v>
      </c>
      <c r="H538" s="205" t="s">
        <v>1830</v>
      </c>
      <c r="I538" s="23"/>
    </row>
    <row r="539" spans="1:9">
      <c r="A539" s="205" t="s">
        <v>1830</v>
      </c>
      <c r="B539" s="23" t="s">
        <v>2396</v>
      </c>
      <c r="C539" s="23" t="s">
        <v>2397</v>
      </c>
      <c r="D539" s="23">
        <v>576.38</v>
      </c>
      <c r="E539" s="23" t="s">
        <v>2389</v>
      </c>
      <c r="F539" s="23" t="s">
        <v>797</v>
      </c>
      <c r="G539" s="23" t="s">
        <v>797</v>
      </c>
      <c r="H539" s="205" t="s">
        <v>1830</v>
      </c>
      <c r="I539" s="23"/>
    </row>
    <row r="540" spans="1:9">
      <c r="A540" s="205" t="s">
        <v>1830</v>
      </c>
      <c r="B540" s="23" t="s">
        <v>2398</v>
      </c>
      <c r="C540" s="23" t="s">
        <v>2399</v>
      </c>
      <c r="D540" s="23">
        <v>239.66</v>
      </c>
      <c r="E540" s="23" t="s">
        <v>2389</v>
      </c>
      <c r="F540" s="23" t="s">
        <v>797</v>
      </c>
      <c r="G540" s="23" t="s">
        <v>797</v>
      </c>
      <c r="H540" s="205" t="s">
        <v>1830</v>
      </c>
      <c r="I540" s="23"/>
    </row>
    <row r="541" spans="1:9">
      <c r="A541" s="205" t="s">
        <v>1830</v>
      </c>
      <c r="B541" s="23" t="s">
        <v>2400</v>
      </c>
      <c r="C541" s="23" t="s">
        <v>2401</v>
      </c>
      <c r="D541" s="23">
        <v>268</v>
      </c>
      <c r="E541" s="23" t="s">
        <v>2389</v>
      </c>
      <c r="F541" s="23" t="s">
        <v>797</v>
      </c>
      <c r="G541" s="23" t="s">
        <v>797</v>
      </c>
      <c r="H541" s="205" t="s">
        <v>1830</v>
      </c>
      <c r="I541" s="23"/>
    </row>
    <row r="542" spans="1:9">
      <c r="A542" s="205" t="s">
        <v>1830</v>
      </c>
      <c r="B542" s="23" t="s">
        <v>2402</v>
      </c>
      <c r="C542" s="23" t="s">
        <v>2403</v>
      </c>
      <c r="D542" s="23">
        <v>108.10000000000001</v>
      </c>
      <c r="E542" s="23" t="s">
        <v>2389</v>
      </c>
      <c r="F542" s="23" t="s">
        <v>797</v>
      </c>
      <c r="G542" s="23" t="s">
        <v>797</v>
      </c>
      <c r="H542" s="205" t="s">
        <v>1830</v>
      </c>
      <c r="I542" s="23"/>
    </row>
    <row r="543" spans="1:9">
      <c r="A543" s="23" t="s">
        <v>1728</v>
      </c>
      <c r="B543" s="23" t="s">
        <v>2487</v>
      </c>
      <c r="C543" s="23"/>
      <c r="D543" s="23">
        <v>182.76</v>
      </c>
      <c r="E543" s="23" t="s">
        <v>2385</v>
      </c>
      <c r="F543" s="23" t="s">
        <v>2387</v>
      </c>
      <c r="G543" s="23" t="s">
        <v>739</v>
      </c>
      <c r="H543" s="205" t="s">
        <v>1728</v>
      </c>
      <c r="I543" s="23" t="s">
        <v>2487</v>
      </c>
    </row>
    <row r="544" spans="1:9">
      <c r="A544" s="23" t="s">
        <v>1728</v>
      </c>
      <c r="B544" s="23" t="s">
        <v>2487</v>
      </c>
      <c r="C544" s="23"/>
      <c r="D544" s="23">
        <v>121.84</v>
      </c>
      <c r="E544" s="23" t="s">
        <v>2385</v>
      </c>
      <c r="F544" s="23" t="s">
        <v>2388</v>
      </c>
      <c r="G544" s="23" t="s">
        <v>897</v>
      </c>
      <c r="H544" s="205" t="s">
        <v>1728</v>
      </c>
      <c r="I544" s="23" t="s">
        <v>2487</v>
      </c>
    </row>
    <row r="545" spans="1:9">
      <c r="A545" s="23" t="s">
        <v>1728</v>
      </c>
      <c r="B545" s="23" t="s">
        <v>2487</v>
      </c>
      <c r="C545" s="23"/>
      <c r="D545" s="23">
        <v>76.150000000000006</v>
      </c>
      <c r="E545" s="23" t="s">
        <v>2385</v>
      </c>
      <c r="F545" s="23" t="s">
        <v>735</v>
      </c>
      <c r="G545" s="23" t="s">
        <v>735</v>
      </c>
      <c r="H545" s="205" t="s">
        <v>1728</v>
      </c>
      <c r="I545" s="23" t="s">
        <v>2487</v>
      </c>
    </row>
    <row r="546" spans="1:9">
      <c r="A546" s="23" t="s">
        <v>1728</v>
      </c>
      <c r="B546" s="23" t="s">
        <v>2487</v>
      </c>
      <c r="C546" s="23"/>
      <c r="D546" s="23">
        <v>8.9</v>
      </c>
      <c r="E546" s="23" t="s">
        <v>2385</v>
      </c>
      <c r="F546" s="23" t="s">
        <v>56</v>
      </c>
      <c r="G546" s="23" t="s">
        <v>56</v>
      </c>
      <c r="H546" s="205" t="s">
        <v>1728</v>
      </c>
      <c r="I546" s="23" t="s">
        <v>2487</v>
      </c>
    </row>
    <row r="547" spans="1:9">
      <c r="A547" s="23" t="s">
        <v>1728</v>
      </c>
      <c r="B547" s="23" t="s">
        <v>2487</v>
      </c>
      <c r="C547" s="23"/>
      <c r="D547" s="23">
        <v>182.76</v>
      </c>
      <c r="E547" s="23" t="s">
        <v>632</v>
      </c>
      <c r="F547" s="23" t="s">
        <v>2387</v>
      </c>
      <c r="G547" s="23" t="s">
        <v>739</v>
      </c>
      <c r="H547" s="205" t="s">
        <v>1728</v>
      </c>
      <c r="I547" s="23" t="s">
        <v>2487</v>
      </c>
    </row>
    <row r="548" spans="1:9">
      <c r="A548" s="23" t="s">
        <v>1728</v>
      </c>
      <c r="B548" s="23" t="s">
        <v>2487</v>
      </c>
      <c r="C548" s="23"/>
      <c r="D548" s="23">
        <v>121.84</v>
      </c>
      <c r="E548" s="23" t="s">
        <v>632</v>
      </c>
      <c r="F548" s="23" t="s">
        <v>2388</v>
      </c>
      <c r="G548" s="23" t="s">
        <v>897</v>
      </c>
      <c r="H548" s="205" t="s">
        <v>1728</v>
      </c>
      <c r="I548" s="23" t="s">
        <v>2487</v>
      </c>
    </row>
    <row r="549" spans="1:9">
      <c r="A549" s="23" t="s">
        <v>1728</v>
      </c>
      <c r="B549" s="23" t="s">
        <v>2487</v>
      </c>
      <c r="C549" s="23"/>
      <c r="D549" s="23">
        <v>76.150000000000006</v>
      </c>
      <c r="E549" s="23" t="s">
        <v>632</v>
      </c>
      <c r="F549" s="23" t="s">
        <v>735</v>
      </c>
      <c r="G549" s="23" t="s">
        <v>735</v>
      </c>
      <c r="H549" s="205" t="s">
        <v>1728</v>
      </c>
      <c r="I549" s="23" t="s">
        <v>2487</v>
      </c>
    </row>
    <row r="550" spans="1:9">
      <c r="A550" s="23" t="s">
        <v>1728</v>
      </c>
      <c r="B550" s="23" t="s">
        <v>2487</v>
      </c>
      <c r="C550" s="23"/>
      <c r="D550" s="23">
        <v>8.9</v>
      </c>
      <c r="E550" s="23" t="s">
        <v>632</v>
      </c>
      <c r="F550" s="23" t="s">
        <v>56</v>
      </c>
      <c r="G550" s="23" t="s">
        <v>56</v>
      </c>
      <c r="H550" s="205" t="s">
        <v>1728</v>
      </c>
      <c r="I550" s="23" t="s">
        <v>2487</v>
      </c>
    </row>
    <row r="551" spans="1:9">
      <c r="A551" s="23" t="s">
        <v>1728</v>
      </c>
      <c r="B551" s="23" t="s">
        <v>2487</v>
      </c>
      <c r="C551" s="23"/>
      <c r="D551" s="23">
        <v>221.90399999999997</v>
      </c>
      <c r="E551" s="23" t="s">
        <v>2389</v>
      </c>
      <c r="F551" s="23" t="s">
        <v>2387</v>
      </c>
      <c r="G551" s="23" t="s">
        <v>739</v>
      </c>
      <c r="H551" s="205" t="s">
        <v>1728</v>
      </c>
      <c r="I551" s="23" t="s">
        <v>2487</v>
      </c>
    </row>
    <row r="552" spans="1:9">
      <c r="A552" s="23" t="s">
        <v>1728</v>
      </c>
      <c r="B552" s="23" t="s">
        <v>2487</v>
      </c>
      <c r="C552" s="23"/>
      <c r="D552" s="23">
        <v>147.93599999999998</v>
      </c>
      <c r="E552" s="23" t="s">
        <v>2389</v>
      </c>
      <c r="F552" s="23" t="s">
        <v>2388</v>
      </c>
      <c r="G552" s="23" t="s">
        <v>897</v>
      </c>
      <c r="H552" s="205" t="s">
        <v>1728</v>
      </c>
      <c r="I552" s="23" t="s">
        <v>2487</v>
      </c>
    </row>
    <row r="553" spans="1:9">
      <c r="A553" s="23" t="s">
        <v>1728</v>
      </c>
      <c r="B553" s="23" t="s">
        <v>2487</v>
      </c>
      <c r="C553" s="23"/>
      <c r="D553" s="23">
        <v>92.46</v>
      </c>
      <c r="E553" s="23" t="s">
        <v>2389</v>
      </c>
      <c r="F553" s="23" t="s">
        <v>735</v>
      </c>
      <c r="G553" s="23" t="s">
        <v>735</v>
      </c>
      <c r="H553" s="205" t="s">
        <v>1728</v>
      </c>
      <c r="I553" s="23" t="s">
        <v>2487</v>
      </c>
    </row>
    <row r="554" spans="1:9">
      <c r="A554" s="23" t="s">
        <v>1728</v>
      </c>
      <c r="B554" s="23" t="s">
        <v>2487</v>
      </c>
      <c r="C554" s="23"/>
      <c r="D554" s="23">
        <v>8.9</v>
      </c>
      <c r="E554" s="23" t="s">
        <v>2389</v>
      </c>
      <c r="F554" s="23" t="s">
        <v>56</v>
      </c>
      <c r="G554" s="23" t="s">
        <v>56</v>
      </c>
      <c r="H554" s="205" t="s">
        <v>1728</v>
      </c>
      <c r="I554" s="23" t="s">
        <v>2487</v>
      </c>
    </row>
    <row r="555" spans="1:9">
      <c r="A555" s="23" t="s">
        <v>1728</v>
      </c>
      <c r="B555" s="23" t="s">
        <v>2489</v>
      </c>
      <c r="C555" s="23"/>
      <c r="D555" s="23">
        <v>289.8</v>
      </c>
      <c r="E555" s="23" t="s">
        <v>2385</v>
      </c>
      <c r="F555" s="23" t="s">
        <v>2387</v>
      </c>
      <c r="G555" s="23" t="s">
        <v>739</v>
      </c>
      <c r="H555" s="205" t="s">
        <v>1728</v>
      </c>
      <c r="I555" s="23" t="s">
        <v>2489</v>
      </c>
    </row>
    <row r="556" spans="1:9">
      <c r="A556" s="23" t="s">
        <v>1728</v>
      </c>
      <c r="B556" s="23" t="s">
        <v>2489</v>
      </c>
      <c r="C556" s="23"/>
      <c r="D556" s="23">
        <v>193.20000000000002</v>
      </c>
      <c r="E556" s="23" t="s">
        <v>2385</v>
      </c>
      <c r="F556" s="23" t="s">
        <v>2388</v>
      </c>
      <c r="G556" s="23" t="s">
        <v>897</v>
      </c>
      <c r="H556" s="205" t="s">
        <v>1728</v>
      </c>
      <c r="I556" s="23" t="s">
        <v>2489</v>
      </c>
    </row>
    <row r="557" spans="1:9">
      <c r="A557" s="23" t="s">
        <v>1728</v>
      </c>
      <c r="B557" s="23" t="s">
        <v>2489</v>
      </c>
      <c r="C557" s="23"/>
      <c r="D557" s="23">
        <v>120.75</v>
      </c>
      <c r="E557" s="23" t="s">
        <v>2385</v>
      </c>
      <c r="F557" s="23" t="s">
        <v>735</v>
      </c>
      <c r="G557" s="23" t="s">
        <v>735</v>
      </c>
      <c r="H557" s="205" t="s">
        <v>1728</v>
      </c>
      <c r="I557" s="23" t="s">
        <v>2489</v>
      </c>
    </row>
    <row r="558" spans="1:9">
      <c r="A558" s="23" t="s">
        <v>1728</v>
      </c>
      <c r="B558" s="23" t="s">
        <v>2489</v>
      </c>
      <c r="C558" s="23"/>
      <c r="D558" s="23">
        <v>10.2925</v>
      </c>
      <c r="E558" s="23" t="s">
        <v>2385</v>
      </c>
      <c r="F558" s="23" t="s">
        <v>56</v>
      </c>
      <c r="G558" s="23" t="s">
        <v>56</v>
      </c>
      <c r="H558" s="205" t="s">
        <v>1728</v>
      </c>
      <c r="I558" s="23" t="s">
        <v>2489</v>
      </c>
    </row>
    <row r="559" spans="1:9">
      <c r="A559" s="23" t="s">
        <v>1728</v>
      </c>
      <c r="B559" s="23" t="s">
        <v>2489</v>
      </c>
      <c r="C559" s="23"/>
      <c r="D559" s="23">
        <v>301.52999999999997</v>
      </c>
      <c r="E559" s="23" t="s">
        <v>632</v>
      </c>
      <c r="F559" s="23" t="s">
        <v>2387</v>
      </c>
      <c r="G559" s="23" t="s">
        <v>739</v>
      </c>
      <c r="H559" s="205" t="s">
        <v>1728</v>
      </c>
      <c r="I559" s="23" t="s">
        <v>2489</v>
      </c>
    </row>
    <row r="560" spans="1:9">
      <c r="A560" s="23" t="s">
        <v>1728</v>
      </c>
      <c r="B560" s="23" t="s">
        <v>2489</v>
      </c>
      <c r="C560" s="23"/>
      <c r="D560" s="23">
        <v>201.02</v>
      </c>
      <c r="E560" s="23" t="s">
        <v>632</v>
      </c>
      <c r="F560" s="23" t="s">
        <v>2388</v>
      </c>
      <c r="G560" s="23" t="s">
        <v>897</v>
      </c>
      <c r="H560" s="205" t="s">
        <v>1728</v>
      </c>
      <c r="I560" s="23" t="s">
        <v>2489</v>
      </c>
    </row>
    <row r="561" spans="1:9">
      <c r="A561" s="23" t="s">
        <v>1728</v>
      </c>
      <c r="B561" s="23" t="s">
        <v>2489</v>
      </c>
      <c r="C561" s="23"/>
      <c r="D561" s="23">
        <v>125.6375</v>
      </c>
      <c r="E561" s="23" t="s">
        <v>632</v>
      </c>
      <c r="F561" s="23" t="s">
        <v>735</v>
      </c>
      <c r="G561" s="23" t="s">
        <v>735</v>
      </c>
      <c r="H561" s="205" t="s">
        <v>1728</v>
      </c>
      <c r="I561" s="23" t="s">
        <v>2489</v>
      </c>
    </row>
    <row r="562" spans="1:9">
      <c r="A562" s="23" t="s">
        <v>1728</v>
      </c>
      <c r="B562" s="23" t="s">
        <v>2489</v>
      </c>
      <c r="C562" s="23"/>
      <c r="D562" s="23">
        <v>10.3</v>
      </c>
      <c r="E562" s="23" t="s">
        <v>632</v>
      </c>
      <c r="F562" s="23" t="s">
        <v>56</v>
      </c>
      <c r="G562" s="23" t="s">
        <v>56</v>
      </c>
      <c r="H562" s="205" t="s">
        <v>1728</v>
      </c>
      <c r="I562" s="23" t="s">
        <v>2489</v>
      </c>
    </row>
    <row r="563" spans="1:9">
      <c r="A563" s="23" t="s">
        <v>1728</v>
      </c>
      <c r="B563" s="23" t="s">
        <v>2489</v>
      </c>
      <c r="C563" s="23"/>
      <c r="D563" s="23">
        <v>358.79999999999995</v>
      </c>
      <c r="E563" s="23" t="s">
        <v>2389</v>
      </c>
      <c r="F563" s="23" t="s">
        <v>2387</v>
      </c>
      <c r="G563" s="23" t="s">
        <v>739</v>
      </c>
      <c r="H563" s="205" t="s">
        <v>1728</v>
      </c>
      <c r="I563" s="23" t="s">
        <v>2489</v>
      </c>
    </row>
    <row r="564" spans="1:9">
      <c r="A564" s="23" t="s">
        <v>1728</v>
      </c>
      <c r="B564" s="23" t="s">
        <v>2489</v>
      </c>
      <c r="C564" s="23"/>
      <c r="D564" s="23">
        <v>239.19999999999996</v>
      </c>
      <c r="E564" s="23" t="s">
        <v>2389</v>
      </c>
      <c r="F564" s="23" t="s">
        <v>2388</v>
      </c>
      <c r="G564" s="23" t="s">
        <v>897</v>
      </c>
      <c r="H564" s="205" t="s">
        <v>1728</v>
      </c>
      <c r="I564" s="23" t="s">
        <v>2489</v>
      </c>
    </row>
    <row r="565" spans="1:9">
      <c r="A565" s="23" t="s">
        <v>1728</v>
      </c>
      <c r="B565" s="23" t="s">
        <v>2489</v>
      </c>
      <c r="C565" s="23"/>
      <c r="D565" s="23">
        <v>149.49999999999997</v>
      </c>
      <c r="E565" s="23" t="s">
        <v>2389</v>
      </c>
      <c r="F565" s="23" t="s">
        <v>735</v>
      </c>
      <c r="G565" s="23" t="s">
        <v>735</v>
      </c>
      <c r="H565" s="205" t="s">
        <v>1728</v>
      </c>
      <c r="I565" s="23" t="s">
        <v>2489</v>
      </c>
    </row>
    <row r="566" spans="1:9">
      <c r="A566" s="23" t="s">
        <v>1728</v>
      </c>
      <c r="B566" s="23" t="s">
        <v>2489</v>
      </c>
      <c r="C566" s="23"/>
      <c r="D566" s="23">
        <v>10.3</v>
      </c>
      <c r="E566" s="23" t="s">
        <v>2389</v>
      </c>
      <c r="F566" s="23" t="s">
        <v>56</v>
      </c>
      <c r="G566" s="23" t="s">
        <v>56</v>
      </c>
      <c r="H566" s="205" t="s">
        <v>1728</v>
      </c>
      <c r="I566" s="23" t="s">
        <v>2489</v>
      </c>
    </row>
    <row r="567" spans="1:9">
      <c r="A567" s="23" t="s">
        <v>1728</v>
      </c>
      <c r="B567" s="23" t="s">
        <v>2490</v>
      </c>
      <c r="C567" s="23"/>
      <c r="D567" s="23">
        <v>107.50199999999998</v>
      </c>
      <c r="E567" s="23" t="s">
        <v>2385</v>
      </c>
      <c r="F567" s="23" t="s">
        <v>2387</v>
      </c>
      <c r="G567" s="23" t="s">
        <v>739</v>
      </c>
      <c r="H567" s="205" t="s">
        <v>1728</v>
      </c>
      <c r="I567" s="23" t="s">
        <v>2490</v>
      </c>
    </row>
    <row r="568" spans="1:9">
      <c r="A568" s="23" t="s">
        <v>1728</v>
      </c>
      <c r="B568" s="23" t="s">
        <v>2490</v>
      </c>
      <c r="C568" s="23"/>
      <c r="D568" s="23">
        <v>71.667999999999992</v>
      </c>
      <c r="E568" s="23" t="s">
        <v>2385</v>
      </c>
      <c r="F568" s="23" t="s">
        <v>2388</v>
      </c>
      <c r="G568" s="23" t="s">
        <v>897</v>
      </c>
      <c r="H568" s="205" t="s">
        <v>1728</v>
      </c>
      <c r="I568" s="23" t="s">
        <v>2490</v>
      </c>
    </row>
    <row r="569" spans="1:9">
      <c r="A569" s="23" t="s">
        <v>1728</v>
      </c>
      <c r="B569" s="23" t="s">
        <v>2490</v>
      </c>
      <c r="C569" s="23"/>
      <c r="D569" s="23">
        <v>44.792499999999997</v>
      </c>
      <c r="E569" s="23" t="s">
        <v>2385</v>
      </c>
      <c r="F569" s="23" t="s">
        <v>735</v>
      </c>
      <c r="G569" s="23" t="s">
        <v>735</v>
      </c>
      <c r="H569" s="205" t="s">
        <v>1728</v>
      </c>
      <c r="I569" s="23" t="s">
        <v>2490</v>
      </c>
    </row>
    <row r="570" spans="1:9">
      <c r="A570" s="23" t="s">
        <v>1728</v>
      </c>
      <c r="B570" s="23" t="s">
        <v>2490</v>
      </c>
      <c r="C570" s="23"/>
      <c r="D570" s="23">
        <v>3.5500000000000003</v>
      </c>
      <c r="E570" s="23" t="s">
        <v>2385</v>
      </c>
      <c r="F570" s="23" t="s">
        <v>56</v>
      </c>
      <c r="G570" s="23" t="s">
        <v>56</v>
      </c>
      <c r="H570" s="205" t="s">
        <v>1728</v>
      </c>
      <c r="I570" s="23" t="s">
        <v>2490</v>
      </c>
    </row>
    <row r="571" spans="1:9">
      <c r="A571" s="23" t="s">
        <v>1728</v>
      </c>
      <c r="B571" s="23" t="s">
        <v>2490</v>
      </c>
      <c r="C571" s="23"/>
      <c r="D571" s="23">
        <v>107.50199999999998</v>
      </c>
      <c r="E571" s="23" t="s">
        <v>632</v>
      </c>
      <c r="F571" s="23" t="s">
        <v>2387</v>
      </c>
      <c r="G571" s="23" t="s">
        <v>739</v>
      </c>
      <c r="H571" s="205" t="s">
        <v>1728</v>
      </c>
      <c r="I571" s="23" t="s">
        <v>2490</v>
      </c>
    </row>
    <row r="572" spans="1:9">
      <c r="A572" s="23" t="s">
        <v>1728</v>
      </c>
      <c r="B572" s="23" t="s">
        <v>2490</v>
      </c>
      <c r="C572" s="23"/>
      <c r="D572" s="23">
        <v>71.667999999999992</v>
      </c>
      <c r="E572" s="23" t="s">
        <v>632</v>
      </c>
      <c r="F572" s="23" t="s">
        <v>2388</v>
      </c>
      <c r="G572" s="23" t="s">
        <v>897</v>
      </c>
      <c r="H572" s="205" t="s">
        <v>1728</v>
      </c>
      <c r="I572" s="23" t="s">
        <v>2490</v>
      </c>
    </row>
    <row r="573" spans="1:9">
      <c r="A573" s="23" t="s">
        <v>1728</v>
      </c>
      <c r="B573" s="23" t="s">
        <v>2490</v>
      </c>
      <c r="C573" s="23"/>
      <c r="D573" s="23">
        <v>44.792499999999997</v>
      </c>
      <c r="E573" s="23" t="s">
        <v>632</v>
      </c>
      <c r="F573" s="23" t="s">
        <v>735</v>
      </c>
      <c r="G573" s="23" t="s">
        <v>735</v>
      </c>
      <c r="H573" s="205" t="s">
        <v>1728</v>
      </c>
      <c r="I573" s="23" t="s">
        <v>2490</v>
      </c>
    </row>
    <row r="574" spans="1:9">
      <c r="A574" s="23" t="s">
        <v>1728</v>
      </c>
      <c r="B574" s="23" t="s">
        <v>2490</v>
      </c>
      <c r="C574" s="23"/>
      <c r="D574" s="23">
        <v>3.5500000000000003</v>
      </c>
      <c r="E574" s="23" t="s">
        <v>632</v>
      </c>
      <c r="F574" s="23" t="s">
        <v>56</v>
      </c>
      <c r="G574" s="23" t="s">
        <v>56</v>
      </c>
      <c r="H574" s="205" t="s">
        <v>1728</v>
      </c>
      <c r="I574" s="23" t="s">
        <v>2490</v>
      </c>
    </row>
    <row r="575" spans="1:9">
      <c r="A575" s="23" t="s">
        <v>1728</v>
      </c>
      <c r="B575" s="23" t="s">
        <v>2490</v>
      </c>
      <c r="C575" s="23"/>
      <c r="D575" s="23">
        <v>110.39999999999998</v>
      </c>
      <c r="E575" s="23" t="s">
        <v>2389</v>
      </c>
      <c r="F575" s="23" t="s">
        <v>2387</v>
      </c>
      <c r="G575" s="23" t="s">
        <v>739</v>
      </c>
      <c r="H575" s="205" t="s">
        <v>1728</v>
      </c>
      <c r="I575" s="23" t="s">
        <v>2490</v>
      </c>
    </row>
    <row r="576" spans="1:9">
      <c r="A576" s="23" t="s">
        <v>1728</v>
      </c>
      <c r="B576" s="23" t="s">
        <v>2490</v>
      </c>
      <c r="C576" s="23"/>
      <c r="D576" s="23">
        <v>73.599999999999994</v>
      </c>
      <c r="E576" s="23" t="s">
        <v>2389</v>
      </c>
      <c r="F576" s="23" t="s">
        <v>2388</v>
      </c>
      <c r="G576" s="23" t="s">
        <v>897</v>
      </c>
      <c r="H576" s="205" t="s">
        <v>1728</v>
      </c>
      <c r="I576" s="23" t="s">
        <v>2490</v>
      </c>
    </row>
    <row r="577" spans="1:9">
      <c r="A577" s="23" t="s">
        <v>1728</v>
      </c>
      <c r="B577" s="23" t="s">
        <v>2490</v>
      </c>
      <c r="C577" s="23"/>
      <c r="D577" s="23">
        <v>46</v>
      </c>
      <c r="E577" s="23" t="s">
        <v>2389</v>
      </c>
      <c r="F577" s="23" t="s">
        <v>735</v>
      </c>
      <c r="G577" s="23" t="s">
        <v>735</v>
      </c>
      <c r="H577" s="205" t="s">
        <v>1728</v>
      </c>
      <c r="I577" s="23" t="s">
        <v>2490</v>
      </c>
    </row>
    <row r="578" spans="1:9">
      <c r="A578" s="23" t="s">
        <v>1728</v>
      </c>
      <c r="B578" s="23" t="s">
        <v>2490</v>
      </c>
      <c r="C578" s="23"/>
      <c r="D578" s="23">
        <v>3.5500000000000003</v>
      </c>
      <c r="E578" s="23" t="s">
        <v>2389</v>
      </c>
      <c r="F578" s="23" t="s">
        <v>56</v>
      </c>
      <c r="G578" s="23" t="s">
        <v>56</v>
      </c>
      <c r="H578" s="205" t="s">
        <v>1728</v>
      </c>
      <c r="I578" s="23" t="s">
        <v>2490</v>
      </c>
    </row>
    <row r="579" spans="1:9">
      <c r="A579" s="23" t="s">
        <v>1728</v>
      </c>
      <c r="B579" s="23" t="s">
        <v>2492</v>
      </c>
      <c r="C579" s="23"/>
      <c r="D579" s="23">
        <v>188.76</v>
      </c>
      <c r="E579" s="23" t="s">
        <v>2385</v>
      </c>
      <c r="F579" s="23" t="s">
        <v>2387</v>
      </c>
      <c r="G579" s="23" t="s">
        <v>739</v>
      </c>
      <c r="H579" s="205" t="s">
        <v>1728</v>
      </c>
      <c r="I579" s="23" t="s">
        <v>2492</v>
      </c>
    </row>
    <row r="580" spans="1:9">
      <c r="A580" s="23" t="s">
        <v>1728</v>
      </c>
      <c r="B580" s="23" t="s">
        <v>2492</v>
      </c>
      <c r="C580" s="23"/>
      <c r="D580" s="23">
        <v>125.84</v>
      </c>
      <c r="E580" s="23" t="s">
        <v>2385</v>
      </c>
      <c r="F580" s="23" t="s">
        <v>2388</v>
      </c>
      <c r="G580" s="23" t="s">
        <v>897</v>
      </c>
      <c r="H580" s="205" t="s">
        <v>1728</v>
      </c>
      <c r="I580" s="23" t="s">
        <v>2492</v>
      </c>
    </row>
    <row r="581" spans="1:9">
      <c r="A581" s="23" t="s">
        <v>1728</v>
      </c>
      <c r="B581" s="23" t="s">
        <v>2492</v>
      </c>
      <c r="C581" s="23"/>
      <c r="D581" s="23">
        <v>78.650000000000006</v>
      </c>
      <c r="E581" s="23" t="s">
        <v>2385</v>
      </c>
      <c r="F581" s="23" t="s">
        <v>735</v>
      </c>
      <c r="G581" s="23" t="s">
        <v>735</v>
      </c>
      <c r="H581" s="205" t="s">
        <v>1728</v>
      </c>
      <c r="I581" s="23" t="s">
        <v>2492</v>
      </c>
    </row>
    <row r="582" spans="1:9">
      <c r="A582" s="23" t="s">
        <v>1728</v>
      </c>
      <c r="B582" s="23" t="s">
        <v>2492</v>
      </c>
      <c r="C582" s="23"/>
      <c r="D582" s="23">
        <v>11.9</v>
      </c>
      <c r="E582" s="23" t="s">
        <v>2385</v>
      </c>
      <c r="F582" s="23" t="s">
        <v>56</v>
      </c>
      <c r="G582" s="23" t="s">
        <v>56</v>
      </c>
      <c r="H582" s="205" t="s">
        <v>1728</v>
      </c>
      <c r="I582" s="23" t="s">
        <v>2492</v>
      </c>
    </row>
    <row r="583" spans="1:9">
      <c r="A583" s="23" t="s">
        <v>1728</v>
      </c>
      <c r="B583" s="23" t="s">
        <v>2492</v>
      </c>
      <c r="C583" s="23"/>
      <c r="D583" s="23">
        <v>195.26999999999995</v>
      </c>
      <c r="E583" s="23" t="s">
        <v>632</v>
      </c>
      <c r="F583" s="23" t="s">
        <v>2387</v>
      </c>
      <c r="G583" s="23" t="s">
        <v>739</v>
      </c>
      <c r="H583" s="205" t="s">
        <v>1728</v>
      </c>
      <c r="I583" s="23" t="s">
        <v>2492</v>
      </c>
    </row>
    <row r="584" spans="1:9">
      <c r="A584" s="23" t="s">
        <v>1728</v>
      </c>
      <c r="B584" s="23" t="s">
        <v>2492</v>
      </c>
      <c r="C584" s="23"/>
      <c r="D584" s="23">
        <v>130.17999999999998</v>
      </c>
      <c r="E584" s="23" t="s">
        <v>632</v>
      </c>
      <c r="F584" s="23" t="s">
        <v>2388</v>
      </c>
      <c r="G584" s="23" t="s">
        <v>897</v>
      </c>
      <c r="H584" s="205" t="s">
        <v>1728</v>
      </c>
      <c r="I584" s="23" t="s">
        <v>2492</v>
      </c>
    </row>
    <row r="585" spans="1:9">
      <c r="A585" s="23" t="s">
        <v>1728</v>
      </c>
      <c r="B585" s="23" t="s">
        <v>2492</v>
      </c>
      <c r="C585" s="23"/>
      <c r="D585" s="23">
        <v>81.362499999999997</v>
      </c>
      <c r="E585" s="23" t="s">
        <v>632</v>
      </c>
      <c r="F585" s="23" t="s">
        <v>735</v>
      </c>
      <c r="G585" s="23" t="s">
        <v>735</v>
      </c>
      <c r="H585" s="205" t="s">
        <v>1728</v>
      </c>
      <c r="I585" s="23" t="s">
        <v>2492</v>
      </c>
    </row>
    <row r="586" spans="1:9">
      <c r="A586" s="23" t="s">
        <v>1728</v>
      </c>
      <c r="B586" s="23" t="s">
        <v>2492</v>
      </c>
      <c r="C586" s="23"/>
      <c r="D586" s="23">
        <v>11.9</v>
      </c>
      <c r="E586" s="23" t="s">
        <v>632</v>
      </c>
      <c r="F586" s="23" t="s">
        <v>56</v>
      </c>
      <c r="G586" s="23" t="s">
        <v>56</v>
      </c>
      <c r="H586" s="205" t="s">
        <v>1728</v>
      </c>
      <c r="I586" s="23" t="s">
        <v>2492</v>
      </c>
    </row>
    <row r="587" spans="1:9">
      <c r="A587" s="23" t="s">
        <v>1728</v>
      </c>
      <c r="B587" s="23" t="s">
        <v>2492</v>
      </c>
      <c r="C587" s="23"/>
      <c r="D587" s="23">
        <v>234.59999999999997</v>
      </c>
      <c r="E587" s="23" t="s">
        <v>2389</v>
      </c>
      <c r="F587" s="23" t="s">
        <v>2387</v>
      </c>
      <c r="G587" s="23" t="s">
        <v>739</v>
      </c>
      <c r="H587" s="205" t="s">
        <v>1728</v>
      </c>
      <c r="I587" s="23" t="s">
        <v>2492</v>
      </c>
    </row>
    <row r="588" spans="1:9">
      <c r="A588" s="23" t="s">
        <v>1728</v>
      </c>
      <c r="B588" s="23" t="s">
        <v>2492</v>
      </c>
      <c r="C588" s="23"/>
      <c r="D588" s="23">
        <v>156.39999999999998</v>
      </c>
      <c r="E588" s="23" t="s">
        <v>2389</v>
      </c>
      <c r="F588" s="23" t="s">
        <v>2388</v>
      </c>
      <c r="G588" s="23" t="s">
        <v>897</v>
      </c>
      <c r="H588" s="205" t="s">
        <v>1728</v>
      </c>
      <c r="I588" s="23" t="s">
        <v>2492</v>
      </c>
    </row>
    <row r="589" spans="1:9">
      <c r="A589" s="23" t="s">
        <v>1728</v>
      </c>
      <c r="B589" s="23" t="s">
        <v>2492</v>
      </c>
      <c r="C589" s="23"/>
      <c r="D589" s="23">
        <v>97.75</v>
      </c>
      <c r="E589" s="23" t="s">
        <v>2389</v>
      </c>
      <c r="F589" s="23" t="s">
        <v>735</v>
      </c>
      <c r="G589" s="23" t="s">
        <v>735</v>
      </c>
      <c r="H589" s="205" t="s">
        <v>1728</v>
      </c>
      <c r="I589" s="23" t="s">
        <v>2492</v>
      </c>
    </row>
    <row r="590" spans="1:9">
      <c r="A590" s="23" t="s">
        <v>1728</v>
      </c>
      <c r="B590" s="23" t="s">
        <v>2492</v>
      </c>
      <c r="C590" s="23"/>
      <c r="D590" s="23">
        <v>11.9</v>
      </c>
      <c r="E590" s="23" t="s">
        <v>2389</v>
      </c>
      <c r="F590" s="23" t="s">
        <v>56</v>
      </c>
      <c r="G590" s="23" t="s">
        <v>56</v>
      </c>
      <c r="H590" s="205" t="s">
        <v>1728</v>
      </c>
      <c r="I590" s="23" t="s">
        <v>2492</v>
      </c>
    </row>
    <row r="591" spans="1:9">
      <c r="A591" s="23" t="s">
        <v>1728</v>
      </c>
      <c r="B591" s="23" t="s">
        <v>2494</v>
      </c>
      <c r="C591" s="23"/>
      <c r="D591" s="23">
        <v>80.73</v>
      </c>
      <c r="E591" s="23" t="s">
        <v>2385</v>
      </c>
      <c r="F591" s="23" t="s">
        <v>2387</v>
      </c>
      <c r="G591" s="23" t="s">
        <v>739</v>
      </c>
      <c r="H591" s="205" t="s">
        <v>1728</v>
      </c>
      <c r="I591" s="23" t="s">
        <v>2494</v>
      </c>
    </row>
    <row r="592" spans="1:9">
      <c r="A592" s="23" t="s">
        <v>1728</v>
      </c>
      <c r="B592" s="23" t="s">
        <v>2494</v>
      </c>
      <c r="C592" s="23"/>
      <c r="D592" s="23">
        <v>53.82</v>
      </c>
      <c r="E592" s="23" t="s">
        <v>2385</v>
      </c>
      <c r="F592" s="23" t="s">
        <v>2388</v>
      </c>
      <c r="G592" s="23" t="s">
        <v>897</v>
      </c>
      <c r="H592" s="205" t="s">
        <v>1728</v>
      </c>
      <c r="I592" s="23" t="s">
        <v>2494</v>
      </c>
    </row>
    <row r="593" spans="1:9">
      <c r="A593" s="23" t="s">
        <v>1728</v>
      </c>
      <c r="B593" s="23" t="s">
        <v>2494</v>
      </c>
      <c r="C593" s="23"/>
      <c r="D593" s="23">
        <v>33.637500000000003</v>
      </c>
      <c r="E593" s="23" t="s">
        <v>2385</v>
      </c>
      <c r="F593" s="23" t="s">
        <v>735</v>
      </c>
      <c r="G593" s="23" t="s">
        <v>735</v>
      </c>
      <c r="H593" s="205" t="s">
        <v>1728</v>
      </c>
      <c r="I593" s="23" t="s">
        <v>2494</v>
      </c>
    </row>
    <row r="594" spans="1:9">
      <c r="A594" s="23" t="s">
        <v>1728</v>
      </c>
      <c r="B594" s="23" t="s">
        <v>2494</v>
      </c>
      <c r="C594" s="23"/>
      <c r="D594" s="23">
        <v>5.1749999999999998</v>
      </c>
      <c r="E594" s="23" t="s">
        <v>2385</v>
      </c>
      <c r="F594" s="23" t="s">
        <v>56</v>
      </c>
      <c r="G594" s="23" t="s">
        <v>56</v>
      </c>
      <c r="H594" s="205" t="s">
        <v>1728</v>
      </c>
      <c r="I594" s="23" t="s">
        <v>2494</v>
      </c>
    </row>
    <row r="595" spans="1:9">
      <c r="A595" s="23" t="s">
        <v>1728</v>
      </c>
      <c r="B595" s="23" t="s">
        <v>2494</v>
      </c>
      <c r="C595" s="23"/>
      <c r="D595" s="23">
        <v>80.73</v>
      </c>
      <c r="E595" s="23" t="s">
        <v>632</v>
      </c>
      <c r="F595" s="23" t="s">
        <v>2387</v>
      </c>
      <c r="G595" s="23" t="s">
        <v>739</v>
      </c>
      <c r="H595" s="205" t="s">
        <v>1728</v>
      </c>
      <c r="I595" s="23" t="s">
        <v>2494</v>
      </c>
    </row>
    <row r="596" spans="1:9">
      <c r="A596" s="23" t="s">
        <v>1728</v>
      </c>
      <c r="B596" s="23" t="s">
        <v>2494</v>
      </c>
      <c r="C596" s="23"/>
      <c r="D596" s="23">
        <v>53.82</v>
      </c>
      <c r="E596" s="23" t="s">
        <v>632</v>
      </c>
      <c r="F596" s="23" t="s">
        <v>2388</v>
      </c>
      <c r="G596" s="23" t="s">
        <v>897</v>
      </c>
      <c r="H596" s="205" t="s">
        <v>1728</v>
      </c>
      <c r="I596" s="23" t="s">
        <v>2494</v>
      </c>
    </row>
    <row r="597" spans="1:9">
      <c r="A597" s="23" t="s">
        <v>1728</v>
      </c>
      <c r="B597" s="23" t="s">
        <v>2494</v>
      </c>
      <c r="C597" s="23"/>
      <c r="D597" s="23">
        <v>33.637500000000003</v>
      </c>
      <c r="E597" s="23" t="s">
        <v>632</v>
      </c>
      <c r="F597" s="23" t="s">
        <v>735</v>
      </c>
      <c r="G597" s="23" t="s">
        <v>735</v>
      </c>
      <c r="H597" s="205" t="s">
        <v>1728</v>
      </c>
      <c r="I597" s="23" t="s">
        <v>2494</v>
      </c>
    </row>
    <row r="598" spans="1:9">
      <c r="A598" s="23" t="s">
        <v>1728</v>
      </c>
      <c r="B598" s="23" t="s">
        <v>2494</v>
      </c>
      <c r="C598" s="23"/>
      <c r="D598" s="23">
        <v>5.2</v>
      </c>
      <c r="E598" s="23" t="s">
        <v>632</v>
      </c>
      <c r="F598" s="23" t="s">
        <v>56</v>
      </c>
      <c r="G598" s="23" t="s">
        <v>56</v>
      </c>
      <c r="H598" s="205" t="s">
        <v>1728</v>
      </c>
      <c r="I598" s="23" t="s">
        <v>2494</v>
      </c>
    </row>
    <row r="599" spans="1:9">
      <c r="A599" s="23" t="s">
        <v>1728</v>
      </c>
      <c r="B599" s="23" t="s">
        <v>2494</v>
      </c>
      <c r="C599" s="23"/>
      <c r="D599" s="23">
        <v>116.60999999999999</v>
      </c>
      <c r="E599" s="23" t="s">
        <v>2389</v>
      </c>
      <c r="F599" s="23" t="s">
        <v>2387</v>
      </c>
      <c r="G599" s="23" t="s">
        <v>739</v>
      </c>
      <c r="H599" s="205" t="s">
        <v>1728</v>
      </c>
      <c r="I599" s="23" t="s">
        <v>2494</v>
      </c>
    </row>
    <row r="600" spans="1:9">
      <c r="A600" s="23" t="s">
        <v>1728</v>
      </c>
      <c r="B600" s="23" t="s">
        <v>2494</v>
      </c>
      <c r="C600" s="23"/>
      <c r="D600" s="23">
        <v>77.739999999999995</v>
      </c>
      <c r="E600" s="23" t="s">
        <v>2389</v>
      </c>
      <c r="F600" s="23" t="s">
        <v>2388</v>
      </c>
      <c r="G600" s="23" t="s">
        <v>897</v>
      </c>
      <c r="H600" s="205" t="s">
        <v>1728</v>
      </c>
      <c r="I600" s="23" t="s">
        <v>2494</v>
      </c>
    </row>
    <row r="601" spans="1:9">
      <c r="A601" s="23" t="s">
        <v>1728</v>
      </c>
      <c r="B601" s="23" t="s">
        <v>2494</v>
      </c>
      <c r="C601" s="23"/>
      <c r="D601" s="23">
        <v>48.587499999999999</v>
      </c>
      <c r="E601" s="23" t="s">
        <v>2389</v>
      </c>
      <c r="F601" s="23" t="s">
        <v>735</v>
      </c>
      <c r="G601" s="23" t="s">
        <v>735</v>
      </c>
      <c r="H601" s="205" t="s">
        <v>1728</v>
      </c>
      <c r="I601" s="23" t="s">
        <v>2494</v>
      </c>
    </row>
    <row r="602" spans="1:9">
      <c r="A602" s="23" t="s">
        <v>1728</v>
      </c>
      <c r="B602" s="23" t="s">
        <v>2494</v>
      </c>
      <c r="C602" s="23"/>
      <c r="D602" s="23">
        <v>5.2</v>
      </c>
      <c r="E602" s="23" t="s">
        <v>2389</v>
      </c>
      <c r="F602" s="23" t="s">
        <v>56</v>
      </c>
      <c r="G602" s="23" t="s">
        <v>56</v>
      </c>
      <c r="H602" s="205" t="s">
        <v>1728</v>
      </c>
      <c r="I602" s="23" t="s">
        <v>2494</v>
      </c>
    </row>
    <row r="603" spans="1:9">
      <c r="A603" s="23" t="s">
        <v>1728</v>
      </c>
      <c r="B603" s="23" t="s">
        <v>2496</v>
      </c>
      <c r="C603" s="23"/>
      <c r="D603" s="23">
        <v>190.16399999999996</v>
      </c>
      <c r="E603" s="23" t="s">
        <v>2385</v>
      </c>
      <c r="F603" s="23" t="s">
        <v>2387</v>
      </c>
      <c r="G603" s="23" t="s">
        <v>739</v>
      </c>
      <c r="H603" s="205" t="s">
        <v>1728</v>
      </c>
      <c r="I603" s="23" t="s">
        <v>2496</v>
      </c>
    </row>
    <row r="604" spans="1:9">
      <c r="A604" s="23" t="s">
        <v>1728</v>
      </c>
      <c r="B604" s="23" t="s">
        <v>2496</v>
      </c>
      <c r="C604" s="23"/>
      <c r="D604" s="23">
        <v>126.77599999999998</v>
      </c>
      <c r="E604" s="23" t="s">
        <v>2385</v>
      </c>
      <c r="F604" s="23" t="s">
        <v>2388</v>
      </c>
      <c r="G604" s="23" t="s">
        <v>897</v>
      </c>
      <c r="H604" s="205" t="s">
        <v>1728</v>
      </c>
      <c r="I604" s="23" t="s">
        <v>2496</v>
      </c>
    </row>
    <row r="605" spans="1:9">
      <c r="A605" s="23" t="s">
        <v>1728</v>
      </c>
      <c r="B605" s="23" t="s">
        <v>2496</v>
      </c>
      <c r="C605" s="23"/>
      <c r="D605" s="23">
        <v>79.234999999999999</v>
      </c>
      <c r="E605" s="23" t="s">
        <v>2385</v>
      </c>
      <c r="F605" s="23" t="s">
        <v>735</v>
      </c>
      <c r="G605" s="23" t="s">
        <v>735</v>
      </c>
      <c r="H605" s="205" t="s">
        <v>1728</v>
      </c>
      <c r="I605" s="23" t="s">
        <v>2496</v>
      </c>
    </row>
    <row r="606" spans="1:9">
      <c r="A606" s="23" t="s">
        <v>1728</v>
      </c>
      <c r="B606" s="23" t="s">
        <v>2496</v>
      </c>
      <c r="C606" s="23"/>
      <c r="D606" s="23">
        <v>10.950000000000001</v>
      </c>
      <c r="E606" s="23" t="s">
        <v>2385</v>
      </c>
      <c r="F606" s="23" t="s">
        <v>56</v>
      </c>
      <c r="G606" s="23" t="s">
        <v>56</v>
      </c>
      <c r="H606" s="205" t="s">
        <v>1728</v>
      </c>
      <c r="I606" s="23" t="s">
        <v>2496</v>
      </c>
    </row>
    <row r="607" spans="1:9">
      <c r="A607" s="23" t="s">
        <v>1728</v>
      </c>
      <c r="B607" s="23" t="s">
        <v>2496</v>
      </c>
      <c r="C607" s="23"/>
      <c r="D607" s="23">
        <v>193.476</v>
      </c>
      <c r="E607" s="23" t="s">
        <v>632</v>
      </c>
      <c r="F607" s="23" t="s">
        <v>2387</v>
      </c>
      <c r="G607" s="23" t="s">
        <v>739</v>
      </c>
      <c r="H607" s="205" t="s">
        <v>1728</v>
      </c>
      <c r="I607" s="23" t="s">
        <v>2496</v>
      </c>
    </row>
    <row r="608" spans="1:9">
      <c r="A608" s="23" t="s">
        <v>1728</v>
      </c>
      <c r="B608" s="23" t="s">
        <v>2496</v>
      </c>
      <c r="C608" s="23"/>
      <c r="D608" s="23">
        <v>128.98400000000001</v>
      </c>
      <c r="E608" s="23" t="s">
        <v>632</v>
      </c>
      <c r="F608" s="23" t="s">
        <v>2388</v>
      </c>
      <c r="G608" s="23" t="s">
        <v>897</v>
      </c>
      <c r="H608" s="205" t="s">
        <v>1728</v>
      </c>
      <c r="I608" s="23" t="s">
        <v>2496</v>
      </c>
    </row>
    <row r="609" spans="1:9">
      <c r="A609" s="23" t="s">
        <v>1728</v>
      </c>
      <c r="B609" s="23" t="s">
        <v>2496</v>
      </c>
      <c r="C609" s="23"/>
      <c r="D609" s="23">
        <v>80.615000000000009</v>
      </c>
      <c r="E609" s="23" t="s">
        <v>632</v>
      </c>
      <c r="F609" s="23" t="s">
        <v>735</v>
      </c>
      <c r="G609" s="23" t="s">
        <v>735</v>
      </c>
      <c r="H609" s="205" t="s">
        <v>1728</v>
      </c>
      <c r="I609" s="23" t="s">
        <v>2496</v>
      </c>
    </row>
    <row r="610" spans="1:9">
      <c r="A610" s="23" t="s">
        <v>1728</v>
      </c>
      <c r="B610" s="23" t="s">
        <v>2496</v>
      </c>
      <c r="C610" s="23"/>
      <c r="D610" s="23">
        <v>10.950000000000001</v>
      </c>
      <c r="E610" s="23" t="s">
        <v>632</v>
      </c>
      <c r="F610" s="23" t="s">
        <v>56</v>
      </c>
      <c r="G610" s="23" t="s">
        <v>56</v>
      </c>
      <c r="H610" s="205" t="s">
        <v>1728</v>
      </c>
      <c r="I610" s="23" t="s">
        <v>2496</v>
      </c>
    </row>
    <row r="611" spans="1:9">
      <c r="A611" s="23" t="s">
        <v>1728</v>
      </c>
      <c r="B611" s="23" t="s">
        <v>2496</v>
      </c>
      <c r="C611" s="23"/>
      <c r="D611" s="23">
        <v>220.79999999999995</v>
      </c>
      <c r="E611" s="23" t="s">
        <v>2389</v>
      </c>
      <c r="F611" s="23" t="s">
        <v>2387</v>
      </c>
      <c r="G611" s="23" t="s">
        <v>739</v>
      </c>
      <c r="H611" s="205" t="s">
        <v>1728</v>
      </c>
      <c r="I611" s="23" t="s">
        <v>2496</v>
      </c>
    </row>
    <row r="612" spans="1:9">
      <c r="A612" s="23" t="s">
        <v>1728</v>
      </c>
      <c r="B612" s="23" t="s">
        <v>2496</v>
      </c>
      <c r="C612" s="23"/>
      <c r="D612" s="23">
        <v>147.19999999999999</v>
      </c>
      <c r="E612" s="23" t="s">
        <v>2389</v>
      </c>
      <c r="F612" s="23" t="s">
        <v>2388</v>
      </c>
      <c r="G612" s="23" t="s">
        <v>897</v>
      </c>
      <c r="H612" s="205" t="s">
        <v>1728</v>
      </c>
      <c r="I612" s="23" t="s">
        <v>2496</v>
      </c>
    </row>
    <row r="613" spans="1:9">
      <c r="A613" s="23" t="s">
        <v>1728</v>
      </c>
      <c r="B613" s="23" t="s">
        <v>2496</v>
      </c>
      <c r="C613" s="23"/>
      <c r="D613" s="23">
        <v>92</v>
      </c>
      <c r="E613" s="23" t="s">
        <v>2389</v>
      </c>
      <c r="F613" s="23" t="s">
        <v>735</v>
      </c>
      <c r="G613" s="23" t="s">
        <v>735</v>
      </c>
      <c r="H613" s="205" t="s">
        <v>1728</v>
      </c>
      <c r="I613" s="23" t="s">
        <v>2496</v>
      </c>
    </row>
    <row r="614" spans="1:9">
      <c r="A614" s="23" t="s">
        <v>1728</v>
      </c>
      <c r="B614" s="23" t="s">
        <v>2496</v>
      </c>
      <c r="C614" s="23"/>
      <c r="D614" s="23">
        <v>10.950000000000001</v>
      </c>
      <c r="E614" s="23" t="s">
        <v>2389</v>
      </c>
      <c r="F614" s="23" t="s">
        <v>56</v>
      </c>
      <c r="G614" s="23" t="s">
        <v>56</v>
      </c>
      <c r="H614" s="205" t="s">
        <v>1728</v>
      </c>
      <c r="I614" s="23" t="s">
        <v>2496</v>
      </c>
    </row>
    <row r="615" spans="1:9">
      <c r="A615" s="23" t="s">
        <v>1728</v>
      </c>
      <c r="B615" s="23" t="s">
        <v>2498</v>
      </c>
      <c r="C615" s="23"/>
      <c r="D615" s="23">
        <v>124.47599999999998</v>
      </c>
      <c r="E615" s="23" t="s">
        <v>2385</v>
      </c>
      <c r="F615" s="23" t="s">
        <v>2387</v>
      </c>
      <c r="G615" s="23" t="s">
        <v>739</v>
      </c>
      <c r="H615" s="205" t="s">
        <v>1728</v>
      </c>
      <c r="I615" s="23" t="s">
        <v>2498</v>
      </c>
    </row>
    <row r="616" spans="1:9">
      <c r="A616" s="23" t="s">
        <v>1728</v>
      </c>
      <c r="B616" s="23" t="s">
        <v>2498</v>
      </c>
      <c r="C616" s="23"/>
      <c r="D616" s="23">
        <v>82.983999999999995</v>
      </c>
      <c r="E616" s="23" t="s">
        <v>2385</v>
      </c>
      <c r="F616" s="23" t="s">
        <v>2388</v>
      </c>
      <c r="G616" s="23" t="s">
        <v>897</v>
      </c>
      <c r="H616" s="205" t="s">
        <v>1728</v>
      </c>
      <c r="I616" s="23" t="s">
        <v>2498</v>
      </c>
    </row>
    <row r="617" spans="1:9">
      <c r="A617" s="23" t="s">
        <v>1728</v>
      </c>
      <c r="B617" s="23" t="s">
        <v>2498</v>
      </c>
      <c r="C617" s="23"/>
      <c r="D617" s="23">
        <v>51.865000000000002</v>
      </c>
      <c r="E617" s="23" t="s">
        <v>2385</v>
      </c>
      <c r="F617" s="23" t="s">
        <v>735</v>
      </c>
      <c r="G617" s="23" t="s">
        <v>735</v>
      </c>
      <c r="H617" s="205" t="s">
        <v>1728</v>
      </c>
      <c r="I617" s="23" t="s">
        <v>2498</v>
      </c>
    </row>
    <row r="618" spans="1:9">
      <c r="A618" s="23" t="s">
        <v>1728</v>
      </c>
      <c r="B618" s="23" t="s">
        <v>2498</v>
      </c>
      <c r="C618" s="23"/>
      <c r="D618" s="23">
        <v>124.47599999999998</v>
      </c>
      <c r="E618" s="23" t="s">
        <v>632</v>
      </c>
      <c r="F618" s="23" t="s">
        <v>2387</v>
      </c>
      <c r="G618" s="23" t="s">
        <v>739</v>
      </c>
      <c r="H618" s="205" t="s">
        <v>1728</v>
      </c>
      <c r="I618" s="23" t="s">
        <v>2498</v>
      </c>
    </row>
    <row r="619" spans="1:9">
      <c r="A619" s="23" t="s">
        <v>1728</v>
      </c>
      <c r="B619" s="23" t="s">
        <v>2498</v>
      </c>
      <c r="C619" s="23"/>
      <c r="D619" s="23">
        <v>82.983999999999995</v>
      </c>
      <c r="E619" s="23" t="s">
        <v>632</v>
      </c>
      <c r="F619" s="23" t="s">
        <v>2388</v>
      </c>
      <c r="G619" s="23" t="s">
        <v>897</v>
      </c>
      <c r="H619" s="205" t="s">
        <v>1728</v>
      </c>
      <c r="I619" s="23" t="s">
        <v>2498</v>
      </c>
    </row>
    <row r="620" spans="1:9">
      <c r="A620" s="23" t="s">
        <v>1728</v>
      </c>
      <c r="B620" s="23" t="s">
        <v>2498</v>
      </c>
      <c r="C620" s="23"/>
      <c r="D620" s="23">
        <v>51.865000000000002</v>
      </c>
      <c r="E620" s="23" t="s">
        <v>632</v>
      </c>
      <c r="F620" s="23" t="s">
        <v>735</v>
      </c>
      <c r="G620" s="23" t="s">
        <v>735</v>
      </c>
      <c r="H620" s="205" t="s">
        <v>1728</v>
      </c>
      <c r="I620" s="23" t="s">
        <v>2498</v>
      </c>
    </row>
    <row r="621" spans="1:9">
      <c r="A621" s="23" t="s">
        <v>1728</v>
      </c>
      <c r="B621" s="23" t="s">
        <v>2498</v>
      </c>
      <c r="C621" s="23"/>
      <c r="D621" s="23">
        <v>144.9</v>
      </c>
      <c r="E621" s="23" t="s">
        <v>2389</v>
      </c>
      <c r="F621" s="23" t="s">
        <v>2387</v>
      </c>
      <c r="G621" s="23" t="s">
        <v>739</v>
      </c>
      <c r="H621" s="205" t="s">
        <v>1728</v>
      </c>
      <c r="I621" s="23" t="s">
        <v>2498</v>
      </c>
    </row>
    <row r="622" spans="1:9">
      <c r="A622" s="23" t="s">
        <v>1728</v>
      </c>
      <c r="B622" s="23" t="s">
        <v>2498</v>
      </c>
      <c r="C622" s="23"/>
      <c r="D622" s="23">
        <v>96.600000000000009</v>
      </c>
      <c r="E622" s="23" t="s">
        <v>2389</v>
      </c>
      <c r="F622" s="23" t="s">
        <v>2388</v>
      </c>
      <c r="G622" s="23" t="s">
        <v>897</v>
      </c>
      <c r="H622" s="205" t="s">
        <v>1728</v>
      </c>
      <c r="I622" s="23" t="s">
        <v>2498</v>
      </c>
    </row>
    <row r="623" spans="1:9">
      <c r="A623" s="23" t="s">
        <v>1728</v>
      </c>
      <c r="B623" s="23" t="s">
        <v>2498</v>
      </c>
      <c r="C623" s="23"/>
      <c r="D623" s="23">
        <v>60.375</v>
      </c>
      <c r="E623" s="23" t="s">
        <v>2389</v>
      </c>
      <c r="F623" s="23" t="s">
        <v>735</v>
      </c>
      <c r="G623" s="23" t="s">
        <v>735</v>
      </c>
      <c r="H623" s="205" t="s">
        <v>1728</v>
      </c>
      <c r="I623" s="23" t="s">
        <v>2498</v>
      </c>
    </row>
    <row r="624" spans="1:9">
      <c r="A624" s="23" t="s">
        <v>1728</v>
      </c>
      <c r="B624" s="23" t="s">
        <v>2500</v>
      </c>
      <c r="C624" s="23"/>
      <c r="D624" s="23">
        <v>148.76399999999998</v>
      </c>
      <c r="E624" s="23" t="s">
        <v>2385</v>
      </c>
      <c r="F624" s="23" t="s">
        <v>2387</v>
      </c>
      <c r="G624" s="23" t="s">
        <v>739</v>
      </c>
      <c r="H624" s="205" t="s">
        <v>1728</v>
      </c>
      <c r="I624" s="23" t="s">
        <v>2500</v>
      </c>
    </row>
    <row r="625" spans="1:9">
      <c r="A625" s="23" t="s">
        <v>1728</v>
      </c>
      <c r="B625" s="23" t="s">
        <v>2500</v>
      </c>
      <c r="C625" s="23"/>
      <c r="D625" s="23">
        <v>99.175999999999988</v>
      </c>
      <c r="E625" s="23" t="s">
        <v>2385</v>
      </c>
      <c r="F625" s="23" t="s">
        <v>2388</v>
      </c>
      <c r="G625" s="23" t="s">
        <v>897</v>
      </c>
      <c r="H625" s="205" t="s">
        <v>1728</v>
      </c>
      <c r="I625" s="23" t="s">
        <v>2500</v>
      </c>
    </row>
    <row r="626" spans="1:9">
      <c r="A626" s="23" t="s">
        <v>1728</v>
      </c>
      <c r="B626" s="23" t="s">
        <v>2500</v>
      </c>
      <c r="C626" s="23"/>
      <c r="D626" s="23">
        <v>61.984999999999992</v>
      </c>
      <c r="E626" s="23" t="s">
        <v>2385</v>
      </c>
      <c r="F626" s="23" t="s">
        <v>735</v>
      </c>
      <c r="G626" s="23" t="s">
        <v>735</v>
      </c>
      <c r="H626" s="205" t="s">
        <v>1728</v>
      </c>
      <c r="I626" s="23" t="s">
        <v>2500</v>
      </c>
    </row>
    <row r="627" spans="1:9">
      <c r="A627" s="23" t="s">
        <v>1728</v>
      </c>
      <c r="B627" s="23" t="s">
        <v>2500</v>
      </c>
      <c r="C627" s="23"/>
      <c r="D627" s="23">
        <v>6.3249999999999993</v>
      </c>
      <c r="E627" s="23" t="s">
        <v>2385</v>
      </c>
      <c r="F627" s="23" t="s">
        <v>56</v>
      </c>
      <c r="G627" s="23" t="s">
        <v>56</v>
      </c>
      <c r="H627" s="205" t="s">
        <v>1728</v>
      </c>
      <c r="I627" s="23" t="s">
        <v>2500</v>
      </c>
    </row>
    <row r="628" spans="1:9">
      <c r="A628" s="23" t="s">
        <v>1728</v>
      </c>
      <c r="B628" s="23" t="s">
        <v>2500</v>
      </c>
      <c r="C628" s="23"/>
      <c r="D628" s="23">
        <v>148.76399999999998</v>
      </c>
      <c r="E628" s="23" t="s">
        <v>632</v>
      </c>
      <c r="F628" s="23" t="s">
        <v>2387</v>
      </c>
      <c r="G628" s="23" t="s">
        <v>739</v>
      </c>
      <c r="H628" s="205" t="s">
        <v>1728</v>
      </c>
      <c r="I628" s="23" t="s">
        <v>2500</v>
      </c>
    </row>
    <row r="629" spans="1:9">
      <c r="A629" s="23" t="s">
        <v>1728</v>
      </c>
      <c r="B629" s="23" t="s">
        <v>2500</v>
      </c>
      <c r="C629" s="23"/>
      <c r="D629" s="23">
        <v>99.175999999999988</v>
      </c>
      <c r="E629" s="23" t="s">
        <v>632</v>
      </c>
      <c r="F629" s="23" t="s">
        <v>2388</v>
      </c>
      <c r="G629" s="23" t="s">
        <v>897</v>
      </c>
      <c r="H629" s="205" t="s">
        <v>1728</v>
      </c>
      <c r="I629" s="23" t="s">
        <v>2500</v>
      </c>
    </row>
    <row r="630" spans="1:9">
      <c r="A630" s="23" t="s">
        <v>1728</v>
      </c>
      <c r="B630" s="23" t="s">
        <v>2500</v>
      </c>
      <c r="C630" s="23"/>
      <c r="D630" s="23">
        <v>61.984999999999992</v>
      </c>
      <c r="E630" s="23" t="s">
        <v>632</v>
      </c>
      <c r="F630" s="23" t="s">
        <v>735</v>
      </c>
      <c r="G630" s="23" t="s">
        <v>735</v>
      </c>
      <c r="H630" s="205" t="s">
        <v>1728</v>
      </c>
      <c r="I630" s="23" t="s">
        <v>2500</v>
      </c>
    </row>
    <row r="631" spans="1:9">
      <c r="A631" s="23" t="s">
        <v>1728</v>
      </c>
      <c r="B631" s="23" t="s">
        <v>2500</v>
      </c>
      <c r="C631" s="23"/>
      <c r="D631" s="23">
        <v>6.3500000000000005</v>
      </c>
      <c r="E631" s="23" t="s">
        <v>632</v>
      </c>
      <c r="F631" s="23" t="s">
        <v>56</v>
      </c>
      <c r="G631" s="23" t="s">
        <v>56</v>
      </c>
      <c r="H631" s="205" t="s">
        <v>1728</v>
      </c>
      <c r="I631" s="23" t="s">
        <v>2500</v>
      </c>
    </row>
    <row r="632" spans="1:9">
      <c r="A632" s="23" t="s">
        <v>1728</v>
      </c>
      <c r="B632" s="23" t="s">
        <v>2500</v>
      </c>
      <c r="C632" s="23"/>
      <c r="D632" s="23">
        <v>158.83799999999997</v>
      </c>
      <c r="E632" s="23" t="s">
        <v>2389</v>
      </c>
      <c r="F632" s="23" t="s">
        <v>2387</v>
      </c>
      <c r="G632" s="23" t="s">
        <v>739</v>
      </c>
      <c r="H632" s="205" t="s">
        <v>1728</v>
      </c>
      <c r="I632" s="23" t="s">
        <v>2500</v>
      </c>
    </row>
    <row r="633" spans="1:9">
      <c r="A633" s="23" t="s">
        <v>1728</v>
      </c>
      <c r="B633" s="23" t="s">
        <v>2500</v>
      </c>
      <c r="C633" s="23"/>
      <c r="D633" s="23">
        <v>105.892</v>
      </c>
      <c r="E633" s="23" t="s">
        <v>2389</v>
      </c>
      <c r="F633" s="23" t="s">
        <v>2388</v>
      </c>
      <c r="G633" s="23" t="s">
        <v>897</v>
      </c>
      <c r="H633" s="205" t="s">
        <v>1728</v>
      </c>
      <c r="I633" s="23" t="s">
        <v>2500</v>
      </c>
    </row>
    <row r="634" spans="1:9">
      <c r="A634" s="23" t="s">
        <v>1728</v>
      </c>
      <c r="B634" s="23" t="s">
        <v>2500</v>
      </c>
      <c r="C634" s="23"/>
      <c r="D634" s="23">
        <v>66.18249999999999</v>
      </c>
      <c r="E634" s="23" t="s">
        <v>2389</v>
      </c>
      <c r="F634" s="23" t="s">
        <v>735</v>
      </c>
      <c r="G634" s="23" t="s">
        <v>735</v>
      </c>
      <c r="H634" s="205" t="s">
        <v>1728</v>
      </c>
      <c r="I634" s="23" t="s">
        <v>2500</v>
      </c>
    </row>
    <row r="635" spans="1:9">
      <c r="A635" s="23" t="s">
        <v>1728</v>
      </c>
      <c r="B635" s="23" t="s">
        <v>2500</v>
      </c>
      <c r="C635" s="23"/>
      <c r="D635" s="23">
        <v>6.3500000000000005</v>
      </c>
      <c r="E635" s="23" t="s">
        <v>2389</v>
      </c>
      <c r="F635" s="23" t="s">
        <v>56</v>
      </c>
      <c r="G635" s="23" t="s">
        <v>56</v>
      </c>
      <c r="H635" s="205" t="s">
        <v>1728</v>
      </c>
      <c r="I635" s="23" t="s">
        <v>2500</v>
      </c>
    </row>
    <row r="636" spans="1:9">
      <c r="A636" s="23" t="s">
        <v>1728</v>
      </c>
      <c r="B636" s="23" t="s">
        <v>2490</v>
      </c>
      <c r="C636" s="23"/>
      <c r="D636" s="23">
        <v>334.2</v>
      </c>
      <c r="E636" s="23" t="s">
        <v>2385</v>
      </c>
      <c r="F636" s="23" t="s">
        <v>2387</v>
      </c>
      <c r="G636" s="23" t="s">
        <v>739</v>
      </c>
      <c r="H636" s="205" t="s">
        <v>1728</v>
      </c>
      <c r="I636" s="23" t="s">
        <v>2490</v>
      </c>
    </row>
    <row r="637" spans="1:9">
      <c r="A637" s="23" t="s">
        <v>1728</v>
      </c>
      <c r="B637" s="23" t="s">
        <v>2490</v>
      </c>
      <c r="C637" s="23"/>
      <c r="D637" s="23">
        <v>222.8</v>
      </c>
      <c r="E637" s="23" t="s">
        <v>2385</v>
      </c>
      <c r="F637" s="23" t="s">
        <v>2388</v>
      </c>
      <c r="G637" s="23" t="s">
        <v>897</v>
      </c>
      <c r="H637" s="205" t="s">
        <v>1728</v>
      </c>
      <c r="I637" s="23" t="s">
        <v>2490</v>
      </c>
    </row>
    <row r="638" spans="1:9">
      <c r="A638" s="23" t="s">
        <v>1728</v>
      </c>
      <c r="B638" s="23" t="s">
        <v>2490</v>
      </c>
      <c r="C638" s="23"/>
      <c r="D638" s="23">
        <v>139.25</v>
      </c>
      <c r="E638" s="23" t="s">
        <v>2385</v>
      </c>
      <c r="F638" s="23" t="s">
        <v>735</v>
      </c>
      <c r="G638" s="23" t="s">
        <v>735</v>
      </c>
      <c r="H638" s="205" t="s">
        <v>1728</v>
      </c>
      <c r="I638" s="23" t="s">
        <v>2490</v>
      </c>
    </row>
    <row r="639" spans="1:9">
      <c r="A639" s="23" t="s">
        <v>1728</v>
      </c>
      <c r="B639" s="23" t="s">
        <v>2490</v>
      </c>
      <c r="C639" s="23"/>
      <c r="D639" s="23">
        <v>334.2</v>
      </c>
      <c r="E639" s="23" t="s">
        <v>632</v>
      </c>
      <c r="F639" s="23" t="s">
        <v>2387</v>
      </c>
      <c r="G639" s="23" t="s">
        <v>739</v>
      </c>
      <c r="H639" s="205" t="s">
        <v>1728</v>
      </c>
      <c r="I639" s="23" t="s">
        <v>2490</v>
      </c>
    </row>
    <row r="640" spans="1:9">
      <c r="A640" s="23" t="s">
        <v>1728</v>
      </c>
      <c r="B640" s="23" t="s">
        <v>2490</v>
      </c>
      <c r="C640" s="23"/>
      <c r="D640" s="23">
        <v>222.8</v>
      </c>
      <c r="E640" s="23" t="s">
        <v>632</v>
      </c>
      <c r="F640" s="23" t="s">
        <v>2388</v>
      </c>
      <c r="G640" s="23" t="s">
        <v>897</v>
      </c>
      <c r="H640" s="205" t="s">
        <v>1728</v>
      </c>
      <c r="I640" s="23" t="s">
        <v>2490</v>
      </c>
    </row>
    <row r="641" spans="1:9">
      <c r="A641" s="23" t="s">
        <v>1728</v>
      </c>
      <c r="B641" s="23" t="s">
        <v>2490</v>
      </c>
      <c r="C641" s="23"/>
      <c r="D641" s="23">
        <v>139.25</v>
      </c>
      <c r="E641" s="23" t="s">
        <v>632</v>
      </c>
      <c r="F641" s="23" t="s">
        <v>735</v>
      </c>
      <c r="G641" s="23" t="s">
        <v>735</v>
      </c>
      <c r="H641" s="205" t="s">
        <v>1728</v>
      </c>
      <c r="I641" s="23" t="s">
        <v>2490</v>
      </c>
    </row>
    <row r="642" spans="1:9">
      <c r="A642" s="23" t="s">
        <v>1728</v>
      </c>
      <c r="B642" s="23" t="s">
        <v>2490</v>
      </c>
      <c r="C642" s="23"/>
      <c r="D642" s="23">
        <v>441.73799999999994</v>
      </c>
      <c r="E642" s="23" t="s">
        <v>2389</v>
      </c>
      <c r="F642" s="23" t="s">
        <v>2387</v>
      </c>
      <c r="G642" s="23" t="s">
        <v>739</v>
      </c>
      <c r="H642" s="205" t="s">
        <v>1728</v>
      </c>
      <c r="I642" s="23" t="s">
        <v>2490</v>
      </c>
    </row>
    <row r="643" spans="1:9">
      <c r="A643" s="23" t="s">
        <v>1728</v>
      </c>
      <c r="B643" s="23" t="s">
        <v>2490</v>
      </c>
      <c r="C643" s="23"/>
      <c r="D643" s="23">
        <v>294.49199999999996</v>
      </c>
      <c r="E643" s="23" t="s">
        <v>2389</v>
      </c>
      <c r="F643" s="23" t="s">
        <v>2388</v>
      </c>
      <c r="G643" s="23" t="s">
        <v>897</v>
      </c>
      <c r="H643" s="205" t="s">
        <v>1728</v>
      </c>
      <c r="I643" s="23" t="s">
        <v>2490</v>
      </c>
    </row>
    <row r="644" spans="1:9">
      <c r="A644" s="23" t="s">
        <v>1728</v>
      </c>
      <c r="B644" s="23" t="s">
        <v>2490</v>
      </c>
      <c r="C644" s="23"/>
      <c r="D644" s="23">
        <v>184.0575</v>
      </c>
      <c r="E644" s="23" t="s">
        <v>2389</v>
      </c>
      <c r="F644" s="23" t="s">
        <v>735</v>
      </c>
      <c r="G644" s="23" t="s">
        <v>735</v>
      </c>
      <c r="H644" s="205" t="s">
        <v>1728</v>
      </c>
      <c r="I644" s="23" t="s">
        <v>2490</v>
      </c>
    </row>
    <row r="645" spans="1:9">
      <c r="A645" s="23" t="s">
        <v>1728</v>
      </c>
      <c r="B645" s="23" t="s">
        <v>2503</v>
      </c>
      <c r="C645" s="23"/>
      <c r="D645" s="23">
        <v>74.658000000000001</v>
      </c>
      <c r="E645" s="23" t="s">
        <v>2385</v>
      </c>
      <c r="F645" s="23" t="s">
        <v>2387</v>
      </c>
      <c r="G645" s="23" t="s">
        <v>739</v>
      </c>
      <c r="H645" s="205" t="s">
        <v>1728</v>
      </c>
      <c r="I645" s="23" t="s">
        <v>2503</v>
      </c>
    </row>
    <row r="646" spans="1:9">
      <c r="A646" s="23" t="s">
        <v>1728</v>
      </c>
      <c r="B646" s="23" t="s">
        <v>2503</v>
      </c>
      <c r="C646" s="23"/>
      <c r="D646" s="23">
        <v>49.771999999999998</v>
      </c>
      <c r="E646" s="23" t="s">
        <v>2385</v>
      </c>
      <c r="F646" s="23" t="s">
        <v>2388</v>
      </c>
      <c r="G646" s="23" t="s">
        <v>897</v>
      </c>
      <c r="H646" s="205" t="s">
        <v>1728</v>
      </c>
      <c r="I646" s="23" t="s">
        <v>2503</v>
      </c>
    </row>
    <row r="647" spans="1:9">
      <c r="A647" s="23" t="s">
        <v>1728</v>
      </c>
      <c r="B647" s="23" t="s">
        <v>2503</v>
      </c>
      <c r="C647" s="23"/>
      <c r="D647" s="23">
        <v>31.107500000000002</v>
      </c>
      <c r="E647" s="23" t="s">
        <v>2385</v>
      </c>
      <c r="F647" s="23" t="s">
        <v>735</v>
      </c>
      <c r="G647" s="23" t="s">
        <v>735</v>
      </c>
      <c r="H647" s="205" t="s">
        <v>1728</v>
      </c>
      <c r="I647" s="23" t="s">
        <v>2503</v>
      </c>
    </row>
    <row r="648" spans="1:9">
      <c r="A648" s="23" t="s">
        <v>1728</v>
      </c>
      <c r="B648" s="23" t="s">
        <v>2503</v>
      </c>
      <c r="C648" s="23"/>
      <c r="D648" s="23">
        <v>2.4500000000000002</v>
      </c>
      <c r="E648" s="23" t="s">
        <v>2385</v>
      </c>
      <c r="F648" s="23" t="s">
        <v>56</v>
      </c>
      <c r="G648" s="23" t="s">
        <v>56</v>
      </c>
      <c r="H648" s="205" t="s">
        <v>1728</v>
      </c>
      <c r="I648" s="23" t="s">
        <v>2503</v>
      </c>
    </row>
    <row r="649" spans="1:9">
      <c r="A649" s="23" t="s">
        <v>1728</v>
      </c>
      <c r="B649" s="23" t="s">
        <v>2503</v>
      </c>
      <c r="C649" s="23"/>
      <c r="D649" s="23">
        <v>74.658000000000001</v>
      </c>
      <c r="E649" s="23" t="s">
        <v>632</v>
      </c>
      <c r="F649" s="23" t="s">
        <v>2387</v>
      </c>
      <c r="G649" s="23" t="s">
        <v>739</v>
      </c>
      <c r="H649" s="205" t="s">
        <v>1728</v>
      </c>
      <c r="I649" s="23" t="s">
        <v>2503</v>
      </c>
    </row>
    <row r="650" spans="1:9">
      <c r="A650" s="23" t="s">
        <v>1728</v>
      </c>
      <c r="B650" s="23" t="s">
        <v>2503</v>
      </c>
      <c r="C650" s="23"/>
      <c r="D650" s="23">
        <v>49.771999999999998</v>
      </c>
      <c r="E650" s="23" t="s">
        <v>632</v>
      </c>
      <c r="F650" s="23" t="s">
        <v>2388</v>
      </c>
      <c r="G650" s="23" t="s">
        <v>897</v>
      </c>
      <c r="H650" s="205" t="s">
        <v>1728</v>
      </c>
      <c r="I650" s="23" t="s">
        <v>2503</v>
      </c>
    </row>
    <row r="651" spans="1:9">
      <c r="A651" s="23" t="s">
        <v>1728</v>
      </c>
      <c r="B651" s="23" t="s">
        <v>2503</v>
      </c>
      <c r="C651" s="23"/>
      <c r="D651" s="23">
        <v>31.107500000000002</v>
      </c>
      <c r="E651" s="23" t="s">
        <v>632</v>
      </c>
      <c r="F651" s="23" t="s">
        <v>735</v>
      </c>
      <c r="G651" s="23" t="s">
        <v>735</v>
      </c>
      <c r="H651" s="205" t="s">
        <v>1728</v>
      </c>
      <c r="I651" s="23" t="s">
        <v>2503</v>
      </c>
    </row>
    <row r="652" spans="1:9">
      <c r="A652" s="23" t="s">
        <v>1728</v>
      </c>
      <c r="B652" s="23" t="s">
        <v>2503</v>
      </c>
      <c r="C652" s="23"/>
      <c r="D652" s="23">
        <v>2.5</v>
      </c>
      <c r="E652" s="23" t="s">
        <v>632</v>
      </c>
      <c r="F652" s="23" t="s">
        <v>56</v>
      </c>
      <c r="G652" s="23" t="s">
        <v>56</v>
      </c>
      <c r="H652" s="205" t="s">
        <v>1728</v>
      </c>
      <c r="I652" s="23" t="s">
        <v>2503</v>
      </c>
    </row>
    <row r="653" spans="1:9">
      <c r="A653" s="23" t="s">
        <v>1728</v>
      </c>
      <c r="B653" s="23" t="s">
        <v>2503</v>
      </c>
      <c r="C653" s="23"/>
      <c r="D653" s="23">
        <v>75.347999999999999</v>
      </c>
      <c r="E653" s="23" t="s">
        <v>2389</v>
      </c>
      <c r="F653" s="23" t="s">
        <v>2387</v>
      </c>
      <c r="G653" s="23" t="s">
        <v>739</v>
      </c>
      <c r="H653" s="205" t="s">
        <v>1728</v>
      </c>
      <c r="I653" s="23" t="s">
        <v>2503</v>
      </c>
    </row>
    <row r="654" spans="1:9">
      <c r="A654" s="23" t="s">
        <v>1728</v>
      </c>
      <c r="B654" s="23" t="s">
        <v>2503</v>
      </c>
      <c r="C654" s="23"/>
      <c r="D654" s="23">
        <v>50.231999999999999</v>
      </c>
      <c r="E654" s="23" t="s">
        <v>2389</v>
      </c>
      <c r="F654" s="23" t="s">
        <v>2388</v>
      </c>
      <c r="G654" s="23" t="s">
        <v>897</v>
      </c>
      <c r="H654" s="205" t="s">
        <v>1728</v>
      </c>
      <c r="I654" s="23" t="s">
        <v>2503</v>
      </c>
    </row>
    <row r="655" spans="1:9">
      <c r="A655" s="23" t="s">
        <v>1728</v>
      </c>
      <c r="B655" s="23" t="s">
        <v>2503</v>
      </c>
      <c r="C655" s="23"/>
      <c r="D655" s="23">
        <v>31.395</v>
      </c>
      <c r="E655" s="23" t="s">
        <v>2389</v>
      </c>
      <c r="F655" s="23" t="s">
        <v>735</v>
      </c>
      <c r="G655" s="23" t="s">
        <v>735</v>
      </c>
      <c r="H655" s="205" t="s">
        <v>1728</v>
      </c>
      <c r="I655" s="23" t="s">
        <v>2503</v>
      </c>
    </row>
    <row r="656" spans="1:9">
      <c r="A656" s="23" t="s">
        <v>1728</v>
      </c>
      <c r="B656" s="23" t="s">
        <v>2503</v>
      </c>
      <c r="C656" s="23"/>
      <c r="D656" s="23">
        <v>2.5</v>
      </c>
      <c r="E656" s="23" t="s">
        <v>2389</v>
      </c>
      <c r="F656" s="23" t="s">
        <v>56</v>
      </c>
      <c r="G656" s="23" t="s">
        <v>56</v>
      </c>
      <c r="H656" s="205" t="s">
        <v>1728</v>
      </c>
      <c r="I656" s="23" t="s">
        <v>2503</v>
      </c>
    </row>
    <row r="657" spans="1:9">
      <c r="A657" s="23" t="s">
        <v>1728</v>
      </c>
      <c r="B657" s="23" t="s">
        <v>2505</v>
      </c>
      <c r="C657" s="23"/>
      <c r="D657" s="23">
        <v>40.799999999999997</v>
      </c>
      <c r="E657" s="23" t="s">
        <v>2385</v>
      </c>
      <c r="F657" s="23" t="s">
        <v>2387</v>
      </c>
      <c r="G657" s="23" t="s">
        <v>739</v>
      </c>
      <c r="H657" s="205" t="s">
        <v>1728</v>
      </c>
      <c r="I657" s="23" t="s">
        <v>2505</v>
      </c>
    </row>
    <row r="658" spans="1:9">
      <c r="A658" s="23" t="s">
        <v>1728</v>
      </c>
      <c r="B658" s="23" t="s">
        <v>2505</v>
      </c>
      <c r="C658" s="23"/>
      <c r="D658" s="23">
        <v>27.2</v>
      </c>
      <c r="E658" s="23" t="s">
        <v>2385</v>
      </c>
      <c r="F658" s="23" t="s">
        <v>2388</v>
      </c>
      <c r="G658" s="23" t="s">
        <v>897</v>
      </c>
      <c r="H658" s="205" t="s">
        <v>1728</v>
      </c>
      <c r="I658" s="23" t="s">
        <v>2505</v>
      </c>
    </row>
    <row r="659" spans="1:9">
      <c r="A659" s="23" t="s">
        <v>1728</v>
      </c>
      <c r="B659" s="23" t="s">
        <v>2505</v>
      </c>
      <c r="C659" s="23"/>
      <c r="D659" s="23">
        <v>17</v>
      </c>
      <c r="E659" s="23" t="s">
        <v>2385</v>
      </c>
      <c r="F659" s="23" t="s">
        <v>735</v>
      </c>
      <c r="G659" s="23" t="s">
        <v>735</v>
      </c>
      <c r="H659" s="205" t="s">
        <v>1728</v>
      </c>
      <c r="I659" s="23" t="s">
        <v>2505</v>
      </c>
    </row>
    <row r="660" spans="1:9">
      <c r="A660" s="23" t="s">
        <v>1728</v>
      </c>
      <c r="B660" s="23" t="s">
        <v>2505</v>
      </c>
      <c r="C660" s="23"/>
      <c r="D660" s="23">
        <v>0.15000000000000002</v>
      </c>
      <c r="E660" s="23" t="s">
        <v>2385</v>
      </c>
      <c r="F660" s="23" t="s">
        <v>56</v>
      </c>
      <c r="G660" s="23" t="s">
        <v>56</v>
      </c>
      <c r="H660" s="205" t="s">
        <v>1728</v>
      </c>
      <c r="I660" s="23" t="s">
        <v>2505</v>
      </c>
    </row>
    <row r="661" spans="1:9">
      <c r="A661" s="23" t="s">
        <v>1728</v>
      </c>
      <c r="B661" s="23" t="s">
        <v>2505</v>
      </c>
      <c r="C661" s="23"/>
      <c r="D661" s="23">
        <v>40.799999999999997</v>
      </c>
      <c r="E661" s="23" t="s">
        <v>632</v>
      </c>
      <c r="F661" s="23" t="s">
        <v>2387</v>
      </c>
      <c r="G661" s="23" t="s">
        <v>739</v>
      </c>
      <c r="H661" s="205" t="s">
        <v>1728</v>
      </c>
      <c r="I661" s="23" t="s">
        <v>2505</v>
      </c>
    </row>
    <row r="662" spans="1:9">
      <c r="A662" s="23" t="s">
        <v>1728</v>
      </c>
      <c r="B662" s="23" t="s">
        <v>2505</v>
      </c>
      <c r="C662" s="23"/>
      <c r="D662" s="23">
        <v>27.2</v>
      </c>
      <c r="E662" s="23" t="s">
        <v>632</v>
      </c>
      <c r="F662" s="23" t="s">
        <v>2388</v>
      </c>
      <c r="G662" s="23" t="s">
        <v>897</v>
      </c>
      <c r="H662" s="205" t="s">
        <v>1728</v>
      </c>
      <c r="I662" s="23" t="s">
        <v>2505</v>
      </c>
    </row>
    <row r="663" spans="1:9">
      <c r="A663" s="23" t="s">
        <v>1728</v>
      </c>
      <c r="B663" s="23" t="s">
        <v>2505</v>
      </c>
      <c r="C663" s="23"/>
      <c r="D663" s="23">
        <v>17</v>
      </c>
      <c r="E663" s="23" t="s">
        <v>632</v>
      </c>
      <c r="F663" s="23" t="s">
        <v>735</v>
      </c>
      <c r="G663" s="23" t="s">
        <v>735</v>
      </c>
      <c r="H663" s="205" t="s">
        <v>1728</v>
      </c>
      <c r="I663" s="23" t="s">
        <v>2505</v>
      </c>
    </row>
    <row r="664" spans="1:9">
      <c r="A664" s="23" t="s">
        <v>1728</v>
      </c>
      <c r="B664" s="23" t="s">
        <v>2505</v>
      </c>
      <c r="C664" s="23"/>
      <c r="D664" s="23">
        <v>0.15000000000000002</v>
      </c>
      <c r="E664" s="23" t="s">
        <v>632</v>
      </c>
      <c r="F664" s="23" t="s">
        <v>56</v>
      </c>
      <c r="G664" s="23" t="s">
        <v>56</v>
      </c>
      <c r="H664" s="205" t="s">
        <v>1728</v>
      </c>
      <c r="I664" s="23" t="s">
        <v>2505</v>
      </c>
    </row>
    <row r="665" spans="1:9">
      <c r="A665" s="23" t="s">
        <v>1728</v>
      </c>
      <c r="B665" s="23" t="s">
        <v>2505</v>
      </c>
      <c r="C665" s="23"/>
      <c r="D665" s="23">
        <v>40.799999999999997</v>
      </c>
      <c r="E665" s="23" t="s">
        <v>2389</v>
      </c>
      <c r="F665" s="23" t="s">
        <v>2387</v>
      </c>
      <c r="G665" s="23" t="s">
        <v>739</v>
      </c>
      <c r="H665" s="205" t="s">
        <v>1728</v>
      </c>
      <c r="I665" s="23" t="s">
        <v>2505</v>
      </c>
    </row>
    <row r="666" spans="1:9">
      <c r="A666" s="23" t="s">
        <v>1728</v>
      </c>
      <c r="B666" s="23" t="s">
        <v>2505</v>
      </c>
      <c r="C666" s="23"/>
      <c r="D666" s="23">
        <v>27.2</v>
      </c>
      <c r="E666" s="23" t="s">
        <v>2389</v>
      </c>
      <c r="F666" s="23" t="s">
        <v>2388</v>
      </c>
      <c r="G666" s="23" t="s">
        <v>897</v>
      </c>
      <c r="H666" s="205" t="s">
        <v>1728</v>
      </c>
      <c r="I666" s="23" t="s">
        <v>2505</v>
      </c>
    </row>
    <row r="667" spans="1:9">
      <c r="A667" s="23" t="s">
        <v>1728</v>
      </c>
      <c r="B667" s="23" t="s">
        <v>2505</v>
      </c>
      <c r="C667" s="23"/>
      <c r="D667" s="23">
        <v>17</v>
      </c>
      <c r="E667" s="23" t="s">
        <v>2389</v>
      </c>
      <c r="F667" s="23" t="s">
        <v>735</v>
      </c>
      <c r="G667" s="23" t="s">
        <v>735</v>
      </c>
      <c r="H667" s="205" t="s">
        <v>1728</v>
      </c>
      <c r="I667" s="23" t="s">
        <v>2505</v>
      </c>
    </row>
    <row r="668" spans="1:9">
      <c r="A668" s="23" t="s">
        <v>1728</v>
      </c>
      <c r="B668" s="23" t="s">
        <v>2505</v>
      </c>
      <c r="C668" s="23"/>
      <c r="D668" s="23">
        <v>0.15000000000000002</v>
      </c>
      <c r="E668" s="23" t="s">
        <v>2389</v>
      </c>
      <c r="F668" s="23" t="s">
        <v>56</v>
      </c>
      <c r="G668" s="23" t="s">
        <v>56</v>
      </c>
      <c r="H668" s="205" t="s">
        <v>1728</v>
      </c>
      <c r="I668" s="23" t="s">
        <v>2505</v>
      </c>
    </row>
    <row r="669" spans="1:9">
      <c r="A669" s="23" t="s">
        <v>1728</v>
      </c>
      <c r="B669" s="23" t="s">
        <v>2507</v>
      </c>
      <c r="C669" s="23"/>
      <c r="D669" s="23">
        <v>69.599999999999994</v>
      </c>
      <c r="E669" s="23" t="s">
        <v>2385</v>
      </c>
      <c r="F669" s="23" t="s">
        <v>2387</v>
      </c>
      <c r="G669" s="23" t="s">
        <v>739</v>
      </c>
      <c r="H669" s="205" t="s">
        <v>1728</v>
      </c>
      <c r="I669" s="23" t="s">
        <v>2507</v>
      </c>
    </row>
    <row r="670" spans="1:9">
      <c r="A670" s="23" t="s">
        <v>1728</v>
      </c>
      <c r="B670" s="23" t="s">
        <v>2507</v>
      </c>
      <c r="C670" s="23"/>
      <c r="D670" s="23">
        <v>46.4</v>
      </c>
      <c r="E670" s="23" t="s">
        <v>2385</v>
      </c>
      <c r="F670" s="23" t="s">
        <v>2388</v>
      </c>
      <c r="G670" s="23" t="s">
        <v>897</v>
      </c>
      <c r="H670" s="205" t="s">
        <v>1728</v>
      </c>
      <c r="I670" s="23" t="s">
        <v>2507</v>
      </c>
    </row>
    <row r="671" spans="1:9">
      <c r="A671" s="23" t="s">
        <v>1728</v>
      </c>
      <c r="B671" s="23" t="s">
        <v>2507</v>
      </c>
      <c r="C671" s="23"/>
      <c r="D671" s="23">
        <v>29</v>
      </c>
      <c r="E671" s="23" t="s">
        <v>2385</v>
      </c>
      <c r="F671" s="23" t="s">
        <v>735</v>
      </c>
      <c r="G671" s="23" t="s">
        <v>735</v>
      </c>
      <c r="H671" s="205" t="s">
        <v>1728</v>
      </c>
      <c r="I671" s="23" t="s">
        <v>2507</v>
      </c>
    </row>
    <row r="672" spans="1:9">
      <c r="A672" s="23" t="s">
        <v>1728</v>
      </c>
      <c r="B672" s="23" t="s">
        <v>2507</v>
      </c>
      <c r="C672" s="23"/>
      <c r="D672" s="23">
        <v>3.25</v>
      </c>
      <c r="E672" s="23" t="s">
        <v>2385</v>
      </c>
      <c r="F672" s="23" t="s">
        <v>56</v>
      </c>
      <c r="G672" s="23" t="s">
        <v>56</v>
      </c>
      <c r="H672" s="205" t="s">
        <v>1728</v>
      </c>
      <c r="I672" s="23" t="s">
        <v>2507</v>
      </c>
    </row>
    <row r="673" spans="1:9">
      <c r="A673" s="23" t="s">
        <v>1728</v>
      </c>
      <c r="B673" s="23" t="s">
        <v>2507</v>
      </c>
      <c r="C673" s="23"/>
      <c r="D673" s="23">
        <v>69.599999999999994</v>
      </c>
      <c r="E673" s="23" t="s">
        <v>632</v>
      </c>
      <c r="F673" s="23" t="s">
        <v>2387</v>
      </c>
      <c r="G673" s="23" t="s">
        <v>739</v>
      </c>
      <c r="H673" s="205" t="s">
        <v>1728</v>
      </c>
      <c r="I673" s="23" t="s">
        <v>2507</v>
      </c>
    </row>
    <row r="674" spans="1:9">
      <c r="A674" s="23" t="s">
        <v>1728</v>
      </c>
      <c r="B674" s="23" t="s">
        <v>2507</v>
      </c>
      <c r="C674" s="23"/>
      <c r="D674" s="23">
        <v>46.4</v>
      </c>
      <c r="E674" s="23" t="s">
        <v>632</v>
      </c>
      <c r="F674" s="23" t="s">
        <v>2388</v>
      </c>
      <c r="G674" s="23" t="s">
        <v>897</v>
      </c>
      <c r="H674" s="205" t="s">
        <v>1728</v>
      </c>
      <c r="I674" s="23" t="s">
        <v>2507</v>
      </c>
    </row>
    <row r="675" spans="1:9">
      <c r="A675" s="23" t="s">
        <v>1728</v>
      </c>
      <c r="B675" s="23" t="s">
        <v>2507</v>
      </c>
      <c r="C675" s="23"/>
      <c r="D675" s="23">
        <v>29</v>
      </c>
      <c r="E675" s="23" t="s">
        <v>632</v>
      </c>
      <c r="F675" s="23" t="s">
        <v>735</v>
      </c>
      <c r="G675" s="23" t="s">
        <v>735</v>
      </c>
      <c r="H675" s="205" t="s">
        <v>1728</v>
      </c>
      <c r="I675" s="23" t="s">
        <v>2507</v>
      </c>
    </row>
    <row r="676" spans="1:9">
      <c r="A676" s="23" t="s">
        <v>1728</v>
      </c>
      <c r="B676" s="23" t="s">
        <v>2507</v>
      </c>
      <c r="C676" s="23"/>
      <c r="D676" s="23">
        <v>3.25</v>
      </c>
      <c r="E676" s="23" t="s">
        <v>632</v>
      </c>
      <c r="F676" s="23" t="s">
        <v>56</v>
      </c>
      <c r="G676" s="23" t="s">
        <v>56</v>
      </c>
      <c r="H676" s="205" t="s">
        <v>1728</v>
      </c>
      <c r="I676" s="23" t="s">
        <v>2507</v>
      </c>
    </row>
    <row r="677" spans="1:9">
      <c r="A677" s="23" t="s">
        <v>1728</v>
      </c>
      <c r="B677" s="23" t="s">
        <v>2507</v>
      </c>
      <c r="C677" s="23"/>
      <c r="D677" s="23">
        <v>69.599999999999994</v>
      </c>
      <c r="E677" s="23" t="s">
        <v>2389</v>
      </c>
      <c r="F677" s="23" t="s">
        <v>2387</v>
      </c>
      <c r="G677" s="23" t="s">
        <v>739</v>
      </c>
      <c r="H677" s="205" t="s">
        <v>1728</v>
      </c>
      <c r="I677" s="23" t="s">
        <v>2507</v>
      </c>
    </row>
    <row r="678" spans="1:9">
      <c r="A678" s="23" t="s">
        <v>1728</v>
      </c>
      <c r="B678" s="23" t="s">
        <v>2507</v>
      </c>
      <c r="C678" s="23"/>
      <c r="D678" s="23">
        <v>46.4</v>
      </c>
      <c r="E678" s="23" t="s">
        <v>2389</v>
      </c>
      <c r="F678" s="23" t="s">
        <v>2388</v>
      </c>
      <c r="G678" s="23" t="s">
        <v>897</v>
      </c>
      <c r="H678" s="205" t="s">
        <v>1728</v>
      </c>
      <c r="I678" s="23" t="s">
        <v>2507</v>
      </c>
    </row>
    <row r="679" spans="1:9">
      <c r="A679" s="23" t="s">
        <v>1728</v>
      </c>
      <c r="B679" s="23" t="s">
        <v>2507</v>
      </c>
      <c r="C679" s="23"/>
      <c r="D679" s="23">
        <v>29</v>
      </c>
      <c r="E679" s="23" t="s">
        <v>2389</v>
      </c>
      <c r="F679" s="23" t="s">
        <v>735</v>
      </c>
      <c r="G679" s="23" t="s">
        <v>735</v>
      </c>
      <c r="H679" s="205" t="s">
        <v>1728</v>
      </c>
      <c r="I679" s="23" t="s">
        <v>2507</v>
      </c>
    </row>
    <row r="680" spans="1:9">
      <c r="A680" s="23" t="s">
        <v>1728</v>
      </c>
      <c r="B680" s="23" t="s">
        <v>2507</v>
      </c>
      <c r="C680" s="23"/>
      <c r="D680" s="23">
        <v>3.25</v>
      </c>
      <c r="E680" s="23" t="s">
        <v>2389</v>
      </c>
      <c r="F680" s="23" t="s">
        <v>56</v>
      </c>
      <c r="G680" s="23" t="s">
        <v>56</v>
      </c>
      <c r="H680" s="205" t="s">
        <v>1728</v>
      </c>
      <c r="I680" s="23" t="s">
        <v>2507</v>
      </c>
    </row>
    <row r="681" spans="1:9">
      <c r="A681" s="23" t="s">
        <v>1728</v>
      </c>
      <c r="B681" s="23" t="s">
        <v>2514</v>
      </c>
      <c r="C681" s="23"/>
      <c r="D681" s="23">
        <v>15.05</v>
      </c>
      <c r="E681" s="23" t="s">
        <v>2385</v>
      </c>
      <c r="F681" s="23" t="s">
        <v>56</v>
      </c>
      <c r="G681" s="23" t="s">
        <v>56</v>
      </c>
      <c r="H681" s="205" t="s">
        <v>1728</v>
      </c>
      <c r="I681" s="23" t="s">
        <v>2514</v>
      </c>
    </row>
    <row r="682" spans="1:9">
      <c r="A682" s="23" t="s">
        <v>1728</v>
      </c>
      <c r="B682" s="23" t="s">
        <v>2514</v>
      </c>
      <c r="C682" s="23"/>
      <c r="D682" s="23">
        <v>15.05</v>
      </c>
      <c r="E682" s="23" t="s">
        <v>632</v>
      </c>
      <c r="F682" s="23" t="s">
        <v>56</v>
      </c>
      <c r="G682" s="23" t="s">
        <v>56</v>
      </c>
      <c r="H682" s="205" t="s">
        <v>1728</v>
      </c>
      <c r="I682" s="23" t="s">
        <v>2514</v>
      </c>
    </row>
    <row r="683" spans="1:9">
      <c r="A683" s="23" t="s">
        <v>1728</v>
      </c>
      <c r="B683" s="23" t="s">
        <v>2514</v>
      </c>
      <c r="C683" s="23"/>
      <c r="D683" s="23">
        <v>17.25</v>
      </c>
      <c r="E683" s="23" t="s">
        <v>2389</v>
      </c>
      <c r="F683" s="23" t="s">
        <v>56</v>
      </c>
      <c r="G683" s="23" t="s">
        <v>56</v>
      </c>
      <c r="H683" s="205" t="s">
        <v>1728</v>
      </c>
      <c r="I683" s="23" t="s">
        <v>2514</v>
      </c>
    </row>
    <row r="684" spans="1:9">
      <c r="A684" s="23" t="s">
        <v>1728</v>
      </c>
      <c r="B684" s="23" t="s">
        <v>2515</v>
      </c>
      <c r="C684" s="23"/>
      <c r="D684" s="23">
        <v>4.3125</v>
      </c>
      <c r="E684" s="23" t="s">
        <v>2385</v>
      </c>
      <c r="F684" s="23" t="s">
        <v>56</v>
      </c>
      <c r="G684" s="23" t="s">
        <v>56</v>
      </c>
      <c r="H684" s="205" t="s">
        <v>1728</v>
      </c>
      <c r="I684" s="23" t="s">
        <v>2515</v>
      </c>
    </row>
    <row r="685" spans="1:9">
      <c r="A685" s="23" t="s">
        <v>1728</v>
      </c>
      <c r="B685" s="23" t="s">
        <v>2515</v>
      </c>
      <c r="C685" s="23"/>
      <c r="D685" s="23">
        <v>4.3</v>
      </c>
      <c r="E685" s="23" t="s">
        <v>632</v>
      </c>
      <c r="F685" s="23" t="s">
        <v>56</v>
      </c>
      <c r="G685" s="23" t="s">
        <v>56</v>
      </c>
      <c r="H685" s="205" t="s">
        <v>1728</v>
      </c>
      <c r="I685" s="23" t="s">
        <v>2515</v>
      </c>
    </row>
    <row r="686" spans="1:9">
      <c r="A686" s="23" t="s">
        <v>1728</v>
      </c>
      <c r="B686" s="23" t="s">
        <v>2515</v>
      </c>
      <c r="C686" s="23"/>
      <c r="D686" s="23">
        <v>4.6000000000000005</v>
      </c>
      <c r="E686" s="23" t="s">
        <v>2389</v>
      </c>
      <c r="F686" s="23" t="s">
        <v>56</v>
      </c>
      <c r="G686" s="23" t="s">
        <v>56</v>
      </c>
      <c r="H686" s="205" t="s">
        <v>1728</v>
      </c>
      <c r="I686" s="23" t="s">
        <v>2515</v>
      </c>
    </row>
    <row r="687" spans="1:9">
      <c r="A687" s="23" t="s">
        <v>1408</v>
      </c>
      <c r="B687" s="23" t="s">
        <v>2437</v>
      </c>
      <c r="C687" s="23"/>
      <c r="D687" s="23">
        <v>120.68099999999998</v>
      </c>
      <c r="E687" s="23" t="s">
        <v>2385</v>
      </c>
      <c r="F687" s="23" t="s">
        <v>2387</v>
      </c>
      <c r="G687" s="23" t="s">
        <v>739</v>
      </c>
      <c r="H687" s="205" t="s">
        <v>1408</v>
      </c>
      <c r="I687" s="23" t="s">
        <v>2437</v>
      </c>
    </row>
    <row r="688" spans="1:9">
      <c r="A688" s="23" t="s">
        <v>1408</v>
      </c>
      <c r="B688" s="23" t="s">
        <v>2437</v>
      </c>
      <c r="C688" s="23"/>
      <c r="D688" s="23">
        <v>93.863</v>
      </c>
      <c r="E688" s="23" t="s">
        <v>2385</v>
      </c>
      <c r="F688" s="23" t="s">
        <v>2388</v>
      </c>
      <c r="G688" s="23" t="s">
        <v>897</v>
      </c>
      <c r="H688" s="205" t="s">
        <v>1408</v>
      </c>
      <c r="I688" s="23" t="s">
        <v>2437</v>
      </c>
    </row>
    <row r="689" spans="1:9">
      <c r="A689" s="23" t="s">
        <v>1408</v>
      </c>
      <c r="B689" s="23" t="s">
        <v>2437</v>
      </c>
      <c r="C689" s="23"/>
      <c r="D689" s="23">
        <v>67.045000000000002</v>
      </c>
      <c r="E689" s="23" t="s">
        <v>2385</v>
      </c>
      <c r="F689" s="23" t="s">
        <v>735</v>
      </c>
      <c r="G689" s="23" t="s">
        <v>735</v>
      </c>
      <c r="H689" s="205" t="s">
        <v>1408</v>
      </c>
      <c r="I689" s="23" t="s">
        <v>2437</v>
      </c>
    </row>
    <row r="690" spans="1:9">
      <c r="A690" s="23" t="s">
        <v>1408</v>
      </c>
      <c r="B690" s="23" t="s">
        <v>2437</v>
      </c>
      <c r="C690" s="23"/>
      <c r="D690" s="23">
        <v>8.1649999999999991</v>
      </c>
      <c r="E690" s="23" t="s">
        <v>2385</v>
      </c>
      <c r="F690" s="23" t="s">
        <v>56</v>
      </c>
      <c r="G690" s="23" t="s">
        <v>56</v>
      </c>
      <c r="H690" s="205" t="s">
        <v>1408</v>
      </c>
      <c r="I690" s="23" t="s">
        <v>2437</v>
      </c>
    </row>
    <row r="691" spans="1:9">
      <c r="A691" s="23" t="s">
        <v>1408</v>
      </c>
      <c r="B691" s="23" t="s">
        <v>2437</v>
      </c>
      <c r="C691" s="23"/>
      <c r="D691" s="23">
        <v>120.68099999999998</v>
      </c>
      <c r="E691" s="23" t="s">
        <v>632</v>
      </c>
      <c r="F691" s="23" t="s">
        <v>2387</v>
      </c>
      <c r="G691" s="23" t="s">
        <v>739</v>
      </c>
      <c r="H691" s="205" t="s">
        <v>1408</v>
      </c>
      <c r="I691" s="23" t="s">
        <v>2437</v>
      </c>
    </row>
    <row r="692" spans="1:9">
      <c r="A692" s="23" t="s">
        <v>1408</v>
      </c>
      <c r="B692" s="23" t="s">
        <v>2437</v>
      </c>
      <c r="C692" s="23"/>
      <c r="D692" s="23">
        <v>93.863</v>
      </c>
      <c r="E692" s="23" t="s">
        <v>632</v>
      </c>
      <c r="F692" s="23" t="s">
        <v>2388</v>
      </c>
      <c r="G692" s="23" t="s">
        <v>897</v>
      </c>
      <c r="H692" s="205" t="s">
        <v>1408</v>
      </c>
      <c r="I692" s="23" t="s">
        <v>2437</v>
      </c>
    </row>
    <row r="693" spans="1:9">
      <c r="A693" s="23" t="s">
        <v>1408</v>
      </c>
      <c r="B693" s="23" t="s">
        <v>2437</v>
      </c>
      <c r="C693" s="23"/>
      <c r="D693" s="23">
        <v>67.045000000000002</v>
      </c>
      <c r="E693" s="23" t="s">
        <v>632</v>
      </c>
      <c r="F693" s="23" t="s">
        <v>735</v>
      </c>
      <c r="G693" s="23" t="s">
        <v>735</v>
      </c>
      <c r="H693" s="205" t="s">
        <v>1408</v>
      </c>
      <c r="I693" s="23" t="s">
        <v>2437</v>
      </c>
    </row>
    <row r="694" spans="1:9">
      <c r="A694" s="23" t="s">
        <v>1408</v>
      </c>
      <c r="B694" s="23" t="s">
        <v>2437</v>
      </c>
      <c r="C694" s="23"/>
      <c r="D694" s="23">
        <v>8.15</v>
      </c>
      <c r="E694" s="23" t="s">
        <v>632</v>
      </c>
      <c r="F694" s="23" t="s">
        <v>56</v>
      </c>
      <c r="G694" s="23" t="s">
        <v>56</v>
      </c>
      <c r="H694" s="205" t="s">
        <v>1408</v>
      </c>
      <c r="I694" s="23" t="s">
        <v>2437</v>
      </c>
    </row>
    <row r="695" spans="1:9">
      <c r="A695" s="23" t="s">
        <v>1408</v>
      </c>
      <c r="B695" s="23" t="s">
        <v>2437</v>
      </c>
      <c r="C695" s="23"/>
      <c r="D695" s="23">
        <v>120.68099999999998</v>
      </c>
      <c r="E695" s="23" t="s">
        <v>2389</v>
      </c>
      <c r="F695" s="23" t="s">
        <v>2387</v>
      </c>
      <c r="G695" s="23" t="s">
        <v>739</v>
      </c>
      <c r="H695" s="205" t="s">
        <v>1408</v>
      </c>
      <c r="I695" s="23" t="s">
        <v>2437</v>
      </c>
    </row>
    <row r="696" spans="1:9">
      <c r="A696" s="23" t="s">
        <v>1408</v>
      </c>
      <c r="B696" s="23" t="s">
        <v>2437</v>
      </c>
      <c r="C696" s="23"/>
      <c r="D696" s="23">
        <v>93.863</v>
      </c>
      <c r="E696" s="23" t="s">
        <v>2389</v>
      </c>
      <c r="F696" s="23" t="s">
        <v>2388</v>
      </c>
      <c r="G696" s="23" t="s">
        <v>897</v>
      </c>
      <c r="H696" s="205" t="s">
        <v>1408</v>
      </c>
      <c r="I696" s="23" t="s">
        <v>2437</v>
      </c>
    </row>
    <row r="697" spans="1:9">
      <c r="A697" s="23" t="s">
        <v>1408</v>
      </c>
      <c r="B697" s="23" t="s">
        <v>2437</v>
      </c>
      <c r="C697" s="23"/>
      <c r="D697" s="23">
        <v>67.045000000000002</v>
      </c>
      <c r="E697" s="23" t="s">
        <v>2389</v>
      </c>
      <c r="F697" s="23" t="s">
        <v>735</v>
      </c>
      <c r="G697" s="23" t="s">
        <v>735</v>
      </c>
      <c r="H697" s="205" t="s">
        <v>1408</v>
      </c>
      <c r="I697" s="23" t="s">
        <v>2437</v>
      </c>
    </row>
    <row r="698" spans="1:9">
      <c r="A698" s="23" t="s">
        <v>1408</v>
      </c>
      <c r="B698" s="23" t="s">
        <v>2437</v>
      </c>
      <c r="C698" s="23"/>
      <c r="D698" s="23">
        <v>8.15</v>
      </c>
      <c r="E698" s="23" t="s">
        <v>2389</v>
      </c>
      <c r="F698" s="23" t="s">
        <v>56</v>
      </c>
      <c r="G698" s="23" t="s">
        <v>56</v>
      </c>
      <c r="H698" s="205" t="s">
        <v>1408</v>
      </c>
      <c r="I698" s="23" t="s">
        <v>2437</v>
      </c>
    </row>
    <row r="699" spans="1:9">
      <c r="A699" s="23" t="s">
        <v>1408</v>
      </c>
      <c r="B699" s="23" t="s">
        <v>2439</v>
      </c>
      <c r="C699" s="23"/>
      <c r="D699" s="23">
        <v>119.12849999999999</v>
      </c>
      <c r="E699" s="23" t="s">
        <v>2385</v>
      </c>
      <c r="F699" s="23" t="s">
        <v>2387</v>
      </c>
      <c r="G699" s="23" t="s">
        <v>739</v>
      </c>
      <c r="H699" s="205" t="s">
        <v>1408</v>
      </c>
      <c r="I699" s="23" t="s">
        <v>2439</v>
      </c>
    </row>
    <row r="700" spans="1:9">
      <c r="A700" s="23" t="s">
        <v>1408</v>
      </c>
      <c r="B700" s="23" t="s">
        <v>2439</v>
      </c>
      <c r="C700" s="23"/>
      <c r="D700" s="23">
        <v>92.655500000000004</v>
      </c>
      <c r="E700" s="23" t="s">
        <v>2385</v>
      </c>
      <c r="F700" s="23" t="s">
        <v>2388</v>
      </c>
      <c r="G700" s="23" t="s">
        <v>897</v>
      </c>
      <c r="H700" s="205" t="s">
        <v>1408</v>
      </c>
      <c r="I700" s="23" t="s">
        <v>2439</v>
      </c>
    </row>
    <row r="701" spans="1:9">
      <c r="A701" s="23" t="s">
        <v>1408</v>
      </c>
      <c r="B701" s="23" t="s">
        <v>2439</v>
      </c>
      <c r="C701" s="23"/>
      <c r="D701" s="23">
        <v>66.18249999999999</v>
      </c>
      <c r="E701" s="23" t="s">
        <v>2385</v>
      </c>
      <c r="F701" s="23" t="s">
        <v>735</v>
      </c>
      <c r="G701" s="23" t="s">
        <v>735</v>
      </c>
      <c r="H701" s="205" t="s">
        <v>1408</v>
      </c>
      <c r="I701" s="23" t="s">
        <v>2439</v>
      </c>
    </row>
    <row r="702" spans="1:9">
      <c r="A702" s="23" t="s">
        <v>1408</v>
      </c>
      <c r="B702" s="23" t="s">
        <v>2439</v>
      </c>
      <c r="C702" s="23"/>
      <c r="D702" s="23">
        <v>5.95</v>
      </c>
      <c r="E702" s="23" t="s">
        <v>2385</v>
      </c>
      <c r="F702" s="23" t="s">
        <v>56</v>
      </c>
      <c r="G702" s="23" t="s">
        <v>56</v>
      </c>
      <c r="H702" s="205" t="s">
        <v>1408</v>
      </c>
      <c r="I702" s="23" t="s">
        <v>2439</v>
      </c>
    </row>
    <row r="703" spans="1:9">
      <c r="A703" s="23" t="s">
        <v>1408</v>
      </c>
      <c r="B703" s="23" t="s">
        <v>2439</v>
      </c>
      <c r="C703" s="23"/>
      <c r="D703" s="23">
        <v>120.5775</v>
      </c>
      <c r="E703" s="23" t="s">
        <v>632</v>
      </c>
      <c r="F703" s="23" t="s">
        <v>2387</v>
      </c>
      <c r="G703" s="23" t="s">
        <v>739</v>
      </c>
      <c r="H703" s="205" t="s">
        <v>1408</v>
      </c>
      <c r="I703" s="23" t="s">
        <v>2439</v>
      </c>
    </row>
    <row r="704" spans="1:9">
      <c r="A704" s="23" t="s">
        <v>1408</v>
      </c>
      <c r="B704" s="23" t="s">
        <v>2439</v>
      </c>
      <c r="C704" s="23"/>
      <c r="D704" s="23">
        <v>93.782500000000013</v>
      </c>
      <c r="E704" s="23" t="s">
        <v>632</v>
      </c>
      <c r="F704" s="23" t="s">
        <v>2388</v>
      </c>
      <c r="G704" s="23" t="s">
        <v>897</v>
      </c>
      <c r="H704" s="205" t="s">
        <v>1408</v>
      </c>
      <c r="I704" s="23" t="s">
        <v>2439</v>
      </c>
    </row>
    <row r="705" spans="1:9">
      <c r="A705" s="23" t="s">
        <v>1408</v>
      </c>
      <c r="B705" s="23" t="s">
        <v>2439</v>
      </c>
      <c r="C705" s="23"/>
      <c r="D705" s="23">
        <v>66.987499999999997</v>
      </c>
      <c r="E705" s="23" t="s">
        <v>632</v>
      </c>
      <c r="F705" s="23" t="s">
        <v>735</v>
      </c>
      <c r="G705" s="23" t="s">
        <v>735</v>
      </c>
      <c r="H705" s="205" t="s">
        <v>1408</v>
      </c>
      <c r="I705" s="23" t="s">
        <v>2439</v>
      </c>
    </row>
    <row r="706" spans="1:9">
      <c r="A706" s="23" t="s">
        <v>1408</v>
      </c>
      <c r="B706" s="23" t="s">
        <v>2439</v>
      </c>
      <c r="C706" s="23"/>
      <c r="D706" s="23">
        <v>5.95</v>
      </c>
      <c r="E706" s="23" t="s">
        <v>632</v>
      </c>
      <c r="F706" s="23" t="s">
        <v>56</v>
      </c>
      <c r="G706" s="23" t="s">
        <v>56</v>
      </c>
      <c r="H706" s="205" t="s">
        <v>1408</v>
      </c>
      <c r="I706" s="23" t="s">
        <v>2439</v>
      </c>
    </row>
    <row r="707" spans="1:9">
      <c r="A707" s="23" t="s">
        <v>1408</v>
      </c>
      <c r="B707" s="23" t="s">
        <v>2439</v>
      </c>
      <c r="C707" s="23"/>
      <c r="D707" s="23">
        <v>126</v>
      </c>
      <c r="E707" s="23" t="s">
        <v>2389</v>
      </c>
      <c r="F707" s="23" t="s">
        <v>2387</v>
      </c>
      <c r="G707" s="23" t="s">
        <v>739</v>
      </c>
      <c r="H707" s="205" t="s">
        <v>1408</v>
      </c>
      <c r="I707" s="23" t="s">
        <v>2439</v>
      </c>
    </row>
    <row r="708" spans="1:9">
      <c r="A708" s="23" t="s">
        <v>1408</v>
      </c>
      <c r="B708" s="23" t="s">
        <v>2439</v>
      </c>
      <c r="C708" s="23"/>
      <c r="D708" s="23">
        <v>98.000000000000014</v>
      </c>
      <c r="E708" s="23" t="s">
        <v>2389</v>
      </c>
      <c r="F708" s="23" t="s">
        <v>2388</v>
      </c>
      <c r="G708" s="23" t="s">
        <v>897</v>
      </c>
      <c r="H708" s="205" t="s">
        <v>1408</v>
      </c>
      <c r="I708" s="23" t="s">
        <v>2439</v>
      </c>
    </row>
    <row r="709" spans="1:9">
      <c r="A709" s="23" t="s">
        <v>1408</v>
      </c>
      <c r="B709" s="23" t="s">
        <v>2439</v>
      </c>
      <c r="C709" s="23"/>
      <c r="D709" s="23">
        <v>70</v>
      </c>
      <c r="E709" s="23" t="s">
        <v>2389</v>
      </c>
      <c r="F709" s="23" t="s">
        <v>735</v>
      </c>
      <c r="G709" s="23" t="s">
        <v>735</v>
      </c>
      <c r="H709" s="205" t="s">
        <v>1408</v>
      </c>
      <c r="I709" s="23" t="s">
        <v>2439</v>
      </c>
    </row>
    <row r="710" spans="1:9">
      <c r="A710" s="23" t="s">
        <v>1408</v>
      </c>
      <c r="B710" s="23" t="s">
        <v>2439</v>
      </c>
      <c r="C710" s="23"/>
      <c r="D710" s="23">
        <v>5.95</v>
      </c>
      <c r="E710" s="23" t="s">
        <v>2389</v>
      </c>
      <c r="F710" s="23" t="s">
        <v>56</v>
      </c>
      <c r="G710" s="23" t="s">
        <v>56</v>
      </c>
      <c r="H710" s="205" t="s">
        <v>1408</v>
      </c>
      <c r="I710" s="23" t="s">
        <v>2439</v>
      </c>
    </row>
    <row r="711" spans="1:9">
      <c r="A711" s="23" t="s">
        <v>1408</v>
      </c>
      <c r="B711" s="23" t="s">
        <v>2441</v>
      </c>
      <c r="C711" s="23"/>
      <c r="D711" s="23">
        <v>147.48749999999998</v>
      </c>
      <c r="E711" s="23" t="s">
        <v>2385</v>
      </c>
      <c r="F711" s="23" t="s">
        <v>2387</v>
      </c>
      <c r="G711" s="23" t="s">
        <v>739</v>
      </c>
      <c r="H711" s="205" t="s">
        <v>1408</v>
      </c>
      <c r="I711" s="23" t="s">
        <v>2441</v>
      </c>
    </row>
    <row r="712" spans="1:9">
      <c r="A712" s="23" t="s">
        <v>1408</v>
      </c>
      <c r="B712" s="23" t="s">
        <v>2441</v>
      </c>
      <c r="C712" s="23"/>
      <c r="D712" s="23">
        <v>114.71249999999999</v>
      </c>
      <c r="E712" s="23" t="s">
        <v>2385</v>
      </c>
      <c r="F712" s="23" t="s">
        <v>2388</v>
      </c>
      <c r="G712" s="23" t="s">
        <v>897</v>
      </c>
      <c r="H712" s="205" t="s">
        <v>1408</v>
      </c>
      <c r="I712" s="23" t="s">
        <v>2441</v>
      </c>
    </row>
    <row r="713" spans="1:9">
      <c r="A713" s="23" t="s">
        <v>1408</v>
      </c>
      <c r="B713" s="23" t="s">
        <v>2441</v>
      </c>
      <c r="C713" s="23"/>
      <c r="D713" s="23">
        <v>81.9375</v>
      </c>
      <c r="E713" s="23" t="s">
        <v>2385</v>
      </c>
      <c r="F713" s="23" t="s">
        <v>735</v>
      </c>
      <c r="G713" s="23" t="s">
        <v>735</v>
      </c>
      <c r="H713" s="205" t="s">
        <v>1408</v>
      </c>
      <c r="I713" s="23" t="s">
        <v>2441</v>
      </c>
    </row>
    <row r="714" spans="1:9">
      <c r="A714" s="23" t="s">
        <v>1408</v>
      </c>
      <c r="B714" s="23" t="s">
        <v>2441</v>
      </c>
      <c r="C714" s="23"/>
      <c r="D714" s="23">
        <v>4.55</v>
      </c>
      <c r="E714" s="23" t="s">
        <v>2385</v>
      </c>
      <c r="F714" s="23" t="s">
        <v>56</v>
      </c>
      <c r="G714" s="23" t="s">
        <v>56</v>
      </c>
      <c r="H714" s="205" t="s">
        <v>1408</v>
      </c>
      <c r="I714" s="23" t="s">
        <v>2441</v>
      </c>
    </row>
    <row r="715" spans="1:9">
      <c r="A715" s="23" t="s">
        <v>1408</v>
      </c>
      <c r="B715" s="23" t="s">
        <v>2441</v>
      </c>
      <c r="C715" s="23"/>
      <c r="D715" s="23">
        <v>165.91049999999998</v>
      </c>
      <c r="E715" s="23" t="s">
        <v>632</v>
      </c>
      <c r="F715" s="23" t="s">
        <v>2387</v>
      </c>
      <c r="G715" s="23" t="s">
        <v>739</v>
      </c>
      <c r="H715" s="205" t="s">
        <v>1408</v>
      </c>
      <c r="I715" s="23" t="s">
        <v>2441</v>
      </c>
    </row>
    <row r="716" spans="1:9">
      <c r="A716" s="23" t="s">
        <v>1408</v>
      </c>
      <c r="B716" s="23" t="s">
        <v>2441</v>
      </c>
      <c r="C716" s="23"/>
      <c r="D716" s="23">
        <v>129.04150000000001</v>
      </c>
      <c r="E716" s="23" t="s">
        <v>632</v>
      </c>
      <c r="F716" s="23" t="s">
        <v>2388</v>
      </c>
      <c r="G716" s="23" t="s">
        <v>897</v>
      </c>
      <c r="H716" s="205" t="s">
        <v>1408</v>
      </c>
      <c r="I716" s="23" t="s">
        <v>2441</v>
      </c>
    </row>
    <row r="717" spans="1:9">
      <c r="A717" s="23" t="s">
        <v>1408</v>
      </c>
      <c r="B717" s="23" t="s">
        <v>2441</v>
      </c>
      <c r="C717" s="23"/>
      <c r="D717" s="23">
        <v>92.172499999999999</v>
      </c>
      <c r="E717" s="23" t="s">
        <v>632</v>
      </c>
      <c r="F717" s="23" t="s">
        <v>735</v>
      </c>
      <c r="G717" s="23" t="s">
        <v>735</v>
      </c>
      <c r="H717" s="205" t="s">
        <v>1408</v>
      </c>
      <c r="I717" s="23" t="s">
        <v>2441</v>
      </c>
    </row>
    <row r="718" spans="1:9">
      <c r="A718" s="23" t="s">
        <v>1408</v>
      </c>
      <c r="B718" s="23" t="s">
        <v>2441</v>
      </c>
      <c r="C718" s="23"/>
      <c r="D718" s="23">
        <v>4.55</v>
      </c>
      <c r="E718" s="23" t="s">
        <v>632</v>
      </c>
      <c r="F718" s="23" t="s">
        <v>56</v>
      </c>
      <c r="G718" s="23" t="s">
        <v>56</v>
      </c>
      <c r="H718" s="205" t="s">
        <v>1408</v>
      </c>
      <c r="I718" s="23" t="s">
        <v>2441</v>
      </c>
    </row>
    <row r="719" spans="1:9">
      <c r="A719" s="23" t="s">
        <v>1408</v>
      </c>
      <c r="B719" s="23" t="s">
        <v>2441</v>
      </c>
      <c r="C719" s="23"/>
      <c r="D719" s="23">
        <v>182.25</v>
      </c>
      <c r="E719" s="23" t="s">
        <v>2389</v>
      </c>
      <c r="F719" s="23" t="s">
        <v>2387</v>
      </c>
      <c r="G719" s="23" t="s">
        <v>739</v>
      </c>
      <c r="H719" s="205" t="s">
        <v>1408</v>
      </c>
      <c r="I719" s="23" t="s">
        <v>2441</v>
      </c>
    </row>
    <row r="720" spans="1:9">
      <c r="A720" s="23" t="s">
        <v>1408</v>
      </c>
      <c r="B720" s="23" t="s">
        <v>2441</v>
      </c>
      <c r="C720" s="23"/>
      <c r="D720" s="23">
        <v>141.75</v>
      </c>
      <c r="E720" s="23" t="s">
        <v>2389</v>
      </c>
      <c r="F720" s="23" t="s">
        <v>2388</v>
      </c>
      <c r="G720" s="23" t="s">
        <v>897</v>
      </c>
      <c r="H720" s="205" t="s">
        <v>1408</v>
      </c>
      <c r="I720" s="23" t="s">
        <v>2441</v>
      </c>
    </row>
    <row r="721" spans="1:9">
      <c r="A721" s="23" t="s">
        <v>1408</v>
      </c>
      <c r="B721" s="23" t="s">
        <v>2441</v>
      </c>
      <c r="C721" s="23"/>
      <c r="D721" s="23">
        <v>101.25</v>
      </c>
      <c r="E721" s="23" t="s">
        <v>2389</v>
      </c>
      <c r="F721" s="23" t="s">
        <v>735</v>
      </c>
      <c r="G721" s="23" t="s">
        <v>735</v>
      </c>
      <c r="H721" s="205" t="s">
        <v>1408</v>
      </c>
      <c r="I721" s="23" t="s">
        <v>2441</v>
      </c>
    </row>
    <row r="722" spans="1:9">
      <c r="A722" s="23" t="s">
        <v>1408</v>
      </c>
      <c r="B722" s="23" t="s">
        <v>2441</v>
      </c>
      <c r="C722" s="23"/>
      <c r="D722" s="23">
        <v>4.55</v>
      </c>
      <c r="E722" s="23" t="s">
        <v>2389</v>
      </c>
      <c r="F722" s="23" t="s">
        <v>56</v>
      </c>
      <c r="G722" s="23" t="s">
        <v>56</v>
      </c>
      <c r="H722" s="205" t="s">
        <v>1408</v>
      </c>
      <c r="I722" s="23" t="s">
        <v>2441</v>
      </c>
    </row>
    <row r="723" spans="1:9">
      <c r="A723" s="23" t="s">
        <v>1408</v>
      </c>
      <c r="B723" s="23" t="s">
        <v>2442</v>
      </c>
      <c r="C723" s="23"/>
      <c r="D723" s="23">
        <v>107.00999999999999</v>
      </c>
      <c r="E723" s="23" t="s">
        <v>2385</v>
      </c>
      <c r="F723" s="23" t="s">
        <v>2387</v>
      </c>
      <c r="G723" s="23" t="s">
        <v>739</v>
      </c>
      <c r="H723" s="205" t="s">
        <v>1408</v>
      </c>
      <c r="I723" s="23" t="s">
        <v>2442</v>
      </c>
    </row>
    <row r="724" spans="1:9">
      <c r="A724" s="23" t="s">
        <v>1408</v>
      </c>
      <c r="B724" s="23" t="s">
        <v>2442</v>
      </c>
      <c r="C724" s="23"/>
      <c r="D724" s="23">
        <v>83.23</v>
      </c>
      <c r="E724" s="23" t="s">
        <v>2385</v>
      </c>
      <c r="F724" s="23" t="s">
        <v>2388</v>
      </c>
      <c r="G724" s="23" t="s">
        <v>897</v>
      </c>
      <c r="H724" s="205" t="s">
        <v>1408</v>
      </c>
      <c r="I724" s="23" t="s">
        <v>2442</v>
      </c>
    </row>
    <row r="725" spans="1:9">
      <c r="A725" s="23" t="s">
        <v>1408</v>
      </c>
      <c r="B725" s="23" t="s">
        <v>2442</v>
      </c>
      <c r="C725" s="23"/>
      <c r="D725" s="23">
        <v>59.45</v>
      </c>
      <c r="E725" s="23" t="s">
        <v>2385</v>
      </c>
      <c r="F725" s="23" t="s">
        <v>735</v>
      </c>
      <c r="G725" s="23" t="s">
        <v>735</v>
      </c>
      <c r="H725" s="205" t="s">
        <v>1408</v>
      </c>
      <c r="I725" s="23" t="s">
        <v>2442</v>
      </c>
    </row>
    <row r="726" spans="1:9">
      <c r="A726" s="23" t="s">
        <v>1408</v>
      </c>
      <c r="B726" s="23" t="s">
        <v>2442</v>
      </c>
      <c r="C726" s="23"/>
      <c r="D726" s="23">
        <v>10.1775</v>
      </c>
      <c r="E726" s="23" t="s">
        <v>2385</v>
      </c>
      <c r="F726" s="23" t="s">
        <v>56</v>
      </c>
      <c r="G726" s="23" t="s">
        <v>56</v>
      </c>
      <c r="H726" s="205" t="s">
        <v>1408</v>
      </c>
      <c r="I726" s="23" t="s">
        <v>2442</v>
      </c>
    </row>
    <row r="727" spans="1:9">
      <c r="A727" s="23" t="s">
        <v>1408</v>
      </c>
      <c r="B727" s="23" t="s">
        <v>2442</v>
      </c>
      <c r="C727" s="23"/>
      <c r="D727" s="23">
        <v>107.00999999999999</v>
      </c>
      <c r="E727" s="23" t="s">
        <v>632</v>
      </c>
      <c r="F727" s="23" t="s">
        <v>2387</v>
      </c>
      <c r="G727" s="23" t="s">
        <v>739</v>
      </c>
      <c r="H727" s="205" t="s">
        <v>1408</v>
      </c>
      <c r="I727" s="23" t="s">
        <v>2442</v>
      </c>
    </row>
    <row r="728" spans="1:9">
      <c r="A728" s="23" t="s">
        <v>1408</v>
      </c>
      <c r="B728" s="23" t="s">
        <v>2442</v>
      </c>
      <c r="C728" s="23"/>
      <c r="D728" s="23">
        <v>83.23</v>
      </c>
      <c r="E728" s="23" t="s">
        <v>632</v>
      </c>
      <c r="F728" s="23" t="s">
        <v>2388</v>
      </c>
      <c r="G728" s="23" t="s">
        <v>897</v>
      </c>
      <c r="H728" s="205" t="s">
        <v>1408</v>
      </c>
      <c r="I728" s="23" t="s">
        <v>2442</v>
      </c>
    </row>
    <row r="729" spans="1:9">
      <c r="A729" s="23" t="s">
        <v>1408</v>
      </c>
      <c r="B729" s="23" t="s">
        <v>2442</v>
      </c>
      <c r="C729" s="23"/>
      <c r="D729" s="23">
        <v>59.45</v>
      </c>
      <c r="E729" s="23" t="s">
        <v>632</v>
      </c>
      <c r="F729" s="23" t="s">
        <v>735</v>
      </c>
      <c r="G729" s="23" t="s">
        <v>735</v>
      </c>
      <c r="H729" s="205" t="s">
        <v>1408</v>
      </c>
      <c r="I729" s="23" t="s">
        <v>2442</v>
      </c>
    </row>
    <row r="730" spans="1:9">
      <c r="A730" s="23" t="s">
        <v>1408</v>
      </c>
      <c r="B730" s="23" t="s">
        <v>2442</v>
      </c>
      <c r="C730" s="23"/>
      <c r="D730" s="23">
        <v>10.200000000000001</v>
      </c>
      <c r="E730" s="23" t="s">
        <v>632</v>
      </c>
      <c r="F730" s="23" t="s">
        <v>56</v>
      </c>
      <c r="G730" s="23" t="s">
        <v>56</v>
      </c>
      <c r="H730" s="205" t="s">
        <v>1408</v>
      </c>
      <c r="I730" s="23" t="s">
        <v>2442</v>
      </c>
    </row>
    <row r="731" spans="1:9">
      <c r="A731" s="23" t="s">
        <v>1408</v>
      </c>
      <c r="B731" s="23" t="s">
        <v>2442</v>
      </c>
      <c r="C731" s="23"/>
      <c r="D731" s="23">
        <v>107.00999999999999</v>
      </c>
      <c r="E731" s="23" t="s">
        <v>2389</v>
      </c>
      <c r="F731" s="23" t="s">
        <v>2387</v>
      </c>
      <c r="G731" s="23" t="s">
        <v>739</v>
      </c>
      <c r="H731" s="205" t="s">
        <v>1408</v>
      </c>
      <c r="I731" s="23" t="s">
        <v>2442</v>
      </c>
    </row>
    <row r="732" spans="1:9">
      <c r="A732" s="23" t="s">
        <v>1408</v>
      </c>
      <c r="B732" s="23" t="s">
        <v>2442</v>
      </c>
      <c r="C732" s="23"/>
      <c r="D732" s="23">
        <v>83.23</v>
      </c>
      <c r="E732" s="23" t="s">
        <v>2389</v>
      </c>
      <c r="F732" s="23" t="s">
        <v>2388</v>
      </c>
      <c r="G732" s="23" t="s">
        <v>897</v>
      </c>
      <c r="H732" s="205" t="s">
        <v>1408</v>
      </c>
      <c r="I732" s="23" t="s">
        <v>2442</v>
      </c>
    </row>
    <row r="733" spans="1:9">
      <c r="A733" s="23" t="s">
        <v>1408</v>
      </c>
      <c r="B733" s="23" t="s">
        <v>2442</v>
      </c>
      <c r="C733" s="23"/>
      <c r="D733" s="23">
        <v>59.45</v>
      </c>
      <c r="E733" s="23" t="s">
        <v>2389</v>
      </c>
      <c r="F733" s="23" t="s">
        <v>735</v>
      </c>
      <c r="G733" s="23" t="s">
        <v>735</v>
      </c>
      <c r="H733" s="205" t="s">
        <v>1408</v>
      </c>
      <c r="I733" s="23" t="s">
        <v>2442</v>
      </c>
    </row>
    <row r="734" spans="1:9">
      <c r="A734" s="23" t="s">
        <v>1408</v>
      </c>
      <c r="B734" s="23" t="s">
        <v>2442</v>
      </c>
      <c r="C734" s="23"/>
      <c r="D734" s="23">
        <v>10.75</v>
      </c>
      <c r="E734" s="23" t="s">
        <v>2389</v>
      </c>
      <c r="F734" s="23" t="s">
        <v>56</v>
      </c>
      <c r="G734" s="23" t="s">
        <v>56</v>
      </c>
      <c r="H734" s="205" t="s">
        <v>1408</v>
      </c>
      <c r="I734" s="23" t="s">
        <v>2442</v>
      </c>
    </row>
    <row r="735" spans="1:9">
      <c r="A735" s="23" t="s">
        <v>1408</v>
      </c>
      <c r="B735" s="23" t="s">
        <v>2444</v>
      </c>
      <c r="C735" s="23"/>
      <c r="D735" s="23">
        <v>166.84199999999998</v>
      </c>
      <c r="E735" s="23" t="s">
        <v>2385</v>
      </c>
      <c r="F735" s="23" t="s">
        <v>2387</v>
      </c>
      <c r="G735" s="23" t="s">
        <v>739</v>
      </c>
      <c r="H735" s="205" t="s">
        <v>1408</v>
      </c>
      <c r="I735" s="23" t="s">
        <v>2444</v>
      </c>
    </row>
    <row r="736" spans="1:9">
      <c r="A736" s="23" t="s">
        <v>1408</v>
      </c>
      <c r="B736" s="23" t="s">
        <v>2444</v>
      </c>
      <c r="C736" s="23"/>
      <c r="D736" s="23">
        <v>129.76600000000002</v>
      </c>
      <c r="E736" s="23" t="s">
        <v>2385</v>
      </c>
      <c r="F736" s="23" t="s">
        <v>2388</v>
      </c>
      <c r="G736" s="23" t="s">
        <v>897</v>
      </c>
      <c r="H736" s="205" t="s">
        <v>1408</v>
      </c>
      <c r="I736" s="23" t="s">
        <v>2444</v>
      </c>
    </row>
    <row r="737" spans="1:9">
      <c r="A737" s="23" t="s">
        <v>1408</v>
      </c>
      <c r="B737" s="23" t="s">
        <v>2444</v>
      </c>
      <c r="C737" s="23"/>
      <c r="D737" s="23">
        <v>92.69</v>
      </c>
      <c r="E737" s="23" t="s">
        <v>2385</v>
      </c>
      <c r="F737" s="23" t="s">
        <v>735</v>
      </c>
      <c r="G737" s="23" t="s">
        <v>735</v>
      </c>
      <c r="H737" s="205" t="s">
        <v>1408</v>
      </c>
      <c r="I737" s="23" t="s">
        <v>2444</v>
      </c>
    </row>
    <row r="738" spans="1:9">
      <c r="A738" s="23" t="s">
        <v>1408</v>
      </c>
      <c r="B738" s="23" t="s">
        <v>2444</v>
      </c>
      <c r="C738" s="23"/>
      <c r="D738" s="23">
        <v>4.3</v>
      </c>
      <c r="E738" s="23" t="s">
        <v>2385</v>
      </c>
      <c r="F738" s="23" t="s">
        <v>56</v>
      </c>
      <c r="G738" s="23" t="s">
        <v>56</v>
      </c>
      <c r="H738" s="205" t="s">
        <v>1408</v>
      </c>
      <c r="I738" s="23" t="s">
        <v>2444</v>
      </c>
    </row>
    <row r="739" spans="1:9">
      <c r="A739" s="23" t="s">
        <v>1408</v>
      </c>
      <c r="B739" s="23" t="s">
        <v>2444</v>
      </c>
      <c r="C739" s="23"/>
      <c r="D739" s="23">
        <v>187.12799999999999</v>
      </c>
      <c r="E739" s="23" t="s">
        <v>632</v>
      </c>
      <c r="F739" s="23" t="s">
        <v>2387</v>
      </c>
      <c r="G739" s="23" t="s">
        <v>739</v>
      </c>
      <c r="H739" s="205" t="s">
        <v>1408</v>
      </c>
      <c r="I739" s="23" t="s">
        <v>2444</v>
      </c>
    </row>
    <row r="740" spans="1:9">
      <c r="A740" s="23" t="s">
        <v>1408</v>
      </c>
      <c r="B740" s="23" t="s">
        <v>2444</v>
      </c>
      <c r="C740" s="23"/>
      <c r="D740" s="23">
        <v>145.54400000000001</v>
      </c>
      <c r="E740" s="23" t="s">
        <v>632</v>
      </c>
      <c r="F740" s="23" t="s">
        <v>2388</v>
      </c>
      <c r="G740" s="23" t="s">
        <v>897</v>
      </c>
      <c r="H740" s="205" t="s">
        <v>1408</v>
      </c>
      <c r="I740" s="23" t="s">
        <v>2444</v>
      </c>
    </row>
    <row r="741" spans="1:9">
      <c r="A741" s="23" t="s">
        <v>1408</v>
      </c>
      <c r="B741" s="23" t="s">
        <v>2444</v>
      </c>
      <c r="C741" s="23"/>
      <c r="D741" s="23">
        <v>103.96</v>
      </c>
      <c r="E741" s="23" t="s">
        <v>632</v>
      </c>
      <c r="F741" s="23" t="s">
        <v>735</v>
      </c>
      <c r="G741" s="23" t="s">
        <v>735</v>
      </c>
      <c r="H741" s="205" t="s">
        <v>1408</v>
      </c>
      <c r="I741" s="23" t="s">
        <v>2444</v>
      </c>
    </row>
    <row r="742" spans="1:9">
      <c r="A742" s="23" t="s">
        <v>1408</v>
      </c>
      <c r="B742" s="23" t="s">
        <v>2444</v>
      </c>
      <c r="C742" s="23"/>
      <c r="D742" s="23">
        <v>4.3</v>
      </c>
      <c r="E742" s="23" t="s">
        <v>632</v>
      </c>
      <c r="F742" s="23" t="s">
        <v>56</v>
      </c>
      <c r="G742" s="23" t="s">
        <v>56</v>
      </c>
      <c r="H742" s="205" t="s">
        <v>1408</v>
      </c>
      <c r="I742" s="23" t="s">
        <v>2444</v>
      </c>
    </row>
    <row r="743" spans="1:9">
      <c r="A743" s="23" t="s">
        <v>1408</v>
      </c>
      <c r="B743" s="23" t="s">
        <v>2444</v>
      </c>
      <c r="C743" s="23"/>
      <c r="D743" s="23">
        <v>190.79999999999998</v>
      </c>
      <c r="E743" s="23" t="s">
        <v>2389</v>
      </c>
      <c r="F743" s="23" t="s">
        <v>2387</v>
      </c>
      <c r="G743" s="23" t="s">
        <v>739</v>
      </c>
      <c r="H743" s="205" t="s">
        <v>1408</v>
      </c>
      <c r="I743" s="23" t="s">
        <v>2444</v>
      </c>
    </row>
    <row r="744" spans="1:9">
      <c r="A744" s="23" t="s">
        <v>1408</v>
      </c>
      <c r="B744" s="23" t="s">
        <v>2444</v>
      </c>
      <c r="C744" s="23"/>
      <c r="D744" s="23">
        <v>148.4</v>
      </c>
      <c r="E744" s="23" t="s">
        <v>2389</v>
      </c>
      <c r="F744" s="23" t="s">
        <v>2388</v>
      </c>
      <c r="G744" s="23" t="s">
        <v>897</v>
      </c>
      <c r="H744" s="205" t="s">
        <v>1408</v>
      </c>
      <c r="I744" s="23" t="s">
        <v>2444</v>
      </c>
    </row>
    <row r="745" spans="1:9">
      <c r="A745" s="23" t="s">
        <v>1408</v>
      </c>
      <c r="B745" s="23" t="s">
        <v>2444</v>
      </c>
      <c r="C745" s="23"/>
      <c r="D745" s="23">
        <v>106</v>
      </c>
      <c r="E745" s="23" t="s">
        <v>2389</v>
      </c>
      <c r="F745" s="23" t="s">
        <v>735</v>
      </c>
      <c r="G745" s="23" t="s">
        <v>735</v>
      </c>
      <c r="H745" s="205" t="s">
        <v>1408</v>
      </c>
      <c r="I745" s="23" t="s">
        <v>2444</v>
      </c>
    </row>
    <row r="746" spans="1:9">
      <c r="A746" s="23" t="s">
        <v>1408</v>
      </c>
      <c r="B746" s="23" t="s">
        <v>2444</v>
      </c>
      <c r="C746" s="23"/>
      <c r="D746" s="23">
        <v>4.3</v>
      </c>
      <c r="E746" s="23" t="s">
        <v>2389</v>
      </c>
      <c r="F746" s="23" t="s">
        <v>56</v>
      </c>
      <c r="G746" s="23" t="s">
        <v>56</v>
      </c>
      <c r="H746" s="205" t="s">
        <v>1408</v>
      </c>
      <c r="I746" s="23" t="s">
        <v>2444</v>
      </c>
    </row>
    <row r="747" spans="1:9">
      <c r="A747" s="23" t="s">
        <v>1408</v>
      </c>
      <c r="B747" s="23" t="s">
        <v>2446</v>
      </c>
      <c r="C747" s="23"/>
      <c r="D747" s="23">
        <v>92.218499999999977</v>
      </c>
      <c r="E747" s="23" t="s">
        <v>2385</v>
      </c>
      <c r="F747" s="23" t="s">
        <v>2387</v>
      </c>
      <c r="G747" s="23" t="s">
        <v>739</v>
      </c>
      <c r="H747" s="205" t="s">
        <v>1408</v>
      </c>
      <c r="I747" s="23" t="s">
        <v>2446</v>
      </c>
    </row>
    <row r="748" spans="1:9">
      <c r="A748" s="23" t="s">
        <v>1408</v>
      </c>
      <c r="B748" s="23" t="s">
        <v>2446</v>
      </c>
      <c r="C748" s="23"/>
      <c r="D748" s="23">
        <v>71.725499999999997</v>
      </c>
      <c r="E748" s="23" t="s">
        <v>2385</v>
      </c>
      <c r="F748" s="23" t="s">
        <v>2388</v>
      </c>
      <c r="G748" s="23" t="s">
        <v>897</v>
      </c>
      <c r="H748" s="205" t="s">
        <v>1408</v>
      </c>
      <c r="I748" s="23" t="s">
        <v>2446</v>
      </c>
    </row>
    <row r="749" spans="1:9">
      <c r="A749" s="23" t="s">
        <v>1408</v>
      </c>
      <c r="B749" s="23" t="s">
        <v>2446</v>
      </c>
      <c r="C749" s="23"/>
      <c r="D749" s="23">
        <v>51.232499999999995</v>
      </c>
      <c r="E749" s="23" t="s">
        <v>2385</v>
      </c>
      <c r="F749" s="23" t="s">
        <v>735</v>
      </c>
      <c r="G749" s="23" t="s">
        <v>735</v>
      </c>
      <c r="H749" s="205" t="s">
        <v>1408</v>
      </c>
      <c r="I749" s="23" t="s">
        <v>2446</v>
      </c>
    </row>
    <row r="750" spans="1:9">
      <c r="A750" s="23" t="s">
        <v>1408</v>
      </c>
      <c r="B750" s="23" t="s">
        <v>2446</v>
      </c>
      <c r="C750" s="23"/>
      <c r="D750" s="23">
        <v>5.3000000000000007</v>
      </c>
      <c r="E750" s="23" t="s">
        <v>2385</v>
      </c>
      <c r="F750" s="23" t="s">
        <v>56</v>
      </c>
      <c r="G750" s="23" t="s">
        <v>56</v>
      </c>
      <c r="H750" s="205" t="s">
        <v>1408</v>
      </c>
      <c r="I750" s="23" t="s">
        <v>2446</v>
      </c>
    </row>
    <row r="751" spans="1:9">
      <c r="A751" s="23" t="s">
        <v>1408</v>
      </c>
      <c r="B751" s="23" t="s">
        <v>2446</v>
      </c>
      <c r="C751" s="23"/>
      <c r="D751" s="23">
        <v>105.05249999999999</v>
      </c>
      <c r="E751" s="23" t="s">
        <v>632</v>
      </c>
      <c r="F751" s="23" t="s">
        <v>2387</v>
      </c>
      <c r="G751" s="23" t="s">
        <v>739</v>
      </c>
      <c r="H751" s="205" t="s">
        <v>1408</v>
      </c>
      <c r="I751" s="23" t="s">
        <v>2446</v>
      </c>
    </row>
    <row r="752" spans="1:9">
      <c r="A752" s="23" t="s">
        <v>1408</v>
      </c>
      <c r="B752" s="23" t="s">
        <v>2446</v>
      </c>
      <c r="C752" s="23"/>
      <c r="D752" s="23">
        <v>81.70750000000001</v>
      </c>
      <c r="E752" s="23" t="s">
        <v>632</v>
      </c>
      <c r="F752" s="23" t="s">
        <v>2388</v>
      </c>
      <c r="G752" s="23" t="s">
        <v>897</v>
      </c>
      <c r="H752" s="205" t="s">
        <v>1408</v>
      </c>
      <c r="I752" s="23" t="s">
        <v>2446</v>
      </c>
    </row>
    <row r="753" spans="1:9">
      <c r="A753" s="23" t="s">
        <v>1408</v>
      </c>
      <c r="B753" s="23" t="s">
        <v>2446</v>
      </c>
      <c r="C753" s="23"/>
      <c r="D753" s="23">
        <v>58.362500000000004</v>
      </c>
      <c r="E753" s="23" t="s">
        <v>632</v>
      </c>
      <c r="F753" s="23" t="s">
        <v>735</v>
      </c>
      <c r="G753" s="23" t="s">
        <v>735</v>
      </c>
      <c r="H753" s="205" t="s">
        <v>1408</v>
      </c>
      <c r="I753" s="23" t="s">
        <v>2446</v>
      </c>
    </row>
    <row r="754" spans="1:9">
      <c r="A754" s="23" t="s">
        <v>1408</v>
      </c>
      <c r="B754" s="23" t="s">
        <v>2446</v>
      </c>
      <c r="C754" s="23"/>
      <c r="D754" s="23">
        <v>5.3000000000000007</v>
      </c>
      <c r="E754" s="23" t="s">
        <v>632</v>
      </c>
      <c r="F754" s="23" t="s">
        <v>56</v>
      </c>
      <c r="G754" s="23" t="s">
        <v>56</v>
      </c>
      <c r="H754" s="205" t="s">
        <v>1408</v>
      </c>
      <c r="I754" s="23" t="s">
        <v>2446</v>
      </c>
    </row>
    <row r="755" spans="1:9">
      <c r="A755" s="23" t="s">
        <v>1408</v>
      </c>
      <c r="B755" s="23" t="s">
        <v>2446</v>
      </c>
      <c r="C755" s="23"/>
      <c r="D755" s="23">
        <v>114.3</v>
      </c>
      <c r="E755" s="23" t="s">
        <v>2389</v>
      </c>
      <c r="F755" s="23" t="s">
        <v>2387</v>
      </c>
      <c r="G755" s="23" t="s">
        <v>739</v>
      </c>
      <c r="H755" s="205" t="s">
        <v>1408</v>
      </c>
      <c r="I755" s="23" t="s">
        <v>2446</v>
      </c>
    </row>
    <row r="756" spans="1:9">
      <c r="A756" s="23" t="s">
        <v>1408</v>
      </c>
      <c r="B756" s="23" t="s">
        <v>2446</v>
      </c>
      <c r="C756" s="23"/>
      <c r="D756" s="23">
        <v>88.9</v>
      </c>
      <c r="E756" s="23" t="s">
        <v>2389</v>
      </c>
      <c r="F756" s="23" t="s">
        <v>2388</v>
      </c>
      <c r="G756" s="23" t="s">
        <v>897</v>
      </c>
      <c r="H756" s="205" t="s">
        <v>1408</v>
      </c>
      <c r="I756" s="23" t="s">
        <v>2446</v>
      </c>
    </row>
    <row r="757" spans="1:9">
      <c r="A757" s="23" t="s">
        <v>1408</v>
      </c>
      <c r="B757" s="23" t="s">
        <v>2446</v>
      </c>
      <c r="C757" s="23"/>
      <c r="D757" s="23">
        <v>63.5</v>
      </c>
      <c r="E757" s="23" t="s">
        <v>2389</v>
      </c>
      <c r="F757" s="23" t="s">
        <v>735</v>
      </c>
      <c r="G757" s="23" t="s">
        <v>735</v>
      </c>
      <c r="H757" s="205" t="s">
        <v>1408</v>
      </c>
      <c r="I757" s="23" t="s">
        <v>2446</v>
      </c>
    </row>
    <row r="758" spans="1:9">
      <c r="A758" s="23" t="s">
        <v>1408</v>
      </c>
      <c r="B758" s="23" t="s">
        <v>2446</v>
      </c>
      <c r="C758" s="23"/>
      <c r="D758" s="23">
        <v>5.9</v>
      </c>
      <c r="E758" s="23" t="s">
        <v>2389</v>
      </c>
      <c r="F758" s="23" t="s">
        <v>56</v>
      </c>
      <c r="G758" s="23" t="s">
        <v>56</v>
      </c>
      <c r="H758" s="205" t="s">
        <v>1408</v>
      </c>
      <c r="I758" s="23" t="s">
        <v>2446</v>
      </c>
    </row>
    <row r="759" spans="1:9">
      <c r="A759" s="23" t="s">
        <v>1408</v>
      </c>
      <c r="B759" s="23" t="s">
        <v>2448</v>
      </c>
      <c r="C759" s="23"/>
      <c r="D759" s="23">
        <v>125.54549999999998</v>
      </c>
      <c r="E759" s="23" t="s">
        <v>2385</v>
      </c>
      <c r="F759" s="23" t="s">
        <v>2387</v>
      </c>
      <c r="G759" s="23" t="s">
        <v>739</v>
      </c>
      <c r="H759" s="205" t="s">
        <v>1408</v>
      </c>
      <c r="I759" s="23" t="s">
        <v>2448</v>
      </c>
    </row>
    <row r="760" spans="1:9">
      <c r="A760" s="23" t="s">
        <v>1408</v>
      </c>
      <c r="B760" s="23" t="s">
        <v>2448</v>
      </c>
      <c r="C760" s="23"/>
      <c r="D760" s="23">
        <v>97.646500000000003</v>
      </c>
      <c r="E760" s="23" t="s">
        <v>2385</v>
      </c>
      <c r="F760" s="23" t="s">
        <v>2388</v>
      </c>
      <c r="G760" s="23" t="s">
        <v>897</v>
      </c>
      <c r="H760" s="205" t="s">
        <v>1408</v>
      </c>
      <c r="I760" s="23" t="s">
        <v>2448</v>
      </c>
    </row>
    <row r="761" spans="1:9">
      <c r="A761" s="23" t="s">
        <v>1408</v>
      </c>
      <c r="B761" s="23" t="s">
        <v>2448</v>
      </c>
      <c r="C761" s="23"/>
      <c r="D761" s="23">
        <v>69.747499999999988</v>
      </c>
      <c r="E761" s="23" t="s">
        <v>2385</v>
      </c>
      <c r="F761" s="23" t="s">
        <v>735</v>
      </c>
      <c r="G761" s="23" t="s">
        <v>735</v>
      </c>
      <c r="H761" s="205" t="s">
        <v>1408</v>
      </c>
      <c r="I761" s="23" t="s">
        <v>2448</v>
      </c>
    </row>
    <row r="762" spans="1:9">
      <c r="A762" s="23" t="s">
        <v>1408</v>
      </c>
      <c r="B762" s="23" t="s">
        <v>2448</v>
      </c>
      <c r="C762" s="23"/>
      <c r="D762" s="23">
        <v>9.0500000000000007</v>
      </c>
      <c r="E762" s="23" t="s">
        <v>2385</v>
      </c>
      <c r="F762" s="23" t="s">
        <v>56</v>
      </c>
      <c r="G762" s="23" t="s">
        <v>56</v>
      </c>
      <c r="H762" s="205" t="s">
        <v>1408</v>
      </c>
      <c r="I762" s="23" t="s">
        <v>2448</v>
      </c>
    </row>
    <row r="763" spans="1:9">
      <c r="A763" s="23" t="s">
        <v>1408</v>
      </c>
      <c r="B763" s="23" t="s">
        <v>2448</v>
      </c>
      <c r="C763" s="23"/>
      <c r="D763" s="23">
        <v>134.86049999999997</v>
      </c>
      <c r="E763" s="23" t="s">
        <v>632</v>
      </c>
      <c r="F763" s="23" t="s">
        <v>2387</v>
      </c>
      <c r="G763" s="23" t="s">
        <v>739</v>
      </c>
      <c r="H763" s="205" t="s">
        <v>1408</v>
      </c>
      <c r="I763" s="23" t="s">
        <v>2448</v>
      </c>
    </row>
    <row r="764" spans="1:9">
      <c r="A764" s="23" t="s">
        <v>1408</v>
      </c>
      <c r="B764" s="23" t="s">
        <v>2448</v>
      </c>
      <c r="C764" s="23"/>
      <c r="D764" s="23">
        <v>104.89149999999999</v>
      </c>
      <c r="E764" s="23" t="s">
        <v>632</v>
      </c>
      <c r="F764" s="23" t="s">
        <v>2388</v>
      </c>
      <c r="G764" s="23" t="s">
        <v>897</v>
      </c>
      <c r="H764" s="205" t="s">
        <v>1408</v>
      </c>
      <c r="I764" s="23" t="s">
        <v>2448</v>
      </c>
    </row>
    <row r="765" spans="1:9">
      <c r="A765" s="23" t="s">
        <v>1408</v>
      </c>
      <c r="B765" s="23" t="s">
        <v>2448</v>
      </c>
      <c r="C765" s="23"/>
      <c r="D765" s="23">
        <v>74.922499999999999</v>
      </c>
      <c r="E765" s="23" t="s">
        <v>632</v>
      </c>
      <c r="F765" s="23" t="s">
        <v>735</v>
      </c>
      <c r="G765" s="23" t="s">
        <v>735</v>
      </c>
      <c r="H765" s="205" t="s">
        <v>1408</v>
      </c>
      <c r="I765" s="23" t="s">
        <v>2448</v>
      </c>
    </row>
    <row r="766" spans="1:9">
      <c r="A766" s="23" t="s">
        <v>1408</v>
      </c>
      <c r="B766" s="23" t="s">
        <v>2448</v>
      </c>
      <c r="C766" s="23"/>
      <c r="D766" s="23">
        <v>9.0500000000000007</v>
      </c>
      <c r="E766" s="23" t="s">
        <v>632</v>
      </c>
      <c r="F766" s="23" t="s">
        <v>56</v>
      </c>
      <c r="G766" s="23" t="s">
        <v>56</v>
      </c>
      <c r="H766" s="205" t="s">
        <v>1408</v>
      </c>
      <c r="I766" s="23" t="s">
        <v>2448</v>
      </c>
    </row>
    <row r="767" spans="1:9">
      <c r="A767" s="23" t="s">
        <v>1408</v>
      </c>
      <c r="B767" s="23" t="s">
        <v>2448</v>
      </c>
      <c r="C767" s="23"/>
      <c r="D767" s="23">
        <v>146.69999999999999</v>
      </c>
      <c r="E767" s="23" t="s">
        <v>2389</v>
      </c>
      <c r="F767" s="23" t="s">
        <v>2387</v>
      </c>
      <c r="G767" s="23" t="s">
        <v>739</v>
      </c>
      <c r="H767" s="205" t="s">
        <v>1408</v>
      </c>
      <c r="I767" s="23" t="s">
        <v>2448</v>
      </c>
    </row>
    <row r="768" spans="1:9">
      <c r="A768" s="23" t="s">
        <v>1408</v>
      </c>
      <c r="B768" s="23" t="s">
        <v>2448</v>
      </c>
      <c r="C768" s="23"/>
      <c r="D768" s="23">
        <v>114.10000000000001</v>
      </c>
      <c r="E768" s="23" t="s">
        <v>2389</v>
      </c>
      <c r="F768" s="23" t="s">
        <v>2388</v>
      </c>
      <c r="G768" s="23" t="s">
        <v>897</v>
      </c>
      <c r="H768" s="205" t="s">
        <v>1408</v>
      </c>
      <c r="I768" s="23" t="s">
        <v>2448</v>
      </c>
    </row>
    <row r="769" spans="1:9">
      <c r="A769" s="23" t="s">
        <v>1408</v>
      </c>
      <c r="B769" s="23" t="s">
        <v>2448</v>
      </c>
      <c r="C769" s="23"/>
      <c r="D769" s="23">
        <v>81.5</v>
      </c>
      <c r="E769" s="23" t="s">
        <v>2389</v>
      </c>
      <c r="F769" s="23" t="s">
        <v>735</v>
      </c>
      <c r="G769" s="23" t="s">
        <v>735</v>
      </c>
      <c r="H769" s="205" t="s">
        <v>1408</v>
      </c>
      <c r="I769" s="23" t="s">
        <v>2448</v>
      </c>
    </row>
    <row r="770" spans="1:9">
      <c r="A770" s="23" t="s">
        <v>1408</v>
      </c>
      <c r="B770" s="23" t="s">
        <v>2448</v>
      </c>
      <c r="C770" s="23"/>
      <c r="D770" s="23">
        <v>9.0500000000000007</v>
      </c>
      <c r="E770" s="23" t="s">
        <v>2389</v>
      </c>
      <c r="F770" s="23" t="s">
        <v>56</v>
      </c>
      <c r="G770" s="23" t="s">
        <v>56</v>
      </c>
      <c r="H770" s="205" t="s">
        <v>1408</v>
      </c>
      <c r="I770" s="23" t="s">
        <v>2448</v>
      </c>
    </row>
    <row r="771" spans="1:9">
      <c r="A771" s="23" t="s">
        <v>1408</v>
      </c>
      <c r="B771" s="23" t="s">
        <v>2450</v>
      </c>
      <c r="C771" s="23"/>
      <c r="D771" s="23">
        <v>91.259999999999991</v>
      </c>
      <c r="E771" s="23" t="s">
        <v>2385</v>
      </c>
      <c r="F771" s="23" t="s">
        <v>2387</v>
      </c>
      <c r="G771" s="23" t="s">
        <v>739</v>
      </c>
      <c r="H771" s="205" t="s">
        <v>1408</v>
      </c>
      <c r="I771" s="23" t="s">
        <v>2450</v>
      </c>
    </row>
    <row r="772" spans="1:9">
      <c r="A772" s="23" t="s">
        <v>1408</v>
      </c>
      <c r="B772" s="23" t="s">
        <v>2450</v>
      </c>
      <c r="C772" s="23"/>
      <c r="D772" s="23">
        <v>70.98</v>
      </c>
      <c r="E772" s="23" t="s">
        <v>2385</v>
      </c>
      <c r="F772" s="23" t="s">
        <v>2388</v>
      </c>
      <c r="G772" s="23" t="s">
        <v>897</v>
      </c>
      <c r="H772" s="205" t="s">
        <v>1408</v>
      </c>
      <c r="I772" s="23" t="s">
        <v>2450</v>
      </c>
    </row>
    <row r="773" spans="1:9">
      <c r="A773" s="23" t="s">
        <v>1408</v>
      </c>
      <c r="B773" s="23" t="s">
        <v>2450</v>
      </c>
      <c r="C773" s="23"/>
      <c r="D773" s="23">
        <v>50.7</v>
      </c>
      <c r="E773" s="23" t="s">
        <v>2385</v>
      </c>
      <c r="F773" s="23" t="s">
        <v>735</v>
      </c>
      <c r="G773" s="23" t="s">
        <v>735</v>
      </c>
      <c r="H773" s="205" t="s">
        <v>1408</v>
      </c>
      <c r="I773" s="23" t="s">
        <v>2450</v>
      </c>
    </row>
    <row r="774" spans="1:9">
      <c r="A774" s="23" t="s">
        <v>1408</v>
      </c>
      <c r="B774" s="23" t="s">
        <v>2450</v>
      </c>
      <c r="C774" s="23"/>
      <c r="D774" s="23">
        <v>20.182500000000001</v>
      </c>
      <c r="E774" s="23" t="s">
        <v>2385</v>
      </c>
      <c r="F774" s="23" t="s">
        <v>56</v>
      </c>
      <c r="G774" s="23" t="s">
        <v>56</v>
      </c>
      <c r="H774" s="205" t="s">
        <v>1408</v>
      </c>
      <c r="I774" s="23" t="s">
        <v>2450</v>
      </c>
    </row>
    <row r="775" spans="1:9">
      <c r="A775" s="23" t="s">
        <v>1408</v>
      </c>
      <c r="B775" s="23" t="s">
        <v>2450</v>
      </c>
      <c r="C775" s="23"/>
      <c r="D775" s="23">
        <v>91.259999999999991</v>
      </c>
      <c r="E775" s="23" t="s">
        <v>632</v>
      </c>
      <c r="F775" s="23" t="s">
        <v>2387</v>
      </c>
      <c r="G775" s="23" t="s">
        <v>739</v>
      </c>
      <c r="H775" s="205" t="s">
        <v>1408</v>
      </c>
      <c r="I775" s="23" t="s">
        <v>2450</v>
      </c>
    </row>
    <row r="776" spans="1:9">
      <c r="A776" s="23" t="s">
        <v>1408</v>
      </c>
      <c r="B776" s="23" t="s">
        <v>2450</v>
      </c>
      <c r="C776" s="23"/>
      <c r="D776" s="23">
        <v>70.98</v>
      </c>
      <c r="E776" s="23" t="s">
        <v>632</v>
      </c>
      <c r="F776" s="23" t="s">
        <v>2388</v>
      </c>
      <c r="G776" s="23" t="s">
        <v>897</v>
      </c>
      <c r="H776" s="205" t="s">
        <v>1408</v>
      </c>
      <c r="I776" s="23" t="s">
        <v>2450</v>
      </c>
    </row>
    <row r="777" spans="1:9">
      <c r="A777" s="23" t="s">
        <v>1408</v>
      </c>
      <c r="B777" s="23" t="s">
        <v>2450</v>
      </c>
      <c r="C777" s="23"/>
      <c r="D777" s="23">
        <v>50.7</v>
      </c>
      <c r="E777" s="23" t="s">
        <v>632</v>
      </c>
      <c r="F777" s="23" t="s">
        <v>735</v>
      </c>
      <c r="G777" s="23" t="s">
        <v>735</v>
      </c>
      <c r="H777" s="205" t="s">
        <v>1408</v>
      </c>
      <c r="I777" s="23" t="s">
        <v>2450</v>
      </c>
    </row>
    <row r="778" spans="1:9">
      <c r="A778" s="23" t="s">
        <v>1408</v>
      </c>
      <c r="B778" s="23" t="s">
        <v>2450</v>
      </c>
      <c r="C778" s="23"/>
      <c r="D778" s="23">
        <v>20.239999999999998</v>
      </c>
      <c r="E778" s="23" t="s">
        <v>632</v>
      </c>
      <c r="F778" s="23" t="s">
        <v>56</v>
      </c>
      <c r="G778" s="23" t="s">
        <v>56</v>
      </c>
      <c r="H778" s="205" t="s">
        <v>1408</v>
      </c>
      <c r="I778" s="23" t="s">
        <v>2450</v>
      </c>
    </row>
    <row r="779" spans="1:9">
      <c r="A779" s="23" t="s">
        <v>1408</v>
      </c>
      <c r="B779" s="23" t="s">
        <v>2450</v>
      </c>
      <c r="C779" s="23"/>
      <c r="D779" s="23">
        <v>124.19999999999999</v>
      </c>
      <c r="E779" s="23" t="s">
        <v>2389</v>
      </c>
      <c r="F779" s="23" t="s">
        <v>2387</v>
      </c>
      <c r="G779" s="23" t="s">
        <v>739</v>
      </c>
      <c r="H779" s="205" t="s">
        <v>1408</v>
      </c>
      <c r="I779" s="23" t="s">
        <v>2450</v>
      </c>
    </row>
    <row r="780" spans="1:9">
      <c r="A780" s="23" t="s">
        <v>1408</v>
      </c>
      <c r="B780" s="23" t="s">
        <v>2450</v>
      </c>
      <c r="C780" s="23"/>
      <c r="D780" s="23">
        <v>96.600000000000009</v>
      </c>
      <c r="E780" s="23" t="s">
        <v>2389</v>
      </c>
      <c r="F780" s="23" t="s">
        <v>2388</v>
      </c>
      <c r="G780" s="23" t="s">
        <v>897</v>
      </c>
      <c r="H780" s="205" t="s">
        <v>1408</v>
      </c>
      <c r="I780" s="23" t="s">
        <v>2450</v>
      </c>
    </row>
    <row r="781" spans="1:9">
      <c r="A781" s="23" t="s">
        <v>1408</v>
      </c>
      <c r="B781" s="23" t="s">
        <v>2450</v>
      </c>
      <c r="C781" s="23"/>
      <c r="D781" s="23">
        <v>69</v>
      </c>
      <c r="E781" s="23" t="s">
        <v>2389</v>
      </c>
      <c r="F781" s="23" t="s">
        <v>735</v>
      </c>
      <c r="G781" s="23" t="s">
        <v>735</v>
      </c>
      <c r="H781" s="205" t="s">
        <v>1408</v>
      </c>
      <c r="I781" s="23" t="s">
        <v>2450</v>
      </c>
    </row>
    <row r="782" spans="1:9">
      <c r="A782" s="23" t="s">
        <v>1408</v>
      </c>
      <c r="B782" s="23" t="s">
        <v>2450</v>
      </c>
      <c r="C782" s="23"/>
      <c r="D782" s="23">
        <v>20.25</v>
      </c>
      <c r="E782" s="23" t="s">
        <v>2389</v>
      </c>
      <c r="F782" s="23" t="s">
        <v>56</v>
      </c>
      <c r="G782" s="23" t="s">
        <v>56</v>
      </c>
      <c r="H782" s="205" t="s">
        <v>1408</v>
      </c>
      <c r="I782" s="23" t="s">
        <v>2450</v>
      </c>
    </row>
    <row r="783" spans="1:9">
      <c r="A783" s="23" t="s">
        <v>1408</v>
      </c>
      <c r="B783" s="23" t="s">
        <v>2452</v>
      </c>
      <c r="C783" s="23"/>
      <c r="D783" s="23">
        <v>98.28</v>
      </c>
      <c r="E783" s="23" t="s">
        <v>2385</v>
      </c>
      <c r="F783" s="23" t="s">
        <v>2387</v>
      </c>
      <c r="G783" s="23" t="s">
        <v>739</v>
      </c>
      <c r="H783" s="205" t="s">
        <v>1408</v>
      </c>
      <c r="I783" s="23" t="s">
        <v>2452</v>
      </c>
    </row>
    <row r="784" spans="1:9">
      <c r="A784" s="23" t="s">
        <v>1408</v>
      </c>
      <c r="B784" s="23" t="s">
        <v>2452</v>
      </c>
      <c r="C784" s="23"/>
      <c r="D784" s="23">
        <v>76.440000000000012</v>
      </c>
      <c r="E784" s="23" t="s">
        <v>2385</v>
      </c>
      <c r="F784" s="23" t="s">
        <v>2388</v>
      </c>
      <c r="G784" s="23" t="s">
        <v>897</v>
      </c>
      <c r="H784" s="205" t="s">
        <v>1408</v>
      </c>
      <c r="I784" s="23" t="s">
        <v>2452</v>
      </c>
    </row>
    <row r="785" spans="1:9">
      <c r="A785" s="23" t="s">
        <v>1408</v>
      </c>
      <c r="B785" s="23" t="s">
        <v>2452</v>
      </c>
      <c r="C785" s="23"/>
      <c r="D785" s="23">
        <v>54.6</v>
      </c>
      <c r="E785" s="23" t="s">
        <v>2385</v>
      </c>
      <c r="F785" s="23" t="s">
        <v>735</v>
      </c>
      <c r="G785" s="23" t="s">
        <v>735</v>
      </c>
      <c r="H785" s="205" t="s">
        <v>1408</v>
      </c>
      <c r="I785" s="23" t="s">
        <v>2452</v>
      </c>
    </row>
    <row r="786" spans="1:9">
      <c r="A786" s="23" t="s">
        <v>1408</v>
      </c>
      <c r="B786" s="23" t="s">
        <v>2452</v>
      </c>
      <c r="C786" s="23"/>
      <c r="D786" s="23">
        <v>2.99</v>
      </c>
      <c r="E786" s="23" t="s">
        <v>2385</v>
      </c>
      <c r="F786" s="23" t="s">
        <v>56</v>
      </c>
      <c r="G786" s="23" t="s">
        <v>56</v>
      </c>
      <c r="H786" s="205" t="s">
        <v>1408</v>
      </c>
      <c r="I786" s="23" t="s">
        <v>2452</v>
      </c>
    </row>
    <row r="787" spans="1:9">
      <c r="A787" s="23" t="s">
        <v>1408</v>
      </c>
      <c r="B787" s="23" t="s">
        <v>2452</v>
      </c>
      <c r="C787" s="23"/>
      <c r="D787" s="23">
        <v>98.28</v>
      </c>
      <c r="E787" s="23" t="s">
        <v>632</v>
      </c>
      <c r="F787" s="23" t="s">
        <v>2387</v>
      </c>
      <c r="G787" s="23" t="s">
        <v>739</v>
      </c>
      <c r="H787" s="205" t="s">
        <v>1408</v>
      </c>
      <c r="I787" s="23" t="s">
        <v>2452</v>
      </c>
    </row>
    <row r="788" spans="1:9">
      <c r="A788" s="23" t="s">
        <v>1408</v>
      </c>
      <c r="B788" s="23" t="s">
        <v>2452</v>
      </c>
      <c r="C788" s="23"/>
      <c r="D788" s="23">
        <v>76.440000000000012</v>
      </c>
      <c r="E788" s="23" t="s">
        <v>632</v>
      </c>
      <c r="F788" s="23" t="s">
        <v>2388</v>
      </c>
      <c r="G788" s="23" t="s">
        <v>897</v>
      </c>
      <c r="H788" s="205" t="s">
        <v>1408</v>
      </c>
      <c r="I788" s="23" t="s">
        <v>2452</v>
      </c>
    </row>
    <row r="789" spans="1:9">
      <c r="A789" s="23" t="s">
        <v>1408</v>
      </c>
      <c r="B789" s="23" t="s">
        <v>2452</v>
      </c>
      <c r="C789" s="23"/>
      <c r="D789" s="23">
        <v>54.6</v>
      </c>
      <c r="E789" s="23" t="s">
        <v>632</v>
      </c>
      <c r="F789" s="23" t="s">
        <v>735</v>
      </c>
      <c r="G789" s="23" t="s">
        <v>735</v>
      </c>
      <c r="H789" s="205" t="s">
        <v>1408</v>
      </c>
      <c r="I789" s="23" t="s">
        <v>2452</v>
      </c>
    </row>
    <row r="790" spans="1:9">
      <c r="A790" s="23" t="s">
        <v>1408</v>
      </c>
      <c r="B790" s="23" t="s">
        <v>2452</v>
      </c>
      <c r="C790" s="23"/>
      <c r="D790" s="23">
        <v>3.7375000000000003</v>
      </c>
      <c r="E790" s="23" t="s">
        <v>632</v>
      </c>
      <c r="F790" s="23" t="s">
        <v>56</v>
      </c>
      <c r="G790" s="23" t="s">
        <v>56</v>
      </c>
      <c r="H790" s="205" t="s">
        <v>1408</v>
      </c>
      <c r="I790" s="23" t="s">
        <v>2452</v>
      </c>
    </row>
    <row r="791" spans="1:9">
      <c r="A791" s="23" t="s">
        <v>1408</v>
      </c>
      <c r="B791" s="23" t="s">
        <v>2452</v>
      </c>
      <c r="C791" s="23"/>
      <c r="D791" s="23">
        <v>114.75</v>
      </c>
      <c r="E791" s="23" t="s">
        <v>2389</v>
      </c>
      <c r="F791" s="23" t="s">
        <v>2387</v>
      </c>
      <c r="G791" s="23" t="s">
        <v>739</v>
      </c>
      <c r="H791" s="205" t="s">
        <v>1408</v>
      </c>
      <c r="I791" s="23" t="s">
        <v>2452</v>
      </c>
    </row>
    <row r="792" spans="1:9">
      <c r="A792" s="23" t="s">
        <v>1408</v>
      </c>
      <c r="B792" s="23" t="s">
        <v>2452</v>
      </c>
      <c r="C792" s="23"/>
      <c r="D792" s="23">
        <v>89.250000000000014</v>
      </c>
      <c r="E792" s="23" t="s">
        <v>2389</v>
      </c>
      <c r="F792" s="23" t="s">
        <v>2388</v>
      </c>
      <c r="G792" s="23" t="s">
        <v>897</v>
      </c>
      <c r="H792" s="205" t="s">
        <v>1408</v>
      </c>
      <c r="I792" s="23" t="s">
        <v>2452</v>
      </c>
    </row>
    <row r="793" spans="1:9">
      <c r="A793" s="23" t="s">
        <v>1408</v>
      </c>
      <c r="B793" s="23" t="s">
        <v>2452</v>
      </c>
      <c r="C793" s="23"/>
      <c r="D793" s="23">
        <v>63.75</v>
      </c>
      <c r="E793" s="23" t="s">
        <v>2389</v>
      </c>
      <c r="F793" s="23" t="s">
        <v>735</v>
      </c>
      <c r="G793" s="23" t="s">
        <v>735</v>
      </c>
      <c r="H793" s="205" t="s">
        <v>1408</v>
      </c>
      <c r="I793" s="23" t="s">
        <v>2452</v>
      </c>
    </row>
    <row r="794" spans="1:9">
      <c r="A794" s="23" t="s">
        <v>1408</v>
      </c>
      <c r="B794" s="23" t="s">
        <v>2452</v>
      </c>
      <c r="C794" s="23"/>
      <c r="D794" s="23">
        <v>3.9099999999999997</v>
      </c>
      <c r="E794" s="23" t="s">
        <v>2389</v>
      </c>
      <c r="F794" s="23" t="s">
        <v>56</v>
      </c>
      <c r="G794" s="23" t="s">
        <v>56</v>
      </c>
      <c r="H794" s="205" t="s">
        <v>1408</v>
      </c>
      <c r="I794" s="23" t="s">
        <v>2452</v>
      </c>
    </row>
    <row r="795" spans="1:9">
      <c r="A795" s="23" t="s">
        <v>1408</v>
      </c>
      <c r="B795" s="23" t="s">
        <v>2454</v>
      </c>
      <c r="C795" s="23"/>
      <c r="D795" s="23">
        <v>157.73399999999998</v>
      </c>
      <c r="E795" s="23" t="s">
        <v>2385</v>
      </c>
      <c r="F795" s="23" t="s">
        <v>2387</v>
      </c>
      <c r="G795" s="23" t="s">
        <v>739</v>
      </c>
      <c r="H795" s="205" t="s">
        <v>1408</v>
      </c>
      <c r="I795" s="23" t="s">
        <v>2454</v>
      </c>
    </row>
    <row r="796" spans="1:9">
      <c r="A796" s="23" t="s">
        <v>1408</v>
      </c>
      <c r="B796" s="23" t="s">
        <v>2454</v>
      </c>
      <c r="C796" s="23"/>
      <c r="D796" s="23">
        <v>122.682</v>
      </c>
      <c r="E796" s="23" t="s">
        <v>2385</v>
      </c>
      <c r="F796" s="23" t="s">
        <v>2388</v>
      </c>
      <c r="G796" s="23" t="s">
        <v>897</v>
      </c>
      <c r="H796" s="205" t="s">
        <v>1408</v>
      </c>
      <c r="I796" s="23" t="s">
        <v>2454</v>
      </c>
    </row>
    <row r="797" spans="1:9">
      <c r="A797" s="23" t="s">
        <v>1408</v>
      </c>
      <c r="B797" s="23" t="s">
        <v>2454</v>
      </c>
      <c r="C797" s="23"/>
      <c r="D797" s="23">
        <v>87.63</v>
      </c>
      <c r="E797" s="23" t="s">
        <v>2385</v>
      </c>
      <c r="F797" s="23" t="s">
        <v>735</v>
      </c>
      <c r="G797" s="23" t="s">
        <v>735</v>
      </c>
      <c r="H797" s="205" t="s">
        <v>1408</v>
      </c>
      <c r="I797" s="23" t="s">
        <v>2454</v>
      </c>
    </row>
    <row r="798" spans="1:9">
      <c r="A798" s="23" t="s">
        <v>1408</v>
      </c>
      <c r="B798" s="23" t="s">
        <v>2454</v>
      </c>
      <c r="C798" s="23"/>
      <c r="D798" s="23">
        <v>8.625</v>
      </c>
      <c r="E798" s="23" t="s">
        <v>2385</v>
      </c>
      <c r="F798" s="23" t="s">
        <v>56</v>
      </c>
      <c r="G798" s="23" t="s">
        <v>56</v>
      </c>
      <c r="H798" s="205" t="s">
        <v>1408</v>
      </c>
      <c r="I798" s="23" t="s">
        <v>2454</v>
      </c>
    </row>
    <row r="799" spans="1:9">
      <c r="A799" s="23" t="s">
        <v>1408</v>
      </c>
      <c r="B799" s="23" t="s">
        <v>2454</v>
      </c>
      <c r="C799" s="23"/>
      <c r="D799" s="23">
        <v>162.702</v>
      </c>
      <c r="E799" s="23" t="s">
        <v>632</v>
      </c>
      <c r="F799" s="23" t="s">
        <v>2387</v>
      </c>
      <c r="G799" s="23" t="s">
        <v>739</v>
      </c>
      <c r="H799" s="205" t="s">
        <v>1408</v>
      </c>
      <c r="I799" s="23" t="s">
        <v>2454</v>
      </c>
    </row>
    <row r="800" spans="1:9">
      <c r="A800" s="23" t="s">
        <v>1408</v>
      </c>
      <c r="B800" s="23" t="s">
        <v>2454</v>
      </c>
      <c r="C800" s="23"/>
      <c r="D800" s="23">
        <v>126.54600000000001</v>
      </c>
      <c r="E800" s="23" t="s">
        <v>632</v>
      </c>
      <c r="F800" s="23" t="s">
        <v>2388</v>
      </c>
      <c r="G800" s="23" t="s">
        <v>897</v>
      </c>
      <c r="H800" s="205" t="s">
        <v>1408</v>
      </c>
      <c r="I800" s="23" t="s">
        <v>2454</v>
      </c>
    </row>
    <row r="801" spans="1:9">
      <c r="A801" s="23" t="s">
        <v>1408</v>
      </c>
      <c r="B801" s="23" t="s">
        <v>2454</v>
      </c>
      <c r="C801" s="23"/>
      <c r="D801" s="23">
        <v>90.39</v>
      </c>
      <c r="E801" s="23" t="s">
        <v>632</v>
      </c>
      <c r="F801" s="23" t="s">
        <v>735</v>
      </c>
      <c r="G801" s="23" t="s">
        <v>735</v>
      </c>
      <c r="H801" s="205" t="s">
        <v>1408</v>
      </c>
      <c r="I801" s="23" t="s">
        <v>2454</v>
      </c>
    </row>
    <row r="802" spans="1:9">
      <c r="A802" s="23" t="s">
        <v>1408</v>
      </c>
      <c r="B802" s="23" t="s">
        <v>2454</v>
      </c>
      <c r="C802" s="23"/>
      <c r="D802" s="23">
        <v>8.65</v>
      </c>
      <c r="E802" s="23" t="s">
        <v>632</v>
      </c>
      <c r="F802" s="23" t="s">
        <v>56</v>
      </c>
      <c r="G802" s="23" t="s">
        <v>56</v>
      </c>
      <c r="H802" s="205" t="s">
        <v>1408</v>
      </c>
      <c r="I802" s="23" t="s">
        <v>2454</v>
      </c>
    </row>
    <row r="803" spans="1:9">
      <c r="A803" s="23" t="s">
        <v>1408</v>
      </c>
      <c r="B803" s="23" t="s">
        <v>2454</v>
      </c>
      <c r="C803" s="23"/>
      <c r="D803" s="23">
        <v>180</v>
      </c>
      <c r="E803" s="23" t="s">
        <v>2389</v>
      </c>
      <c r="F803" s="23" t="s">
        <v>2387</v>
      </c>
      <c r="G803" s="23" t="s">
        <v>739</v>
      </c>
      <c r="H803" s="205" t="s">
        <v>1408</v>
      </c>
      <c r="I803" s="23" t="s">
        <v>2454</v>
      </c>
    </row>
    <row r="804" spans="1:9">
      <c r="A804" s="23" t="s">
        <v>1408</v>
      </c>
      <c r="B804" s="23" t="s">
        <v>2454</v>
      </c>
      <c r="C804" s="23"/>
      <c r="D804" s="23">
        <v>140</v>
      </c>
      <c r="E804" s="23" t="s">
        <v>2389</v>
      </c>
      <c r="F804" s="23" t="s">
        <v>2388</v>
      </c>
      <c r="G804" s="23" t="s">
        <v>897</v>
      </c>
      <c r="H804" s="205" t="s">
        <v>1408</v>
      </c>
      <c r="I804" s="23" t="s">
        <v>2454</v>
      </c>
    </row>
    <row r="805" spans="1:9">
      <c r="A805" s="23" t="s">
        <v>1408</v>
      </c>
      <c r="B805" s="23" t="s">
        <v>2454</v>
      </c>
      <c r="C805" s="23"/>
      <c r="D805" s="23">
        <v>100</v>
      </c>
      <c r="E805" s="23" t="s">
        <v>2389</v>
      </c>
      <c r="F805" s="23" t="s">
        <v>735</v>
      </c>
      <c r="G805" s="23" t="s">
        <v>735</v>
      </c>
      <c r="H805" s="205" t="s">
        <v>1408</v>
      </c>
      <c r="I805" s="23" t="s">
        <v>2454</v>
      </c>
    </row>
    <row r="806" spans="1:9">
      <c r="A806" s="23" t="s">
        <v>1408</v>
      </c>
      <c r="B806" s="23" t="s">
        <v>2454</v>
      </c>
      <c r="C806" s="23"/>
      <c r="D806" s="23">
        <v>8.65</v>
      </c>
      <c r="E806" s="23" t="s">
        <v>2389</v>
      </c>
      <c r="F806" s="23" t="s">
        <v>56</v>
      </c>
      <c r="G806" s="23" t="s">
        <v>56</v>
      </c>
      <c r="H806" s="205" t="s">
        <v>1408</v>
      </c>
      <c r="I806" s="23" t="s">
        <v>2454</v>
      </c>
    </row>
    <row r="807" spans="1:9">
      <c r="A807" s="23" t="s">
        <v>1408</v>
      </c>
      <c r="B807" s="23" t="s">
        <v>2456</v>
      </c>
      <c r="C807" s="23"/>
      <c r="D807" s="23">
        <v>76.796999999999997</v>
      </c>
      <c r="E807" s="23" t="s">
        <v>2385</v>
      </c>
      <c r="F807" s="23" t="s">
        <v>2387</v>
      </c>
      <c r="G807" s="23" t="s">
        <v>739</v>
      </c>
      <c r="H807" s="205" t="s">
        <v>1408</v>
      </c>
      <c r="I807" s="23" t="s">
        <v>2456</v>
      </c>
    </row>
    <row r="808" spans="1:9">
      <c r="A808" s="23" t="s">
        <v>1408</v>
      </c>
      <c r="B808" s="23" t="s">
        <v>2456</v>
      </c>
      <c r="C808" s="23"/>
      <c r="D808" s="23">
        <v>59.731000000000002</v>
      </c>
      <c r="E808" s="23" t="s">
        <v>2385</v>
      </c>
      <c r="F808" s="23" t="s">
        <v>2388</v>
      </c>
      <c r="G808" s="23" t="s">
        <v>897</v>
      </c>
      <c r="H808" s="205" t="s">
        <v>1408</v>
      </c>
      <c r="I808" s="23" t="s">
        <v>2456</v>
      </c>
    </row>
    <row r="809" spans="1:9">
      <c r="A809" s="23" t="s">
        <v>1408</v>
      </c>
      <c r="B809" s="23" t="s">
        <v>2456</v>
      </c>
      <c r="C809" s="23"/>
      <c r="D809" s="23">
        <v>42.664999999999999</v>
      </c>
      <c r="E809" s="23" t="s">
        <v>2385</v>
      </c>
      <c r="F809" s="23" t="s">
        <v>735</v>
      </c>
      <c r="G809" s="23" t="s">
        <v>735</v>
      </c>
      <c r="H809" s="205" t="s">
        <v>1408</v>
      </c>
      <c r="I809" s="23" t="s">
        <v>2456</v>
      </c>
    </row>
    <row r="810" spans="1:9">
      <c r="A810" s="23" t="s">
        <v>1408</v>
      </c>
      <c r="B810" s="23" t="s">
        <v>2456</v>
      </c>
      <c r="C810" s="23"/>
      <c r="D810" s="23">
        <v>1.25</v>
      </c>
      <c r="E810" s="23" t="s">
        <v>2385</v>
      </c>
      <c r="F810" s="23" t="s">
        <v>56</v>
      </c>
      <c r="G810" s="23" t="s">
        <v>56</v>
      </c>
      <c r="H810" s="205" t="s">
        <v>1408</v>
      </c>
      <c r="I810" s="23" t="s">
        <v>2456</v>
      </c>
    </row>
    <row r="811" spans="1:9">
      <c r="A811" s="23" t="s">
        <v>1408</v>
      </c>
      <c r="B811" s="23" t="s">
        <v>2456</v>
      </c>
      <c r="C811" s="23"/>
      <c r="D811" s="23">
        <v>85.180499999999995</v>
      </c>
      <c r="E811" s="23" t="s">
        <v>632</v>
      </c>
      <c r="F811" s="23" t="s">
        <v>2387</v>
      </c>
      <c r="G811" s="23" t="s">
        <v>739</v>
      </c>
      <c r="H811" s="205" t="s">
        <v>1408</v>
      </c>
      <c r="I811" s="23" t="s">
        <v>2456</v>
      </c>
    </row>
    <row r="812" spans="1:9">
      <c r="A812" s="23" t="s">
        <v>1408</v>
      </c>
      <c r="B812" s="23" t="s">
        <v>2456</v>
      </c>
      <c r="C812" s="23"/>
      <c r="D812" s="23">
        <v>66.251500000000007</v>
      </c>
      <c r="E812" s="23" t="s">
        <v>632</v>
      </c>
      <c r="F812" s="23" t="s">
        <v>2388</v>
      </c>
      <c r="G812" s="23" t="s">
        <v>897</v>
      </c>
      <c r="H812" s="205" t="s">
        <v>1408</v>
      </c>
      <c r="I812" s="23" t="s">
        <v>2456</v>
      </c>
    </row>
    <row r="813" spans="1:9">
      <c r="A813" s="23" t="s">
        <v>1408</v>
      </c>
      <c r="B813" s="23" t="s">
        <v>2456</v>
      </c>
      <c r="C813" s="23"/>
      <c r="D813" s="23">
        <v>47.322499999999998</v>
      </c>
      <c r="E813" s="23" t="s">
        <v>632</v>
      </c>
      <c r="F813" s="23" t="s">
        <v>735</v>
      </c>
      <c r="G813" s="23" t="s">
        <v>735</v>
      </c>
      <c r="H813" s="205" t="s">
        <v>1408</v>
      </c>
      <c r="I813" s="23" t="s">
        <v>2456</v>
      </c>
    </row>
    <row r="814" spans="1:9">
      <c r="A814" s="23" t="s">
        <v>1408</v>
      </c>
      <c r="B814" s="23" t="s">
        <v>2456</v>
      </c>
      <c r="C814" s="23"/>
      <c r="D814" s="23">
        <v>1.25</v>
      </c>
      <c r="E814" s="23" t="s">
        <v>632</v>
      </c>
      <c r="F814" s="23" t="s">
        <v>56</v>
      </c>
      <c r="G814" s="23" t="s">
        <v>56</v>
      </c>
      <c r="H814" s="205" t="s">
        <v>1408</v>
      </c>
      <c r="I814" s="23" t="s">
        <v>2456</v>
      </c>
    </row>
    <row r="815" spans="1:9">
      <c r="A815" s="23" t="s">
        <v>1408</v>
      </c>
      <c r="B815" s="23" t="s">
        <v>2456</v>
      </c>
      <c r="C815" s="23"/>
      <c r="D815" s="23">
        <v>114.3</v>
      </c>
      <c r="E815" s="23" t="s">
        <v>2389</v>
      </c>
      <c r="F815" s="23" t="s">
        <v>2387</v>
      </c>
      <c r="G815" s="23" t="s">
        <v>739</v>
      </c>
      <c r="H815" s="205" t="s">
        <v>1408</v>
      </c>
      <c r="I815" s="23" t="s">
        <v>2456</v>
      </c>
    </row>
    <row r="816" spans="1:9">
      <c r="A816" s="23" t="s">
        <v>1408</v>
      </c>
      <c r="B816" s="23" t="s">
        <v>2456</v>
      </c>
      <c r="C816" s="23"/>
      <c r="D816" s="23">
        <v>88.9</v>
      </c>
      <c r="E816" s="23" t="s">
        <v>2389</v>
      </c>
      <c r="F816" s="23" t="s">
        <v>2388</v>
      </c>
      <c r="G816" s="23" t="s">
        <v>897</v>
      </c>
      <c r="H816" s="205" t="s">
        <v>1408</v>
      </c>
      <c r="I816" s="23" t="s">
        <v>2456</v>
      </c>
    </row>
    <row r="817" spans="1:9">
      <c r="A817" s="23" t="s">
        <v>1408</v>
      </c>
      <c r="B817" s="23" t="s">
        <v>2456</v>
      </c>
      <c r="C817" s="23"/>
      <c r="D817" s="23">
        <v>63.5</v>
      </c>
      <c r="E817" s="23" t="s">
        <v>2389</v>
      </c>
      <c r="F817" s="23" t="s">
        <v>735</v>
      </c>
      <c r="G817" s="23" t="s">
        <v>735</v>
      </c>
      <c r="H817" s="205" t="s">
        <v>1408</v>
      </c>
      <c r="I817" s="23" t="s">
        <v>2456</v>
      </c>
    </row>
    <row r="818" spans="1:9">
      <c r="A818" s="23" t="s">
        <v>1408</v>
      </c>
      <c r="B818" s="23" t="s">
        <v>2456</v>
      </c>
      <c r="C818" s="23"/>
      <c r="D818" s="23">
        <v>1.25</v>
      </c>
      <c r="E818" s="23" t="s">
        <v>2389</v>
      </c>
      <c r="F818" s="23" t="s">
        <v>56</v>
      </c>
      <c r="G818" s="23" t="s">
        <v>56</v>
      </c>
      <c r="H818" s="205" t="s">
        <v>1408</v>
      </c>
      <c r="I818" s="23" t="s">
        <v>2456</v>
      </c>
    </row>
    <row r="819" spans="1:9">
      <c r="A819" s="23" t="s">
        <v>1408</v>
      </c>
      <c r="B819" s="23" t="s">
        <v>2458</v>
      </c>
      <c r="C819" s="23"/>
      <c r="D819" s="23">
        <v>68.309999999999988</v>
      </c>
      <c r="E819" s="23" t="s">
        <v>2385</v>
      </c>
      <c r="F819" s="23" t="s">
        <v>2387</v>
      </c>
      <c r="G819" s="23" t="s">
        <v>739</v>
      </c>
      <c r="H819" s="205" t="s">
        <v>1408</v>
      </c>
      <c r="I819" s="23" t="s">
        <v>2458</v>
      </c>
    </row>
    <row r="820" spans="1:9">
      <c r="A820" s="23" t="s">
        <v>1408</v>
      </c>
      <c r="B820" s="23" t="s">
        <v>2458</v>
      </c>
      <c r="C820" s="23"/>
      <c r="D820" s="23">
        <v>53.129999999999995</v>
      </c>
      <c r="E820" s="23" t="s">
        <v>2385</v>
      </c>
      <c r="F820" s="23" t="s">
        <v>2388</v>
      </c>
      <c r="G820" s="23" t="s">
        <v>897</v>
      </c>
      <c r="H820" s="205" t="s">
        <v>1408</v>
      </c>
      <c r="I820" s="23" t="s">
        <v>2458</v>
      </c>
    </row>
    <row r="821" spans="1:9">
      <c r="A821" s="23" t="s">
        <v>1408</v>
      </c>
      <c r="B821" s="23" t="s">
        <v>2458</v>
      </c>
      <c r="C821" s="23"/>
      <c r="D821" s="23">
        <v>37.949999999999996</v>
      </c>
      <c r="E821" s="23" t="s">
        <v>2385</v>
      </c>
      <c r="F821" s="23" t="s">
        <v>735</v>
      </c>
      <c r="G821" s="23" t="s">
        <v>735</v>
      </c>
      <c r="H821" s="205" t="s">
        <v>1408</v>
      </c>
      <c r="I821" s="23" t="s">
        <v>2458</v>
      </c>
    </row>
    <row r="822" spans="1:9">
      <c r="A822" s="23" t="s">
        <v>1408</v>
      </c>
      <c r="B822" s="23" t="s">
        <v>2458</v>
      </c>
      <c r="C822" s="23"/>
      <c r="D822" s="23">
        <v>0.40249999999999997</v>
      </c>
      <c r="E822" s="23" t="s">
        <v>2385</v>
      </c>
      <c r="F822" s="23" t="s">
        <v>56</v>
      </c>
      <c r="G822" s="23" t="s">
        <v>56</v>
      </c>
      <c r="H822" s="205" t="s">
        <v>1408</v>
      </c>
      <c r="I822" s="23" t="s">
        <v>2458</v>
      </c>
    </row>
    <row r="823" spans="1:9">
      <c r="A823" s="23" t="s">
        <v>1408</v>
      </c>
      <c r="B823" s="23" t="s">
        <v>2458</v>
      </c>
      <c r="C823" s="23"/>
      <c r="D823" s="23">
        <v>78.245999999999995</v>
      </c>
      <c r="E823" s="23" t="s">
        <v>632</v>
      </c>
      <c r="F823" s="23" t="s">
        <v>2387</v>
      </c>
      <c r="G823" s="23" t="s">
        <v>739</v>
      </c>
      <c r="H823" s="205" t="s">
        <v>1408</v>
      </c>
      <c r="I823" s="23" t="s">
        <v>2458</v>
      </c>
    </row>
    <row r="824" spans="1:9">
      <c r="A824" s="23" t="s">
        <v>1408</v>
      </c>
      <c r="B824" s="23" t="s">
        <v>2458</v>
      </c>
      <c r="C824" s="23"/>
      <c r="D824" s="23">
        <v>60.858000000000004</v>
      </c>
      <c r="E824" s="23" t="s">
        <v>632</v>
      </c>
      <c r="F824" s="23" t="s">
        <v>2388</v>
      </c>
      <c r="G824" s="23" t="s">
        <v>897</v>
      </c>
      <c r="H824" s="205" t="s">
        <v>1408</v>
      </c>
      <c r="I824" s="23" t="s">
        <v>2458</v>
      </c>
    </row>
    <row r="825" spans="1:9">
      <c r="A825" s="23" t="s">
        <v>1408</v>
      </c>
      <c r="B825" s="23" t="s">
        <v>2458</v>
      </c>
      <c r="C825" s="23"/>
      <c r="D825" s="23">
        <v>43.47</v>
      </c>
      <c r="E825" s="23" t="s">
        <v>632</v>
      </c>
      <c r="F825" s="23" t="s">
        <v>735</v>
      </c>
      <c r="G825" s="23" t="s">
        <v>735</v>
      </c>
      <c r="H825" s="205" t="s">
        <v>1408</v>
      </c>
      <c r="I825" s="23" t="s">
        <v>2458</v>
      </c>
    </row>
    <row r="826" spans="1:9">
      <c r="A826" s="23" t="s">
        <v>1408</v>
      </c>
      <c r="B826" s="23" t="s">
        <v>2458</v>
      </c>
      <c r="C826" s="23"/>
      <c r="D826" s="23">
        <v>82.8</v>
      </c>
      <c r="E826" s="23" t="s">
        <v>2389</v>
      </c>
      <c r="F826" s="23" t="s">
        <v>2387</v>
      </c>
      <c r="G826" s="23" t="s">
        <v>739</v>
      </c>
      <c r="H826" s="205" t="s">
        <v>1408</v>
      </c>
      <c r="I826" s="23" t="s">
        <v>2458</v>
      </c>
    </row>
    <row r="827" spans="1:9">
      <c r="A827" s="23" t="s">
        <v>1408</v>
      </c>
      <c r="B827" s="23" t="s">
        <v>2458</v>
      </c>
      <c r="C827" s="23"/>
      <c r="D827" s="23">
        <v>64.400000000000006</v>
      </c>
      <c r="E827" s="23" t="s">
        <v>2389</v>
      </c>
      <c r="F827" s="23" t="s">
        <v>2388</v>
      </c>
      <c r="G827" s="23" t="s">
        <v>897</v>
      </c>
      <c r="H827" s="205" t="s">
        <v>1408</v>
      </c>
      <c r="I827" s="23" t="s">
        <v>2458</v>
      </c>
    </row>
    <row r="828" spans="1:9">
      <c r="A828" s="23" t="s">
        <v>1408</v>
      </c>
      <c r="B828" s="23" t="s">
        <v>2458</v>
      </c>
      <c r="C828" s="23"/>
      <c r="D828" s="23">
        <v>46</v>
      </c>
      <c r="E828" s="23" t="s">
        <v>2389</v>
      </c>
      <c r="F828" s="23" t="s">
        <v>735</v>
      </c>
      <c r="G828" s="23" t="s">
        <v>735</v>
      </c>
      <c r="H828" s="205" t="s">
        <v>1408</v>
      </c>
      <c r="I828" s="23" t="s">
        <v>2458</v>
      </c>
    </row>
    <row r="829" spans="1:9">
      <c r="A829" s="23" t="s">
        <v>1408</v>
      </c>
      <c r="B829" s="23" t="s">
        <v>2460</v>
      </c>
      <c r="C829" s="23"/>
      <c r="D829" s="23">
        <v>9.629999999999999</v>
      </c>
      <c r="E829" s="23" t="s">
        <v>2385</v>
      </c>
      <c r="F829" s="23" t="s">
        <v>2387</v>
      </c>
      <c r="G829" s="23" t="s">
        <v>739</v>
      </c>
      <c r="H829" s="205" t="s">
        <v>1408</v>
      </c>
      <c r="I829" s="23" t="s">
        <v>2460</v>
      </c>
    </row>
    <row r="830" spans="1:9">
      <c r="A830" s="23" t="s">
        <v>1408</v>
      </c>
      <c r="B830" s="23" t="s">
        <v>2460</v>
      </c>
      <c r="C830" s="23"/>
      <c r="D830" s="23">
        <v>7.4900000000000011</v>
      </c>
      <c r="E830" s="23" t="s">
        <v>2385</v>
      </c>
      <c r="F830" s="23" t="s">
        <v>2388</v>
      </c>
      <c r="G830" s="23" t="s">
        <v>897</v>
      </c>
      <c r="H830" s="205" t="s">
        <v>1408</v>
      </c>
      <c r="I830" s="23" t="s">
        <v>2460</v>
      </c>
    </row>
    <row r="831" spans="1:9">
      <c r="A831" s="23" t="s">
        <v>1408</v>
      </c>
      <c r="B831" s="23" t="s">
        <v>2460</v>
      </c>
      <c r="C831" s="23"/>
      <c r="D831" s="23">
        <v>5.3500000000000005</v>
      </c>
      <c r="E831" s="23" t="s">
        <v>2385</v>
      </c>
      <c r="F831" s="23" t="s">
        <v>735</v>
      </c>
      <c r="G831" s="23" t="s">
        <v>735</v>
      </c>
      <c r="H831" s="205" t="s">
        <v>1408</v>
      </c>
      <c r="I831" s="23" t="s">
        <v>2460</v>
      </c>
    </row>
    <row r="832" spans="1:9">
      <c r="A832" s="23" t="s">
        <v>1408</v>
      </c>
      <c r="B832" s="23" t="s">
        <v>2460</v>
      </c>
      <c r="C832" s="23"/>
      <c r="D832" s="23">
        <v>8.625</v>
      </c>
      <c r="E832" s="23" t="s">
        <v>2385</v>
      </c>
      <c r="F832" s="23" t="s">
        <v>56</v>
      </c>
      <c r="G832" s="23" t="s">
        <v>56</v>
      </c>
      <c r="H832" s="205" t="s">
        <v>1408</v>
      </c>
      <c r="I832" s="23" t="s">
        <v>2460</v>
      </c>
    </row>
    <row r="833" spans="1:9">
      <c r="A833" s="23" t="s">
        <v>1408</v>
      </c>
      <c r="B833" s="23" t="s">
        <v>2460</v>
      </c>
      <c r="C833" s="23"/>
      <c r="D833" s="23">
        <v>9.629999999999999</v>
      </c>
      <c r="E833" s="23" t="s">
        <v>632</v>
      </c>
      <c r="F833" s="23" t="s">
        <v>2387</v>
      </c>
      <c r="G833" s="23" t="s">
        <v>739</v>
      </c>
      <c r="H833" s="205" t="s">
        <v>1408</v>
      </c>
      <c r="I833" s="23" t="s">
        <v>2460</v>
      </c>
    </row>
    <row r="834" spans="1:9">
      <c r="A834" s="23" t="s">
        <v>1408</v>
      </c>
      <c r="B834" s="23" t="s">
        <v>2460</v>
      </c>
      <c r="C834" s="23"/>
      <c r="D834" s="23">
        <v>7.4900000000000011</v>
      </c>
      <c r="E834" s="23" t="s">
        <v>632</v>
      </c>
      <c r="F834" s="23" t="s">
        <v>2388</v>
      </c>
      <c r="G834" s="23" t="s">
        <v>897</v>
      </c>
      <c r="H834" s="205" t="s">
        <v>1408</v>
      </c>
      <c r="I834" s="23" t="s">
        <v>2460</v>
      </c>
    </row>
    <row r="835" spans="1:9">
      <c r="A835" s="23" t="s">
        <v>1408</v>
      </c>
      <c r="B835" s="23" t="s">
        <v>2460</v>
      </c>
      <c r="C835" s="23"/>
      <c r="D835" s="23">
        <v>5.3500000000000005</v>
      </c>
      <c r="E835" s="23" t="s">
        <v>632</v>
      </c>
      <c r="F835" s="23" t="s">
        <v>735</v>
      </c>
      <c r="G835" s="23" t="s">
        <v>735</v>
      </c>
      <c r="H835" s="205" t="s">
        <v>1408</v>
      </c>
      <c r="I835" s="23" t="s">
        <v>2460</v>
      </c>
    </row>
    <row r="836" spans="1:9">
      <c r="A836" s="23" t="s">
        <v>1408</v>
      </c>
      <c r="B836" s="23" t="s">
        <v>2460</v>
      </c>
      <c r="C836" s="23"/>
      <c r="D836" s="23">
        <v>8.625</v>
      </c>
      <c r="E836" s="23" t="s">
        <v>632</v>
      </c>
      <c r="F836" s="23" t="s">
        <v>56</v>
      </c>
      <c r="G836" s="23" t="s">
        <v>56</v>
      </c>
      <c r="H836" s="205" t="s">
        <v>1408</v>
      </c>
      <c r="I836" s="23" t="s">
        <v>2460</v>
      </c>
    </row>
    <row r="837" spans="1:9">
      <c r="A837" s="23" t="s">
        <v>1408</v>
      </c>
      <c r="B837" s="23" t="s">
        <v>2460</v>
      </c>
      <c r="C837" s="23"/>
      <c r="D837" s="23">
        <v>9.629999999999999</v>
      </c>
      <c r="E837" s="23" t="s">
        <v>2389</v>
      </c>
      <c r="F837" s="23" t="s">
        <v>2387</v>
      </c>
      <c r="G837" s="23" t="s">
        <v>739</v>
      </c>
      <c r="H837" s="205" t="s">
        <v>1408</v>
      </c>
      <c r="I837" s="23" t="s">
        <v>2460</v>
      </c>
    </row>
    <row r="838" spans="1:9">
      <c r="A838" s="23" t="s">
        <v>1408</v>
      </c>
      <c r="B838" s="23" t="s">
        <v>2460</v>
      </c>
      <c r="C838" s="23"/>
      <c r="D838" s="23">
        <v>7.4900000000000011</v>
      </c>
      <c r="E838" s="23" t="s">
        <v>2389</v>
      </c>
      <c r="F838" s="23" t="s">
        <v>2388</v>
      </c>
      <c r="G838" s="23" t="s">
        <v>897</v>
      </c>
      <c r="H838" s="205" t="s">
        <v>1408</v>
      </c>
      <c r="I838" s="23" t="s">
        <v>2460</v>
      </c>
    </row>
    <row r="839" spans="1:9">
      <c r="A839" s="23" t="s">
        <v>1408</v>
      </c>
      <c r="B839" s="23" t="s">
        <v>2460</v>
      </c>
      <c r="C839" s="23"/>
      <c r="D839" s="23">
        <v>5.3500000000000005</v>
      </c>
      <c r="E839" s="23" t="s">
        <v>2389</v>
      </c>
      <c r="F839" s="23" t="s">
        <v>735</v>
      </c>
      <c r="G839" s="23" t="s">
        <v>735</v>
      </c>
      <c r="H839" s="205" t="s">
        <v>1408</v>
      </c>
      <c r="I839" s="23" t="s">
        <v>2460</v>
      </c>
    </row>
    <row r="840" spans="1:9">
      <c r="A840" s="23" t="s">
        <v>1408</v>
      </c>
      <c r="B840" s="23" t="s">
        <v>2460</v>
      </c>
      <c r="C840" s="23"/>
      <c r="D840" s="23">
        <v>8.6824999999999992</v>
      </c>
      <c r="E840" s="23" t="s">
        <v>2389</v>
      </c>
      <c r="F840" s="23" t="s">
        <v>56</v>
      </c>
      <c r="G840" s="23" t="s">
        <v>56</v>
      </c>
      <c r="H840" s="205" t="s">
        <v>1408</v>
      </c>
      <c r="I840" s="23" t="s">
        <v>2460</v>
      </c>
    </row>
    <row r="841" spans="1:9">
      <c r="A841" s="23" t="s">
        <v>1408</v>
      </c>
      <c r="B841" s="23" t="s">
        <v>2462</v>
      </c>
      <c r="C841" s="23"/>
      <c r="D841" s="23">
        <v>10.349999999999998</v>
      </c>
      <c r="E841" s="23" t="s">
        <v>2385</v>
      </c>
      <c r="F841" s="23" t="s">
        <v>2387</v>
      </c>
      <c r="G841" s="23" t="s">
        <v>739</v>
      </c>
      <c r="H841" s="205" t="s">
        <v>1408</v>
      </c>
      <c r="I841" s="23" t="s">
        <v>2462</v>
      </c>
    </row>
    <row r="842" spans="1:9">
      <c r="A842" s="23" t="s">
        <v>1408</v>
      </c>
      <c r="B842" s="23" t="s">
        <v>2462</v>
      </c>
      <c r="C842" s="23"/>
      <c r="D842" s="23">
        <v>8.0499999999999989</v>
      </c>
      <c r="E842" s="23" t="s">
        <v>2385</v>
      </c>
      <c r="F842" s="23" t="s">
        <v>2388</v>
      </c>
      <c r="G842" s="23" t="s">
        <v>897</v>
      </c>
      <c r="H842" s="205" t="s">
        <v>1408</v>
      </c>
      <c r="I842" s="23" t="s">
        <v>2462</v>
      </c>
    </row>
    <row r="843" spans="1:9">
      <c r="A843" s="23" t="s">
        <v>1408</v>
      </c>
      <c r="B843" s="23" t="s">
        <v>2462</v>
      </c>
      <c r="C843" s="23"/>
      <c r="D843" s="23">
        <v>5.75</v>
      </c>
      <c r="E843" s="23" t="s">
        <v>2385</v>
      </c>
      <c r="F843" s="23" t="s">
        <v>735</v>
      </c>
      <c r="G843" s="23" t="s">
        <v>735</v>
      </c>
      <c r="H843" s="205" t="s">
        <v>1408</v>
      </c>
      <c r="I843" s="23" t="s">
        <v>2462</v>
      </c>
    </row>
    <row r="844" spans="1:9">
      <c r="A844" s="23" t="s">
        <v>1408</v>
      </c>
      <c r="B844" s="23" t="s">
        <v>2462</v>
      </c>
      <c r="C844" s="23"/>
      <c r="D844" s="23">
        <v>3.7</v>
      </c>
      <c r="E844" s="23" t="s">
        <v>2385</v>
      </c>
      <c r="F844" s="23" t="s">
        <v>56</v>
      </c>
      <c r="G844" s="23" t="s">
        <v>56</v>
      </c>
      <c r="H844" s="205" t="s">
        <v>1408</v>
      </c>
      <c r="I844" s="23" t="s">
        <v>2462</v>
      </c>
    </row>
    <row r="845" spans="1:9">
      <c r="A845" s="23" t="s">
        <v>1408</v>
      </c>
      <c r="B845" s="23" t="s">
        <v>2462</v>
      </c>
      <c r="C845" s="23"/>
      <c r="D845" s="23">
        <v>10.349999999999998</v>
      </c>
      <c r="E845" s="23" t="s">
        <v>632</v>
      </c>
      <c r="F845" s="23" t="s">
        <v>2387</v>
      </c>
      <c r="G845" s="23" t="s">
        <v>739</v>
      </c>
      <c r="H845" s="205" t="s">
        <v>1408</v>
      </c>
      <c r="I845" s="23" t="s">
        <v>2462</v>
      </c>
    </row>
    <row r="846" spans="1:9">
      <c r="A846" s="23" t="s">
        <v>1408</v>
      </c>
      <c r="B846" s="23" t="s">
        <v>2462</v>
      </c>
      <c r="C846" s="23"/>
      <c r="D846" s="23">
        <v>8.0499999999999989</v>
      </c>
      <c r="E846" s="23" t="s">
        <v>632</v>
      </c>
      <c r="F846" s="23" t="s">
        <v>2388</v>
      </c>
      <c r="G846" s="23" t="s">
        <v>897</v>
      </c>
      <c r="H846" s="205" t="s">
        <v>1408</v>
      </c>
      <c r="I846" s="23" t="s">
        <v>2462</v>
      </c>
    </row>
    <row r="847" spans="1:9">
      <c r="A847" s="23" t="s">
        <v>1408</v>
      </c>
      <c r="B847" s="23" t="s">
        <v>2462</v>
      </c>
      <c r="C847" s="23"/>
      <c r="D847" s="23">
        <v>5.75</v>
      </c>
      <c r="E847" s="23" t="s">
        <v>632</v>
      </c>
      <c r="F847" s="23" t="s">
        <v>735</v>
      </c>
      <c r="G847" s="23" t="s">
        <v>735</v>
      </c>
      <c r="H847" s="205" t="s">
        <v>1408</v>
      </c>
      <c r="I847" s="23" t="s">
        <v>2462</v>
      </c>
    </row>
    <row r="848" spans="1:9">
      <c r="A848" s="23" t="s">
        <v>1408</v>
      </c>
      <c r="B848" s="23" t="s">
        <v>2462</v>
      </c>
      <c r="C848" s="23"/>
      <c r="D848" s="23">
        <v>3.7</v>
      </c>
      <c r="E848" s="23" t="s">
        <v>632</v>
      </c>
      <c r="F848" s="23" t="s">
        <v>56</v>
      </c>
      <c r="G848" s="23" t="s">
        <v>56</v>
      </c>
      <c r="H848" s="205" t="s">
        <v>1408</v>
      </c>
      <c r="I848" s="23" t="s">
        <v>2462</v>
      </c>
    </row>
    <row r="849" spans="1:9">
      <c r="A849" s="23" t="s">
        <v>1408</v>
      </c>
      <c r="B849" s="23" t="s">
        <v>2462</v>
      </c>
      <c r="C849" s="23"/>
      <c r="D849" s="23">
        <v>10.349999999999998</v>
      </c>
      <c r="E849" s="23" t="s">
        <v>2389</v>
      </c>
      <c r="F849" s="23" t="s">
        <v>2387</v>
      </c>
      <c r="G849" s="23" t="s">
        <v>739</v>
      </c>
      <c r="H849" s="205" t="s">
        <v>1408</v>
      </c>
      <c r="I849" s="23" t="s">
        <v>2462</v>
      </c>
    </row>
    <row r="850" spans="1:9">
      <c r="A850" s="23" t="s">
        <v>1408</v>
      </c>
      <c r="B850" s="23" t="s">
        <v>2462</v>
      </c>
      <c r="C850" s="23"/>
      <c r="D850" s="23">
        <v>8.0499999999999989</v>
      </c>
      <c r="E850" s="23" t="s">
        <v>2389</v>
      </c>
      <c r="F850" s="23" t="s">
        <v>2388</v>
      </c>
      <c r="G850" s="23" t="s">
        <v>897</v>
      </c>
      <c r="H850" s="205" t="s">
        <v>1408</v>
      </c>
      <c r="I850" s="23" t="s">
        <v>2462</v>
      </c>
    </row>
    <row r="851" spans="1:9">
      <c r="A851" s="23" t="s">
        <v>1408</v>
      </c>
      <c r="B851" s="23" t="s">
        <v>2462</v>
      </c>
      <c r="C851" s="23"/>
      <c r="D851" s="23">
        <v>5.75</v>
      </c>
      <c r="E851" s="23" t="s">
        <v>2389</v>
      </c>
      <c r="F851" s="23" t="s">
        <v>735</v>
      </c>
      <c r="G851" s="23" t="s">
        <v>735</v>
      </c>
      <c r="H851" s="205" t="s">
        <v>1408</v>
      </c>
      <c r="I851" s="23" t="s">
        <v>2462</v>
      </c>
    </row>
    <row r="852" spans="1:9">
      <c r="A852" s="23" t="s">
        <v>1408</v>
      </c>
      <c r="B852" s="23" t="s">
        <v>2462</v>
      </c>
      <c r="C852" s="23"/>
      <c r="D852" s="23">
        <v>4.6000000000000005</v>
      </c>
      <c r="E852" s="23" t="s">
        <v>2389</v>
      </c>
      <c r="F852" s="23" t="s">
        <v>56</v>
      </c>
      <c r="G852" s="23" t="s">
        <v>56</v>
      </c>
      <c r="H852" s="205" t="s">
        <v>1408</v>
      </c>
      <c r="I852" s="23" t="s">
        <v>2462</v>
      </c>
    </row>
    <row r="853" spans="1:9">
      <c r="A853" s="23" t="s">
        <v>1408</v>
      </c>
      <c r="B853" s="23" t="s">
        <v>2464</v>
      </c>
      <c r="C853" s="23"/>
      <c r="D853" s="23">
        <v>41.58</v>
      </c>
      <c r="E853" s="23" t="s">
        <v>2385</v>
      </c>
      <c r="F853" s="23" t="s">
        <v>2387</v>
      </c>
      <c r="G853" s="23" t="s">
        <v>739</v>
      </c>
      <c r="H853" s="205" t="s">
        <v>1408</v>
      </c>
      <c r="I853" s="23" t="s">
        <v>2464</v>
      </c>
    </row>
    <row r="854" spans="1:9">
      <c r="A854" s="23" t="s">
        <v>1408</v>
      </c>
      <c r="B854" s="23" t="s">
        <v>2464</v>
      </c>
      <c r="C854" s="23"/>
      <c r="D854" s="23">
        <v>32.340000000000003</v>
      </c>
      <c r="E854" s="23" t="s">
        <v>2385</v>
      </c>
      <c r="F854" s="23" t="s">
        <v>2388</v>
      </c>
      <c r="G854" s="23" t="s">
        <v>897</v>
      </c>
      <c r="H854" s="205" t="s">
        <v>1408</v>
      </c>
      <c r="I854" s="23" t="s">
        <v>2464</v>
      </c>
    </row>
    <row r="855" spans="1:9">
      <c r="A855" s="23" t="s">
        <v>1408</v>
      </c>
      <c r="B855" s="23" t="s">
        <v>2464</v>
      </c>
      <c r="C855" s="23"/>
      <c r="D855" s="23">
        <v>23.1</v>
      </c>
      <c r="E855" s="23" t="s">
        <v>2385</v>
      </c>
      <c r="F855" s="23" t="s">
        <v>735</v>
      </c>
      <c r="G855" s="23" t="s">
        <v>735</v>
      </c>
      <c r="H855" s="205" t="s">
        <v>1408</v>
      </c>
      <c r="I855" s="23" t="s">
        <v>2464</v>
      </c>
    </row>
    <row r="856" spans="1:9">
      <c r="A856" s="23" t="s">
        <v>1408</v>
      </c>
      <c r="B856" s="23" t="s">
        <v>2464</v>
      </c>
      <c r="C856" s="23"/>
      <c r="D856" s="23">
        <v>4.9000000000000004</v>
      </c>
      <c r="E856" s="23" t="s">
        <v>2385</v>
      </c>
      <c r="F856" s="23" t="s">
        <v>56</v>
      </c>
      <c r="G856" s="23" t="s">
        <v>56</v>
      </c>
      <c r="H856" s="205" t="s">
        <v>1408</v>
      </c>
      <c r="I856" s="23" t="s">
        <v>2464</v>
      </c>
    </row>
    <row r="857" spans="1:9">
      <c r="A857" s="23" t="s">
        <v>1408</v>
      </c>
      <c r="B857" s="23" t="s">
        <v>2464</v>
      </c>
      <c r="C857" s="23"/>
      <c r="D857" s="23">
        <v>45.125999999999998</v>
      </c>
      <c r="E857" s="23" t="s">
        <v>632</v>
      </c>
      <c r="F857" s="23" t="s">
        <v>2387</v>
      </c>
      <c r="G857" s="23" t="s">
        <v>739</v>
      </c>
      <c r="H857" s="205" t="s">
        <v>1408</v>
      </c>
      <c r="I857" s="23" t="s">
        <v>2464</v>
      </c>
    </row>
    <row r="858" spans="1:9">
      <c r="A858" s="23" t="s">
        <v>1408</v>
      </c>
      <c r="B858" s="23" t="s">
        <v>2464</v>
      </c>
      <c r="C858" s="23"/>
      <c r="D858" s="23">
        <v>35.097999999999999</v>
      </c>
      <c r="E858" s="23" t="s">
        <v>632</v>
      </c>
      <c r="F858" s="23" t="s">
        <v>2388</v>
      </c>
      <c r="G858" s="23" t="s">
        <v>897</v>
      </c>
      <c r="H858" s="205" t="s">
        <v>1408</v>
      </c>
      <c r="I858" s="23" t="s">
        <v>2464</v>
      </c>
    </row>
    <row r="859" spans="1:9">
      <c r="A859" s="23" t="s">
        <v>1408</v>
      </c>
      <c r="B859" s="23" t="s">
        <v>2464</v>
      </c>
      <c r="C859" s="23"/>
      <c r="D859" s="23">
        <v>25.07</v>
      </c>
      <c r="E859" s="23" t="s">
        <v>632</v>
      </c>
      <c r="F859" s="23" t="s">
        <v>735</v>
      </c>
      <c r="G859" s="23" t="s">
        <v>735</v>
      </c>
      <c r="H859" s="205" t="s">
        <v>1408</v>
      </c>
      <c r="I859" s="23" t="s">
        <v>2464</v>
      </c>
    </row>
    <row r="860" spans="1:9">
      <c r="A860" s="23" t="s">
        <v>1408</v>
      </c>
      <c r="B860" s="23" t="s">
        <v>2464</v>
      </c>
      <c r="C860" s="23"/>
      <c r="D860" s="23">
        <v>4.9000000000000004</v>
      </c>
      <c r="E860" s="23" t="s">
        <v>632</v>
      </c>
      <c r="F860" s="23" t="s">
        <v>56</v>
      </c>
      <c r="G860" s="23" t="s">
        <v>56</v>
      </c>
      <c r="H860" s="205" t="s">
        <v>1408</v>
      </c>
      <c r="I860" s="23" t="s">
        <v>2464</v>
      </c>
    </row>
    <row r="861" spans="1:9">
      <c r="A861" s="23" t="s">
        <v>1408</v>
      </c>
      <c r="B861" s="23" t="s">
        <v>2464</v>
      </c>
      <c r="C861" s="23"/>
      <c r="D861" s="23">
        <v>45.436499999999995</v>
      </c>
      <c r="E861" s="23" t="s">
        <v>2389</v>
      </c>
      <c r="F861" s="23" t="s">
        <v>2387</v>
      </c>
      <c r="G861" s="23" t="s">
        <v>739</v>
      </c>
      <c r="H861" s="205" t="s">
        <v>1408</v>
      </c>
      <c r="I861" s="23" t="s">
        <v>2464</v>
      </c>
    </row>
    <row r="862" spans="1:9">
      <c r="A862" s="23" t="s">
        <v>1408</v>
      </c>
      <c r="B862" s="23" t="s">
        <v>2464</v>
      </c>
      <c r="C862" s="23"/>
      <c r="D862" s="23">
        <v>35.339500000000001</v>
      </c>
      <c r="E862" s="23" t="s">
        <v>2389</v>
      </c>
      <c r="F862" s="23" t="s">
        <v>2388</v>
      </c>
      <c r="G862" s="23" t="s">
        <v>897</v>
      </c>
      <c r="H862" s="205" t="s">
        <v>1408</v>
      </c>
      <c r="I862" s="23" t="s">
        <v>2464</v>
      </c>
    </row>
    <row r="863" spans="1:9">
      <c r="A863" s="23" t="s">
        <v>1408</v>
      </c>
      <c r="B863" s="23" t="s">
        <v>2464</v>
      </c>
      <c r="C863" s="23"/>
      <c r="D863" s="23">
        <v>25.2425</v>
      </c>
      <c r="E863" s="23" t="s">
        <v>2389</v>
      </c>
      <c r="F863" s="23" t="s">
        <v>735</v>
      </c>
      <c r="G863" s="23" t="s">
        <v>735</v>
      </c>
      <c r="H863" s="205" t="s">
        <v>1408</v>
      </c>
      <c r="I863" s="23" t="s">
        <v>2464</v>
      </c>
    </row>
    <row r="864" spans="1:9">
      <c r="A864" s="23" t="s">
        <v>1408</v>
      </c>
      <c r="B864" s="23" t="s">
        <v>2464</v>
      </c>
      <c r="C864" s="23"/>
      <c r="D864" s="23">
        <v>5.25</v>
      </c>
      <c r="E864" s="23" t="s">
        <v>2389</v>
      </c>
      <c r="F864" s="23" t="s">
        <v>56</v>
      </c>
      <c r="G864" s="23" t="s">
        <v>56</v>
      </c>
      <c r="H864" s="205" t="s">
        <v>1408</v>
      </c>
      <c r="I864" s="23" t="s">
        <v>2464</v>
      </c>
    </row>
    <row r="865" spans="1:9">
      <c r="A865" s="23" t="s">
        <v>1408</v>
      </c>
      <c r="B865" s="23" t="s">
        <v>2466</v>
      </c>
      <c r="C865" s="23"/>
      <c r="D865" s="23">
        <v>20.25</v>
      </c>
      <c r="E865" s="23" t="s">
        <v>2385</v>
      </c>
      <c r="F865" s="23" t="s">
        <v>2387</v>
      </c>
      <c r="G865" s="23" t="s">
        <v>739</v>
      </c>
      <c r="H865" s="205" t="s">
        <v>1408</v>
      </c>
      <c r="I865" s="23" t="s">
        <v>2466</v>
      </c>
    </row>
    <row r="866" spans="1:9">
      <c r="A866" s="23" t="s">
        <v>1408</v>
      </c>
      <c r="B866" s="23" t="s">
        <v>2466</v>
      </c>
      <c r="C866" s="23"/>
      <c r="D866" s="23">
        <v>15.750000000000002</v>
      </c>
      <c r="E866" s="23" t="s">
        <v>2385</v>
      </c>
      <c r="F866" s="23" t="s">
        <v>2388</v>
      </c>
      <c r="G866" s="23" t="s">
        <v>897</v>
      </c>
      <c r="H866" s="205" t="s">
        <v>1408</v>
      </c>
      <c r="I866" s="23" t="s">
        <v>2466</v>
      </c>
    </row>
    <row r="867" spans="1:9">
      <c r="A867" s="23" t="s">
        <v>1408</v>
      </c>
      <c r="B867" s="23" t="s">
        <v>2466</v>
      </c>
      <c r="C867" s="23"/>
      <c r="D867" s="23">
        <v>11.25</v>
      </c>
      <c r="E867" s="23" t="s">
        <v>2385</v>
      </c>
      <c r="F867" s="23" t="s">
        <v>735</v>
      </c>
      <c r="G867" s="23" t="s">
        <v>735</v>
      </c>
      <c r="H867" s="205" t="s">
        <v>1408</v>
      </c>
      <c r="I867" s="23" t="s">
        <v>2466</v>
      </c>
    </row>
    <row r="868" spans="1:9">
      <c r="A868" s="23" t="s">
        <v>1408</v>
      </c>
      <c r="B868" s="23" t="s">
        <v>2466</v>
      </c>
      <c r="C868" s="23"/>
      <c r="D868" s="23">
        <v>4.6500000000000004</v>
      </c>
      <c r="E868" s="23" t="s">
        <v>2385</v>
      </c>
      <c r="F868" s="23" t="s">
        <v>56</v>
      </c>
      <c r="G868" s="23" t="s">
        <v>56</v>
      </c>
      <c r="H868" s="205" t="s">
        <v>1408</v>
      </c>
      <c r="I868" s="23" t="s">
        <v>2466</v>
      </c>
    </row>
    <row r="869" spans="1:9">
      <c r="A869" s="23" t="s">
        <v>1408</v>
      </c>
      <c r="B869" s="23" t="s">
        <v>2466</v>
      </c>
      <c r="C869" s="23"/>
      <c r="D869" s="23">
        <v>20.25</v>
      </c>
      <c r="E869" s="23" t="s">
        <v>632</v>
      </c>
      <c r="F869" s="23" t="s">
        <v>2387</v>
      </c>
      <c r="G869" s="23" t="s">
        <v>739</v>
      </c>
      <c r="H869" s="205" t="s">
        <v>1408</v>
      </c>
      <c r="I869" s="23" t="s">
        <v>2466</v>
      </c>
    </row>
    <row r="870" spans="1:9">
      <c r="A870" s="23" t="s">
        <v>1408</v>
      </c>
      <c r="B870" s="23" t="s">
        <v>2466</v>
      </c>
      <c r="C870" s="23"/>
      <c r="D870" s="23">
        <v>15.750000000000002</v>
      </c>
      <c r="E870" s="23" t="s">
        <v>632</v>
      </c>
      <c r="F870" s="23" t="s">
        <v>2388</v>
      </c>
      <c r="G870" s="23" t="s">
        <v>897</v>
      </c>
      <c r="H870" s="205" t="s">
        <v>1408</v>
      </c>
      <c r="I870" s="23" t="s">
        <v>2466</v>
      </c>
    </row>
    <row r="871" spans="1:9">
      <c r="A871" s="23" t="s">
        <v>1408</v>
      </c>
      <c r="B871" s="23" t="s">
        <v>2466</v>
      </c>
      <c r="C871" s="23"/>
      <c r="D871" s="23">
        <v>11.25</v>
      </c>
      <c r="E871" s="23" t="s">
        <v>632</v>
      </c>
      <c r="F871" s="23" t="s">
        <v>735</v>
      </c>
      <c r="G871" s="23" t="s">
        <v>735</v>
      </c>
      <c r="H871" s="205" t="s">
        <v>1408</v>
      </c>
      <c r="I871" s="23" t="s">
        <v>2466</v>
      </c>
    </row>
    <row r="872" spans="1:9">
      <c r="A872" s="23" t="s">
        <v>1408</v>
      </c>
      <c r="B872" s="23" t="s">
        <v>2466</v>
      </c>
      <c r="C872" s="23"/>
      <c r="D872" s="23">
        <v>4.6500000000000004</v>
      </c>
      <c r="E872" s="23" t="s">
        <v>632</v>
      </c>
      <c r="F872" s="23" t="s">
        <v>56</v>
      </c>
      <c r="G872" s="23" t="s">
        <v>56</v>
      </c>
      <c r="H872" s="205" t="s">
        <v>1408</v>
      </c>
      <c r="I872" s="23" t="s">
        <v>2466</v>
      </c>
    </row>
    <row r="873" spans="1:9">
      <c r="A873" s="23" t="s">
        <v>1408</v>
      </c>
      <c r="B873" s="23" t="s">
        <v>2466</v>
      </c>
      <c r="C873" s="23"/>
      <c r="D873" s="23">
        <v>20.25</v>
      </c>
      <c r="E873" s="23" t="s">
        <v>2389</v>
      </c>
      <c r="F873" s="23" t="s">
        <v>2387</v>
      </c>
      <c r="G873" s="23" t="s">
        <v>739</v>
      </c>
      <c r="H873" s="205" t="s">
        <v>1408</v>
      </c>
      <c r="I873" s="23" t="s">
        <v>2466</v>
      </c>
    </row>
    <row r="874" spans="1:9">
      <c r="A874" s="23" t="s">
        <v>1408</v>
      </c>
      <c r="B874" s="23" t="s">
        <v>2466</v>
      </c>
      <c r="C874" s="23"/>
      <c r="D874" s="23">
        <v>15.750000000000002</v>
      </c>
      <c r="E874" s="23" t="s">
        <v>2389</v>
      </c>
      <c r="F874" s="23" t="s">
        <v>2388</v>
      </c>
      <c r="G874" s="23" t="s">
        <v>897</v>
      </c>
      <c r="H874" s="205" t="s">
        <v>1408</v>
      </c>
      <c r="I874" s="23" t="s">
        <v>2466</v>
      </c>
    </row>
    <row r="875" spans="1:9">
      <c r="A875" s="23" t="s">
        <v>1408</v>
      </c>
      <c r="B875" s="23" t="s">
        <v>2466</v>
      </c>
      <c r="C875" s="23"/>
      <c r="D875" s="23">
        <v>11.25</v>
      </c>
      <c r="E875" s="23" t="s">
        <v>2389</v>
      </c>
      <c r="F875" s="23" t="s">
        <v>735</v>
      </c>
      <c r="G875" s="23" t="s">
        <v>735</v>
      </c>
      <c r="H875" s="205" t="s">
        <v>1408</v>
      </c>
      <c r="I875" s="23" t="s">
        <v>2466</v>
      </c>
    </row>
    <row r="876" spans="1:9">
      <c r="A876" s="23" t="s">
        <v>1408</v>
      </c>
      <c r="B876" s="23" t="s">
        <v>2466</v>
      </c>
      <c r="C876" s="23"/>
      <c r="D876" s="23">
        <v>6.75</v>
      </c>
      <c r="E876" s="23" t="s">
        <v>2389</v>
      </c>
      <c r="F876" s="23" t="s">
        <v>56</v>
      </c>
      <c r="G876" s="23" t="s">
        <v>56</v>
      </c>
      <c r="H876" s="205" t="s">
        <v>1408</v>
      </c>
      <c r="I876" s="23" t="s">
        <v>2466</v>
      </c>
    </row>
    <row r="877" spans="1:9">
      <c r="A877" s="23" t="s">
        <v>1408</v>
      </c>
      <c r="B877" s="23" t="s">
        <v>2468</v>
      </c>
      <c r="C877" s="23"/>
      <c r="D877" s="23">
        <v>51.93</v>
      </c>
      <c r="E877" s="23" t="s">
        <v>2385</v>
      </c>
      <c r="F877" s="23" t="s">
        <v>2387</v>
      </c>
      <c r="G877" s="23" t="s">
        <v>739</v>
      </c>
      <c r="H877" s="205" t="s">
        <v>1408</v>
      </c>
      <c r="I877" s="23" t="s">
        <v>2468</v>
      </c>
    </row>
    <row r="878" spans="1:9">
      <c r="A878" s="23" t="s">
        <v>1408</v>
      </c>
      <c r="B878" s="23" t="s">
        <v>2468</v>
      </c>
      <c r="C878" s="23"/>
      <c r="D878" s="23">
        <v>40.39</v>
      </c>
      <c r="E878" s="23" t="s">
        <v>2385</v>
      </c>
      <c r="F878" s="23" t="s">
        <v>2388</v>
      </c>
      <c r="G878" s="23" t="s">
        <v>897</v>
      </c>
      <c r="H878" s="205" t="s">
        <v>1408</v>
      </c>
      <c r="I878" s="23" t="s">
        <v>2468</v>
      </c>
    </row>
    <row r="879" spans="1:9">
      <c r="A879" s="23" t="s">
        <v>1408</v>
      </c>
      <c r="B879" s="23" t="s">
        <v>2468</v>
      </c>
      <c r="C879" s="23"/>
      <c r="D879" s="23">
        <v>28.85</v>
      </c>
      <c r="E879" s="23" t="s">
        <v>2385</v>
      </c>
      <c r="F879" s="23" t="s">
        <v>735</v>
      </c>
      <c r="G879" s="23" t="s">
        <v>735</v>
      </c>
      <c r="H879" s="205" t="s">
        <v>1408</v>
      </c>
      <c r="I879" s="23" t="s">
        <v>2468</v>
      </c>
    </row>
    <row r="880" spans="1:9">
      <c r="A880" s="23" t="s">
        <v>1408</v>
      </c>
      <c r="B880" s="23" t="s">
        <v>2468</v>
      </c>
      <c r="C880" s="23"/>
      <c r="D880" s="23">
        <v>4.3500000000000005</v>
      </c>
      <c r="E880" s="23" t="s">
        <v>2385</v>
      </c>
      <c r="F880" s="23" t="s">
        <v>56</v>
      </c>
      <c r="G880" s="23" t="s">
        <v>56</v>
      </c>
      <c r="H880" s="205" t="s">
        <v>1408</v>
      </c>
      <c r="I880" s="23" t="s">
        <v>2468</v>
      </c>
    </row>
    <row r="881" spans="1:9">
      <c r="A881" s="23" t="s">
        <v>1408</v>
      </c>
      <c r="B881" s="23" t="s">
        <v>2468</v>
      </c>
      <c r="C881" s="23"/>
      <c r="D881" s="23">
        <v>51.93</v>
      </c>
      <c r="E881" s="23" t="s">
        <v>632</v>
      </c>
      <c r="F881" s="23" t="s">
        <v>2387</v>
      </c>
      <c r="G881" s="23" t="s">
        <v>739</v>
      </c>
      <c r="H881" s="205" t="s">
        <v>1408</v>
      </c>
      <c r="I881" s="23" t="s">
        <v>2468</v>
      </c>
    </row>
    <row r="882" spans="1:9">
      <c r="A882" s="23" t="s">
        <v>1408</v>
      </c>
      <c r="B882" s="23" t="s">
        <v>2468</v>
      </c>
      <c r="C882" s="23"/>
      <c r="D882" s="23">
        <v>40.39</v>
      </c>
      <c r="E882" s="23" t="s">
        <v>632</v>
      </c>
      <c r="F882" s="23" t="s">
        <v>2388</v>
      </c>
      <c r="G882" s="23" t="s">
        <v>897</v>
      </c>
      <c r="H882" s="205" t="s">
        <v>1408</v>
      </c>
      <c r="I882" s="23" t="s">
        <v>2468</v>
      </c>
    </row>
    <row r="883" spans="1:9">
      <c r="A883" s="23" t="s">
        <v>1408</v>
      </c>
      <c r="B883" s="23" t="s">
        <v>2468</v>
      </c>
      <c r="C883" s="23"/>
      <c r="D883" s="23">
        <v>28.85</v>
      </c>
      <c r="E883" s="23" t="s">
        <v>632</v>
      </c>
      <c r="F883" s="23" t="s">
        <v>735</v>
      </c>
      <c r="G883" s="23" t="s">
        <v>735</v>
      </c>
      <c r="H883" s="205" t="s">
        <v>1408</v>
      </c>
      <c r="I883" s="23" t="s">
        <v>2468</v>
      </c>
    </row>
    <row r="884" spans="1:9">
      <c r="A884" s="23" t="s">
        <v>1408</v>
      </c>
      <c r="B884" s="23" t="s">
        <v>2468</v>
      </c>
      <c r="C884" s="23"/>
      <c r="D884" s="23">
        <v>4.3500000000000005</v>
      </c>
      <c r="E884" s="23" t="s">
        <v>632</v>
      </c>
      <c r="F884" s="23" t="s">
        <v>56</v>
      </c>
      <c r="G884" s="23" t="s">
        <v>56</v>
      </c>
      <c r="H884" s="205" t="s">
        <v>1408</v>
      </c>
      <c r="I884" s="23" t="s">
        <v>2468</v>
      </c>
    </row>
    <row r="885" spans="1:9">
      <c r="A885" s="23" t="s">
        <v>1408</v>
      </c>
      <c r="B885" s="23" t="s">
        <v>2468</v>
      </c>
      <c r="C885" s="23"/>
      <c r="D885" s="23">
        <v>62.6175</v>
      </c>
      <c r="E885" s="23" t="s">
        <v>2389</v>
      </c>
      <c r="F885" s="23" t="s">
        <v>2387</v>
      </c>
      <c r="G885" s="23" t="s">
        <v>739</v>
      </c>
      <c r="H885" s="205" t="s">
        <v>1408</v>
      </c>
      <c r="I885" s="23" t="s">
        <v>2468</v>
      </c>
    </row>
    <row r="886" spans="1:9">
      <c r="A886" s="23" t="s">
        <v>1408</v>
      </c>
      <c r="B886" s="23" t="s">
        <v>2468</v>
      </c>
      <c r="C886" s="23"/>
      <c r="D886" s="23">
        <v>48.702500000000008</v>
      </c>
      <c r="E886" s="23" t="s">
        <v>2389</v>
      </c>
      <c r="F886" s="23" t="s">
        <v>2388</v>
      </c>
      <c r="G886" s="23" t="s">
        <v>897</v>
      </c>
      <c r="H886" s="205" t="s">
        <v>1408</v>
      </c>
      <c r="I886" s="23" t="s">
        <v>2468</v>
      </c>
    </row>
    <row r="887" spans="1:9">
      <c r="A887" s="23" t="s">
        <v>1408</v>
      </c>
      <c r="B887" s="23" t="s">
        <v>2468</v>
      </c>
      <c r="C887" s="23"/>
      <c r="D887" s="23">
        <v>34.787500000000001</v>
      </c>
      <c r="E887" s="23" t="s">
        <v>2389</v>
      </c>
      <c r="F887" s="23" t="s">
        <v>735</v>
      </c>
      <c r="G887" s="23" t="s">
        <v>735</v>
      </c>
      <c r="H887" s="205" t="s">
        <v>1408</v>
      </c>
      <c r="I887" s="23" t="s">
        <v>2468</v>
      </c>
    </row>
    <row r="888" spans="1:9">
      <c r="A888" s="23" t="s">
        <v>1408</v>
      </c>
      <c r="B888" s="23" t="s">
        <v>2468</v>
      </c>
      <c r="C888" s="23"/>
      <c r="D888" s="23">
        <v>5.4</v>
      </c>
      <c r="E888" s="23" t="s">
        <v>2389</v>
      </c>
      <c r="F888" s="23" t="s">
        <v>56</v>
      </c>
      <c r="G888" s="23" t="s">
        <v>56</v>
      </c>
      <c r="H888" s="205" t="s">
        <v>1408</v>
      </c>
      <c r="I888" s="23" t="s">
        <v>2468</v>
      </c>
    </row>
    <row r="889" spans="1:9">
      <c r="A889" s="23" t="s">
        <v>1408</v>
      </c>
      <c r="B889" s="23" t="s">
        <v>2470</v>
      </c>
      <c r="C889" s="23"/>
      <c r="D889" s="23">
        <v>52.919999999999995</v>
      </c>
      <c r="E889" s="23" t="s">
        <v>2385</v>
      </c>
      <c r="F889" s="23" t="s">
        <v>2387</v>
      </c>
      <c r="G889" s="23" t="s">
        <v>739</v>
      </c>
      <c r="H889" s="205" t="s">
        <v>1408</v>
      </c>
      <c r="I889" s="23" t="s">
        <v>2470</v>
      </c>
    </row>
    <row r="890" spans="1:9">
      <c r="A890" s="23" t="s">
        <v>1408</v>
      </c>
      <c r="B890" s="23" t="s">
        <v>2470</v>
      </c>
      <c r="C890" s="23"/>
      <c r="D890" s="23">
        <v>41.160000000000004</v>
      </c>
      <c r="E890" s="23" t="s">
        <v>2385</v>
      </c>
      <c r="F890" s="23" t="s">
        <v>2388</v>
      </c>
      <c r="G890" s="23" t="s">
        <v>897</v>
      </c>
      <c r="H890" s="205" t="s">
        <v>1408</v>
      </c>
      <c r="I890" s="23" t="s">
        <v>2470</v>
      </c>
    </row>
    <row r="891" spans="1:9">
      <c r="A891" s="23" t="s">
        <v>1408</v>
      </c>
      <c r="B891" s="23" t="s">
        <v>2470</v>
      </c>
      <c r="C891" s="23"/>
      <c r="D891" s="23">
        <v>29.400000000000002</v>
      </c>
      <c r="E891" s="23" t="s">
        <v>2385</v>
      </c>
      <c r="F891" s="23" t="s">
        <v>735</v>
      </c>
      <c r="G891" s="23" t="s">
        <v>735</v>
      </c>
      <c r="H891" s="205" t="s">
        <v>1408</v>
      </c>
      <c r="I891" s="23" t="s">
        <v>2470</v>
      </c>
    </row>
    <row r="892" spans="1:9">
      <c r="A892" s="23" t="s">
        <v>1408</v>
      </c>
      <c r="B892" s="23" t="s">
        <v>2470</v>
      </c>
      <c r="C892" s="23"/>
      <c r="D892" s="23">
        <v>4.55</v>
      </c>
      <c r="E892" s="23" t="s">
        <v>2385</v>
      </c>
      <c r="F892" s="23" t="s">
        <v>56</v>
      </c>
      <c r="G892" s="23" t="s">
        <v>56</v>
      </c>
      <c r="H892" s="205" t="s">
        <v>1408</v>
      </c>
      <c r="I892" s="23" t="s">
        <v>2470</v>
      </c>
    </row>
    <row r="893" spans="1:9">
      <c r="A893" s="23" t="s">
        <v>1408</v>
      </c>
      <c r="B893" s="23" t="s">
        <v>2470</v>
      </c>
      <c r="C893" s="23"/>
      <c r="D893" s="23">
        <v>52.919999999999995</v>
      </c>
      <c r="E893" s="23" t="s">
        <v>632</v>
      </c>
      <c r="F893" s="23" t="s">
        <v>2387</v>
      </c>
      <c r="G893" s="23" t="s">
        <v>739</v>
      </c>
      <c r="H893" s="205" t="s">
        <v>1408</v>
      </c>
      <c r="I893" s="23" t="s">
        <v>2470</v>
      </c>
    </row>
    <row r="894" spans="1:9">
      <c r="A894" s="23" t="s">
        <v>1408</v>
      </c>
      <c r="B894" s="23" t="s">
        <v>2470</v>
      </c>
      <c r="C894" s="23"/>
      <c r="D894" s="23">
        <v>41.160000000000004</v>
      </c>
      <c r="E894" s="23" t="s">
        <v>632</v>
      </c>
      <c r="F894" s="23" t="s">
        <v>2388</v>
      </c>
      <c r="G894" s="23" t="s">
        <v>897</v>
      </c>
      <c r="H894" s="205" t="s">
        <v>1408</v>
      </c>
      <c r="I894" s="23" t="s">
        <v>2470</v>
      </c>
    </row>
    <row r="895" spans="1:9">
      <c r="A895" s="23" t="s">
        <v>1408</v>
      </c>
      <c r="B895" s="23" t="s">
        <v>2470</v>
      </c>
      <c r="C895" s="23"/>
      <c r="D895" s="23">
        <v>29.400000000000002</v>
      </c>
      <c r="E895" s="23" t="s">
        <v>632</v>
      </c>
      <c r="F895" s="23" t="s">
        <v>735</v>
      </c>
      <c r="G895" s="23" t="s">
        <v>735</v>
      </c>
      <c r="H895" s="205" t="s">
        <v>1408</v>
      </c>
      <c r="I895" s="23" t="s">
        <v>2470</v>
      </c>
    </row>
    <row r="896" spans="1:9">
      <c r="A896" s="23" t="s">
        <v>1408</v>
      </c>
      <c r="B896" s="23" t="s">
        <v>2470</v>
      </c>
      <c r="C896" s="23"/>
      <c r="D896" s="23">
        <v>4.55</v>
      </c>
      <c r="E896" s="23" t="s">
        <v>632</v>
      </c>
      <c r="F896" s="23" t="s">
        <v>56</v>
      </c>
      <c r="G896" s="23" t="s">
        <v>56</v>
      </c>
      <c r="H896" s="205" t="s">
        <v>1408</v>
      </c>
      <c r="I896" s="23" t="s">
        <v>2470</v>
      </c>
    </row>
    <row r="897" spans="1:9">
      <c r="A897" s="23" t="s">
        <v>1408</v>
      </c>
      <c r="B897" s="23" t="s">
        <v>2470</v>
      </c>
      <c r="C897" s="23"/>
      <c r="D897" s="23">
        <v>56.924999999999997</v>
      </c>
      <c r="E897" s="23" t="s">
        <v>2389</v>
      </c>
      <c r="F897" s="23" t="s">
        <v>2387</v>
      </c>
      <c r="G897" s="23" t="s">
        <v>739</v>
      </c>
      <c r="H897" s="205" t="s">
        <v>1408</v>
      </c>
      <c r="I897" s="23" t="s">
        <v>2470</v>
      </c>
    </row>
    <row r="898" spans="1:9">
      <c r="A898" s="23" t="s">
        <v>1408</v>
      </c>
      <c r="B898" s="23" t="s">
        <v>2470</v>
      </c>
      <c r="C898" s="23"/>
      <c r="D898" s="23">
        <v>44.275000000000006</v>
      </c>
      <c r="E898" s="23" t="s">
        <v>2389</v>
      </c>
      <c r="F898" s="23" t="s">
        <v>2388</v>
      </c>
      <c r="G898" s="23" t="s">
        <v>897</v>
      </c>
      <c r="H898" s="205" t="s">
        <v>1408</v>
      </c>
      <c r="I898" s="23" t="s">
        <v>2470</v>
      </c>
    </row>
    <row r="899" spans="1:9">
      <c r="A899" s="23" t="s">
        <v>1408</v>
      </c>
      <c r="B899" s="23" t="s">
        <v>2470</v>
      </c>
      <c r="C899" s="23"/>
      <c r="D899" s="23">
        <v>31.625</v>
      </c>
      <c r="E899" s="23" t="s">
        <v>2389</v>
      </c>
      <c r="F899" s="23" t="s">
        <v>735</v>
      </c>
      <c r="G899" s="23" t="s">
        <v>735</v>
      </c>
      <c r="H899" s="205" t="s">
        <v>1408</v>
      </c>
      <c r="I899" s="23" t="s">
        <v>2470</v>
      </c>
    </row>
    <row r="900" spans="1:9">
      <c r="A900" s="23" t="s">
        <v>1408</v>
      </c>
      <c r="B900" s="23" t="s">
        <v>2470</v>
      </c>
      <c r="C900" s="23"/>
      <c r="D900" s="23">
        <v>4.55</v>
      </c>
      <c r="E900" s="23" t="s">
        <v>2389</v>
      </c>
      <c r="F900" s="23" t="s">
        <v>56</v>
      </c>
      <c r="G900" s="23" t="s">
        <v>56</v>
      </c>
      <c r="H900" s="205" t="s">
        <v>1408</v>
      </c>
      <c r="I900" s="23" t="s">
        <v>2470</v>
      </c>
    </row>
    <row r="901" spans="1:9">
      <c r="A901" s="23" t="s">
        <v>1408</v>
      </c>
      <c r="B901" s="23" t="s">
        <v>2472</v>
      </c>
      <c r="C901" s="23"/>
      <c r="D901" s="23">
        <v>42.434999999999995</v>
      </c>
      <c r="E901" s="23" t="s">
        <v>2385</v>
      </c>
      <c r="F901" s="23" t="s">
        <v>2387</v>
      </c>
      <c r="G901" s="23" t="s">
        <v>739</v>
      </c>
      <c r="H901" s="205" t="s">
        <v>1408</v>
      </c>
      <c r="I901" s="23" t="s">
        <v>2472</v>
      </c>
    </row>
    <row r="902" spans="1:9">
      <c r="A902" s="23" t="s">
        <v>1408</v>
      </c>
      <c r="B902" s="23" t="s">
        <v>2472</v>
      </c>
      <c r="C902" s="23"/>
      <c r="D902" s="23">
        <v>33.005000000000003</v>
      </c>
      <c r="E902" s="23" t="s">
        <v>2385</v>
      </c>
      <c r="F902" s="23" t="s">
        <v>2388</v>
      </c>
      <c r="G902" s="23" t="s">
        <v>897</v>
      </c>
      <c r="H902" s="205" t="s">
        <v>1408</v>
      </c>
      <c r="I902" s="23" t="s">
        <v>2472</v>
      </c>
    </row>
    <row r="903" spans="1:9">
      <c r="A903" s="23" t="s">
        <v>1408</v>
      </c>
      <c r="B903" s="23" t="s">
        <v>2472</v>
      </c>
      <c r="C903" s="23"/>
      <c r="D903" s="23">
        <v>23.574999999999999</v>
      </c>
      <c r="E903" s="23" t="s">
        <v>2385</v>
      </c>
      <c r="F903" s="23" t="s">
        <v>735</v>
      </c>
      <c r="G903" s="23" t="s">
        <v>735</v>
      </c>
      <c r="H903" s="205" t="s">
        <v>1408</v>
      </c>
      <c r="I903" s="23" t="s">
        <v>2472</v>
      </c>
    </row>
    <row r="904" spans="1:9">
      <c r="A904" s="23" t="s">
        <v>1408</v>
      </c>
      <c r="B904" s="23" t="s">
        <v>2472</v>
      </c>
      <c r="C904" s="23"/>
      <c r="D904" s="23">
        <v>8.3000000000000007</v>
      </c>
      <c r="E904" s="23" t="s">
        <v>2385</v>
      </c>
      <c r="F904" s="23" t="s">
        <v>56</v>
      </c>
      <c r="G904" s="23" t="s">
        <v>56</v>
      </c>
      <c r="H904" s="205" t="s">
        <v>1408</v>
      </c>
      <c r="I904" s="23" t="s">
        <v>2472</v>
      </c>
    </row>
    <row r="905" spans="1:9">
      <c r="A905" s="23" t="s">
        <v>1408</v>
      </c>
      <c r="B905" s="23" t="s">
        <v>2472</v>
      </c>
      <c r="C905" s="23"/>
      <c r="D905" s="23">
        <v>46.367999999999995</v>
      </c>
      <c r="E905" s="23" t="s">
        <v>632</v>
      </c>
      <c r="F905" s="23" t="s">
        <v>2387</v>
      </c>
      <c r="G905" s="23" t="s">
        <v>739</v>
      </c>
      <c r="H905" s="205" t="s">
        <v>1408</v>
      </c>
      <c r="I905" s="23" t="s">
        <v>2472</v>
      </c>
    </row>
    <row r="906" spans="1:9">
      <c r="A906" s="23" t="s">
        <v>1408</v>
      </c>
      <c r="B906" s="23" t="s">
        <v>2472</v>
      </c>
      <c r="C906" s="23"/>
      <c r="D906" s="23">
        <v>36.064</v>
      </c>
      <c r="E906" s="23" t="s">
        <v>632</v>
      </c>
      <c r="F906" s="23" t="s">
        <v>2388</v>
      </c>
      <c r="G906" s="23" t="s">
        <v>897</v>
      </c>
      <c r="H906" s="205" t="s">
        <v>1408</v>
      </c>
      <c r="I906" s="23" t="s">
        <v>2472</v>
      </c>
    </row>
    <row r="907" spans="1:9">
      <c r="A907" s="23" t="s">
        <v>1408</v>
      </c>
      <c r="B907" s="23" t="s">
        <v>2472</v>
      </c>
      <c r="C907" s="23"/>
      <c r="D907" s="23">
        <v>25.759999999999998</v>
      </c>
      <c r="E907" s="23" t="s">
        <v>632</v>
      </c>
      <c r="F907" s="23" t="s">
        <v>735</v>
      </c>
      <c r="G907" s="23" t="s">
        <v>735</v>
      </c>
      <c r="H907" s="205" t="s">
        <v>1408</v>
      </c>
      <c r="I907" s="23" t="s">
        <v>2472</v>
      </c>
    </row>
    <row r="908" spans="1:9">
      <c r="A908" s="23" t="s">
        <v>1408</v>
      </c>
      <c r="B908" s="23" t="s">
        <v>2472</v>
      </c>
      <c r="C908" s="23"/>
      <c r="D908" s="23">
        <v>8.3000000000000007</v>
      </c>
      <c r="E908" s="23" t="s">
        <v>632</v>
      </c>
      <c r="F908" s="23" t="s">
        <v>56</v>
      </c>
      <c r="G908" s="23" t="s">
        <v>56</v>
      </c>
      <c r="H908" s="205" t="s">
        <v>1408</v>
      </c>
      <c r="I908" s="23" t="s">
        <v>2472</v>
      </c>
    </row>
    <row r="909" spans="1:9">
      <c r="A909" s="23" t="s">
        <v>1408</v>
      </c>
      <c r="B909" s="23" t="s">
        <v>2472</v>
      </c>
      <c r="C909" s="23"/>
      <c r="D909" s="23">
        <v>46.367999999999995</v>
      </c>
      <c r="E909" s="23" t="s">
        <v>2389</v>
      </c>
      <c r="F909" s="23" t="s">
        <v>2387</v>
      </c>
      <c r="G909" s="23" t="s">
        <v>739</v>
      </c>
      <c r="H909" s="205" t="s">
        <v>1408</v>
      </c>
      <c r="I909" s="23" t="s">
        <v>2472</v>
      </c>
    </row>
    <row r="910" spans="1:9">
      <c r="A910" s="23" t="s">
        <v>1408</v>
      </c>
      <c r="B910" s="23" t="s">
        <v>2472</v>
      </c>
      <c r="C910" s="23"/>
      <c r="D910" s="23">
        <v>36.064</v>
      </c>
      <c r="E910" s="23" t="s">
        <v>2389</v>
      </c>
      <c r="F910" s="23" t="s">
        <v>2388</v>
      </c>
      <c r="G910" s="23" t="s">
        <v>897</v>
      </c>
      <c r="H910" s="205" t="s">
        <v>1408</v>
      </c>
      <c r="I910" s="23" t="s">
        <v>2472</v>
      </c>
    </row>
    <row r="911" spans="1:9">
      <c r="A911" s="23" t="s">
        <v>1408</v>
      </c>
      <c r="B911" s="23" t="s">
        <v>2472</v>
      </c>
      <c r="C911" s="23"/>
      <c r="D911" s="23">
        <v>25.759999999999998</v>
      </c>
      <c r="E911" s="23" t="s">
        <v>2389</v>
      </c>
      <c r="F911" s="23" t="s">
        <v>735</v>
      </c>
      <c r="G911" s="23" t="s">
        <v>735</v>
      </c>
      <c r="H911" s="205" t="s">
        <v>1408</v>
      </c>
      <c r="I911" s="23" t="s">
        <v>2472</v>
      </c>
    </row>
    <row r="912" spans="1:9">
      <c r="A912" s="23" t="s">
        <v>1408</v>
      </c>
      <c r="B912" s="23" t="s">
        <v>2472</v>
      </c>
      <c r="C912" s="23"/>
      <c r="D912" s="23">
        <v>8.3000000000000007</v>
      </c>
      <c r="E912" s="23" t="s">
        <v>2389</v>
      </c>
      <c r="F912" s="23" t="s">
        <v>56</v>
      </c>
      <c r="G912" s="23" t="s">
        <v>56</v>
      </c>
      <c r="H912" s="205" t="s">
        <v>1408</v>
      </c>
      <c r="I912" s="23" t="s">
        <v>2472</v>
      </c>
    </row>
    <row r="913" spans="1:9">
      <c r="A913" s="23" t="s">
        <v>1408</v>
      </c>
      <c r="B913" s="23" t="s">
        <v>2474</v>
      </c>
      <c r="C913" s="23"/>
      <c r="D913" s="23">
        <v>20.7</v>
      </c>
      <c r="E913" s="23" t="s">
        <v>2385</v>
      </c>
      <c r="F913" s="23" t="s">
        <v>2387</v>
      </c>
      <c r="G913" s="23" t="s">
        <v>739</v>
      </c>
      <c r="H913" s="205" t="s">
        <v>1408</v>
      </c>
      <c r="I913" s="23" t="s">
        <v>2474</v>
      </c>
    </row>
    <row r="914" spans="1:9">
      <c r="A914" s="23" t="s">
        <v>1408</v>
      </c>
      <c r="B914" s="23" t="s">
        <v>2474</v>
      </c>
      <c r="C914" s="23"/>
      <c r="D914" s="23">
        <v>16.100000000000001</v>
      </c>
      <c r="E914" s="23" t="s">
        <v>2385</v>
      </c>
      <c r="F914" s="23" t="s">
        <v>2388</v>
      </c>
      <c r="G914" s="23" t="s">
        <v>897</v>
      </c>
      <c r="H914" s="205" t="s">
        <v>1408</v>
      </c>
      <c r="I914" s="23" t="s">
        <v>2474</v>
      </c>
    </row>
    <row r="915" spans="1:9">
      <c r="A915" s="23" t="s">
        <v>1408</v>
      </c>
      <c r="B915" s="23" t="s">
        <v>2474</v>
      </c>
      <c r="C915" s="23"/>
      <c r="D915" s="23">
        <v>11.5</v>
      </c>
      <c r="E915" s="23" t="s">
        <v>2385</v>
      </c>
      <c r="F915" s="23" t="s">
        <v>735</v>
      </c>
      <c r="G915" s="23" t="s">
        <v>735</v>
      </c>
      <c r="H915" s="205" t="s">
        <v>1408</v>
      </c>
      <c r="I915" s="23" t="s">
        <v>2474</v>
      </c>
    </row>
    <row r="916" spans="1:9">
      <c r="A916" s="23" t="s">
        <v>1408</v>
      </c>
      <c r="B916" s="23" t="s">
        <v>2474</v>
      </c>
      <c r="C916" s="23"/>
      <c r="D916" s="23">
        <v>2.3000000000000003</v>
      </c>
      <c r="E916" s="23" t="s">
        <v>2385</v>
      </c>
      <c r="F916" s="23" t="s">
        <v>56</v>
      </c>
      <c r="G916" s="23" t="s">
        <v>56</v>
      </c>
      <c r="H916" s="205" t="s">
        <v>1408</v>
      </c>
      <c r="I916" s="23" t="s">
        <v>2474</v>
      </c>
    </row>
    <row r="917" spans="1:9">
      <c r="A917" s="23" t="s">
        <v>1408</v>
      </c>
      <c r="B917" s="23" t="s">
        <v>2474</v>
      </c>
      <c r="C917" s="23"/>
      <c r="D917" s="23">
        <v>23.494499999999995</v>
      </c>
      <c r="E917" s="23" t="s">
        <v>632</v>
      </c>
      <c r="F917" s="23" t="s">
        <v>2387</v>
      </c>
      <c r="G917" s="23" t="s">
        <v>739</v>
      </c>
      <c r="H917" s="205" t="s">
        <v>1408</v>
      </c>
      <c r="I917" s="23" t="s">
        <v>2474</v>
      </c>
    </row>
    <row r="918" spans="1:9">
      <c r="A918" s="23" t="s">
        <v>1408</v>
      </c>
      <c r="B918" s="23" t="s">
        <v>2474</v>
      </c>
      <c r="C918" s="23"/>
      <c r="D918" s="23">
        <v>18.273499999999999</v>
      </c>
      <c r="E918" s="23" t="s">
        <v>632</v>
      </c>
      <c r="F918" s="23" t="s">
        <v>2388</v>
      </c>
      <c r="G918" s="23" t="s">
        <v>897</v>
      </c>
      <c r="H918" s="205" t="s">
        <v>1408</v>
      </c>
      <c r="I918" s="23" t="s">
        <v>2474</v>
      </c>
    </row>
    <row r="919" spans="1:9">
      <c r="A919" s="23" t="s">
        <v>1408</v>
      </c>
      <c r="B919" s="23" t="s">
        <v>2474</v>
      </c>
      <c r="C919" s="23"/>
      <c r="D919" s="23">
        <v>13.052499999999998</v>
      </c>
      <c r="E919" s="23" t="s">
        <v>632</v>
      </c>
      <c r="F919" s="23" t="s">
        <v>735</v>
      </c>
      <c r="G919" s="23" t="s">
        <v>735</v>
      </c>
      <c r="H919" s="205" t="s">
        <v>1408</v>
      </c>
      <c r="I919" s="23" t="s">
        <v>2474</v>
      </c>
    </row>
    <row r="920" spans="1:9">
      <c r="A920" s="23" t="s">
        <v>1408</v>
      </c>
      <c r="B920" s="23" t="s">
        <v>2474</v>
      </c>
      <c r="C920" s="23"/>
      <c r="D920" s="23">
        <v>2.35</v>
      </c>
      <c r="E920" s="23" t="s">
        <v>632</v>
      </c>
      <c r="F920" s="23" t="s">
        <v>56</v>
      </c>
      <c r="G920" s="23" t="s">
        <v>56</v>
      </c>
      <c r="H920" s="205" t="s">
        <v>1408</v>
      </c>
      <c r="I920" s="23" t="s">
        <v>2474</v>
      </c>
    </row>
    <row r="921" spans="1:9">
      <c r="A921" s="23" t="s">
        <v>1408</v>
      </c>
      <c r="B921" s="23" t="s">
        <v>2474</v>
      </c>
      <c r="C921" s="23"/>
      <c r="D921" s="23">
        <v>23.494499999999995</v>
      </c>
      <c r="E921" s="23" t="s">
        <v>2389</v>
      </c>
      <c r="F921" s="23" t="s">
        <v>2387</v>
      </c>
      <c r="G921" s="23" t="s">
        <v>739</v>
      </c>
      <c r="H921" s="205" t="s">
        <v>1408</v>
      </c>
      <c r="I921" s="23" t="s">
        <v>2474</v>
      </c>
    </row>
    <row r="922" spans="1:9">
      <c r="A922" s="23" t="s">
        <v>1408</v>
      </c>
      <c r="B922" s="23" t="s">
        <v>2474</v>
      </c>
      <c r="C922" s="23"/>
      <c r="D922" s="23">
        <v>18.273499999999999</v>
      </c>
      <c r="E922" s="23" t="s">
        <v>2389</v>
      </c>
      <c r="F922" s="23" t="s">
        <v>2388</v>
      </c>
      <c r="G922" s="23" t="s">
        <v>897</v>
      </c>
      <c r="H922" s="205" t="s">
        <v>1408</v>
      </c>
      <c r="I922" s="23" t="s">
        <v>2474</v>
      </c>
    </row>
    <row r="923" spans="1:9">
      <c r="A923" s="23" t="s">
        <v>1408</v>
      </c>
      <c r="B923" s="23" t="s">
        <v>2474</v>
      </c>
      <c r="C923" s="23"/>
      <c r="D923" s="23">
        <v>13.052499999999998</v>
      </c>
      <c r="E923" s="23" t="s">
        <v>2389</v>
      </c>
      <c r="F923" s="23" t="s">
        <v>735</v>
      </c>
      <c r="G923" s="23" t="s">
        <v>735</v>
      </c>
      <c r="H923" s="205" t="s">
        <v>1408</v>
      </c>
      <c r="I923" s="23" t="s">
        <v>2474</v>
      </c>
    </row>
    <row r="924" spans="1:9">
      <c r="A924" s="23" t="s">
        <v>1408</v>
      </c>
      <c r="B924" s="23" t="s">
        <v>2474</v>
      </c>
      <c r="C924" s="23"/>
      <c r="D924" s="23">
        <v>2.35</v>
      </c>
      <c r="E924" s="23" t="s">
        <v>2389</v>
      </c>
      <c r="F924" s="23" t="s">
        <v>56</v>
      </c>
      <c r="G924" s="23" t="s">
        <v>56</v>
      </c>
      <c r="H924" s="205" t="s">
        <v>1408</v>
      </c>
      <c r="I924" s="23" t="s">
        <v>2474</v>
      </c>
    </row>
    <row r="925" spans="1:9">
      <c r="A925" s="23" t="s">
        <v>1408</v>
      </c>
      <c r="B925" s="23" t="s">
        <v>2476</v>
      </c>
      <c r="C925" s="23"/>
      <c r="D925" s="23">
        <v>65.34</v>
      </c>
      <c r="E925" s="23" t="s">
        <v>2385</v>
      </c>
      <c r="F925" s="23" t="s">
        <v>2387</v>
      </c>
      <c r="G925" s="23" t="s">
        <v>739</v>
      </c>
      <c r="H925" s="205" t="s">
        <v>1408</v>
      </c>
      <c r="I925" s="23" t="s">
        <v>2476</v>
      </c>
    </row>
    <row r="926" spans="1:9">
      <c r="A926" s="23" t="s">
        <v>1408</v>
      </c>
      <c r="B926" s="23" t="s">
        <v>2476</v>
      </c>
      <c r="C926" s="23"/>
      <c r="D926" s="23">
        <v>50.820000000000007</v>
      </c>
      <c r="E926" s="23" t="s">
        <v>2385</v>
      </c>
      <c r="F926" s="23" t="s">
        <v>2388</v>
      </c>
      <c r="G926" s="23" t="s">
        <v>897</v>
      </c>
      <c r="H926" s="205" t="s">
        <v>1408</v>
      </c>
      <c r="I926" s="23" t="s">
        <v>2476</v>
      </c>
    </row>
    <row r="927" spans="1:9">
      <c r="A927" s="23" t="s">
        <v>1408</v>
      </c>
      <c r="B927" s="23" t="s">
        <v>2476</v>
      </c>
      <c r="C927" s="23"/>
      <c r="D927" s="23">
        <v>36.300000000000004</v>
      </c>
      <c r="E927" s="23" t="s">
        <v>2385</v>
      </c>
      <c r="F927" s="23" t="s">
        <v>735</v>
      </c>
      <c r="G927" s="23" t="s">
        <v>735</v>
      </c>
      <c r="H927" s="205" t="s">
        <v>1408</v>
      </c>
      <c r="I927" s="23" t="s">
        <v>2476</v>
      </c>
    </row>
    <row r="928" spans="1:9">
      <c r="A928" s="23" t="s">
        <v>1408</v>
      </c>
      <c r="B928" s="23" t="s">
        <v>2476</v>
      </c>
      <c r="C928" s="23"/>
      <c r="D928" s="23">
        <v>11.5</v>
      </c>
      <c r="E928" s="23" t="s">
        <v>2385</v>
      </c>
      <c r="F928" s="23" t="s">
        <v>56</v>
      </c>
      <c r="G928" s="23" t="s">
        <v>56</v>
      </c>
      <c r="H928" s="205" t="s">
        <v>1408</v>
      </c>
      <c r="I928" s="23" t="s">
        <v>2476</v>
      </c>
    </row>
    <row r="929" spans="1:9">
      <c r="A929" s="23" t="s">
        <v>1408</v>
      </c>
      <c r="B929" s="23" t="s">
        <v>2476</v>
      </c>
      <c r="C929" s="23"/>
      <c r="D929" s="23">
        <v>65.34</v>
      </c>
      <c r="E929" s="23" t="s">
        <v>632</v>
      </c>
      <c r="F929" s="23" t="s">
        <v>2387</v>
      </c>
      <c r="G929" s="23" t="s">
        <v>739</v>
      </c>
      <c r="H929" s="205" t="s">
        <v>1408</v>
      </c>
      <c r="I929" s="23" t="s">
        <v>2476</v>
      </c>
    </row>
    <row r="930" spans="1:9">
      <c r="A930" s="23" t="s">
        <v>1408</v>
      </c>
      <c r="B930" s="23" t="s">
        <v>2476</v>
      </c>
      <c r="C930" s="23"/>
      <c r="D930" s="23">
        <v>50.820000000000007</v>
      </c>
      <c r="E930" s="23" t="s">
        <v>632</v>
      </c>
      <c r="F930" s="23" t="s">
        <v>2388</v>
      </c>
      <c r="G930" s="23" t="s">
        <v>897</v>
      </c>
      <c r="H930" s="205" t="s">
        <v>1408</v>
      </c>
      <c r="I930" s="23" t="s">
        <v>2476</v>
      </c>
    </row>
    <row r="931" spans="1:9">
      <c r="A931" s="23" t="s">
        <v>1408</v>
      </c>
      <c r="B931" s="23" t="s">
        <v>2476</v>
      </c>
      <c r="C931" s="23"/>
      <c r="D931" s="23">
        <v>36.300000000000004</v>
      </c>
      <c r="E931" s="23" t="s">
        <v>632</v>
      </c>
      <c r="F931" s="23" t="s">
        <v>735</v>
      </c>
      <c r="G931" s="23" t="s">
        <v>735</v>
      </c>
      <c r="H931" s="205" t="s">
        <v>1408</v>
      </c>
      <c r="I931" s="23" t="s">
        <v>2476</v>
      </c>
    </row>
    <row r="932" spans="1:9">
      <c r="A932" s="23" t="s">
        <v>1408</v>
      </c>
      <c r="B932" s="23" t="s">
        <v>2476</v>
      </c>
      <c r="C932" s="23"/>
      <c r="D932" s="23">
        <v>11.5</v>
      </c>
      <c r="E932" s="23" t="s">
        <v>632</v>
      </c>
      <c r="F932" s="23" t="s">
        <v>56</v>
      </c>
      <c r="G932" s="23" t="s">
        <v>56</v>
      </c>
      <c r="H932" s="205" t="s">
        <v>1408</v>
      </c>
      <c r="I932" s="23" t="s">
        <v>2476</v>
      </c>
    </row>
    <row r="933" spans="1:9">
      <c r="A933" s="23" t="s">
        <v>1408</v>
      </c>
      <c r="B933" s="23" t="s">
        <v>2476</v>
      </c>
      <c r="C933" s="23"/>
      <c r="D933" s="23">
        <v>65.34</v>
      </c>
      <c r="E933" s="23" t="s">
        <v>2389</v>
      </c>
      <c r="F933" s="23" t="s">
        <v>2387</v>
      </c>
      <c r="G933" s="23" t="s">
        <v>739</v>
      </c>
      <c r="H933" s="205" t="s">
        <v>1408</v>
      </c>
      <c r="I933" s="23" t="s">
        <v>2476</v>
      </c>
    </row>
    <row r="934" spans="1:9">
      <c r="A934" s="23" t="s">
        <v>1408</v>
      </c>
      <c r="B934" s="23" t="s">
        <v>2476</v>
      </c>
      <c r="C934" s="23"/>
      <c r="D934" s="23">
        <v>50.820000000000007</v>
      </c>
      <c r="E934" s="23" t="s">
        <v>2389</v>
      </c>
      <c r="F934" s="23" t="s">
        <v>2388</v>
      </c>
      <c r="G934" s="23" t="s">
        <v>897</v>
      </c>
      <c r="H934" s="205" t="s">
        <v>1408</v>
      </c>
      <c r="I934" s="23" t="s">
        <v>2476</v>
      </c>
    </row>
    <row r="935" spans="1:9">
      <c r="A935" s="23" t="s">
        <v>1408</v>
      </c>
      <c r="B935" s="23" t="s">
        <v>2476</v>
      </c>
      <c r="C935" s="23"/>
      <c r="D935" s="23">
        <v>36.300000000000004</v>
      </c>
      <c r="E935" s="23" t="s">
        <v>2389</v>
      </c>
      <c r="F935" s="23" t="s">
        <v>735</v>
      </c>
      <c r="G935" s="23" t="s">
        <v>735</v>
      </c>
      <c r="H935" s="205" t="s">
        <v>1408</v>
      </c>
      <c r="I935" s="23" t="s">
        <v>2476</v>
      </c>
    </row>
    <row r="936" spans="1:9">
      <c r="A936" s="23" t="s">
        <v>1408</v>
      </c>
      <c r="B936" s="23" t="s">
        <v>2476</v>
      </c>
      <c r="C936" s="23"/>
      <c r="D936" s="23">
        <v>11.5</v>
      </c>
      <c r="E936" s="23" t="s">
        <v>2389</v>
      </c>
      <c r="F936" s="23" t="s">
        <v>56</v>
      </c>
      <c r="G936" s="23" t="s">
        <v>56</v>
      </c>
      <c r="H936" s="205" t="s">
        <v>1408</v>
      </c>
      <c r="I936" s="23" t="s">
        <v>2476</v>
      </c>
    </row>
    <row r="937" spans="1:9">
      <c r="A937" s="23" t="s">
        <v>1408</v>
      </c>
      <c r="B937" s="23" t="s">
        <v>2477</v>
      </c>
      <c r="C937" s="23"/>
      <c r="D937" s="23">
        <v>18</v>
      </c>
      <c r="E937" s="23" t="s">
        <v>2385</v>
      </c>
      <c r="F937" s="23" t="s">
        <v>2387</v>
      </c>
      <c r="G937" s="23" t="s">
        <v>739</v>
      </c>
      <c r="H937" s="205" t="s">
        <v>1408</v>
      </c>
      <c r="I937" s="23" t="s">
        <v>2477</v>
      </c>
    </row>
    <row r="938" spans="1:9">
      <c r="A938" s="23" t="s">
        <v>1408</v>
      </c>
      <c r="B938" s="23" t="s">
        <v>2477</v>
      </c>
      <c r="C938" s="23"/>
      <c r="D938" s="23">
        <v>14.000000000000002</v>
      </c>
      <c r="E938" s="23" t="s">
        <v>2385</v>
      </c>
      <c r="F938" s="23" t="s">
        <v>2388</v>
      </c>
      <c r="G938" s="23" t="s">
        <v>897</v>
      </c>
      <c r="H938" s="205" t="s">
        <v>1408</v>
      </c>
      <c r="I938" s="23" t="s">
        <v>2477</v>
      </c>
    </row>
    <row r="939" spans="1:9">
      <c r="A939" s="23" t="s">
        <v>1408</v>
      </c>
      <c r="B939" s="23" t="s">
        <v>2477</v>
      </c>
      <c r="C939" s="23"/>
      <c r="D939" s="23">
        <v>10</v>
      </c>
      <c r="E939" s="23" t="s">
        <v>2385</v>
      </c>
      <c r="F939" s="23" t="s">
        <v>735</v>
      </c>
      <c r="G939" s="23" t="s">
        <v>735</v>
      </c>
      <c r="H939" s="205" t="s">
        <v>1408</v>
      </c>
      <c r="I939" s="23" t="s">
        <v>2477</v>
      </c>
    </row>
    <row r="940" spans="1:9">
      <c r="A940" s="23" t="s">
        <v>1408</v>
      </c>
      <c r="B940" s="23" t="s">
        <v>2477</v>
      </c>
      <c r="C940" s="23"/>
      <c r="D940" s="23">
        <v>1.5</v>
      </c>
      <c r="E940" s="23" t="s">
        <v>2385</v>
      </c>
      <c r="F940" s="23" t="s">
        <v>56</v>
      </c>
      <c r="G940" s="23" t="s">
        <v>56</v>
      </c>
      <c r="H940" s="205" t="s">
        <v>1408</v>
      </c>
      <c r="I940" s="23" t="s">
        <v>2477</v>
      </c>
    </row>
    <row r="941" spans="1:9">
      <c r="A941" s="23" t="s">
        <v>1408</v>
      </c>
      <c r="B941" s="23" t="s">
        <v>2477</v>
      </c>
      <c r="C941" s="23"/>
      <c r="D941" s="23">
        <v>18</v>
      </c>
      <c r="E941" s="23" t="s">
        <v>632</v>
      </c>
      <c r="F941" s="23" t="s">
        <v>2387</v>
      </c>
      <c r="G941" s="23" t="s">
        <v>739</v>
      </c>
      <c r="H941" s="205" t="s">
        <v>1408</v>
      </c>
      <c r="I941" s="23" t="s">
        <v>2477</v>
      </c>
    </row>
    <row r="942" spans="1:9">
      <c r="A942" s="23" t="s">
        <v>1408</v>
      </c>
      <c r="B942" s="23" t="s">
        <v>2477</v>
      </c>
      <c r="C942" s="23"/>
      <c r="D942" s="23">
        <v>14.000000000000002</v>
      </c>
      <c r="E942" s="23" t="s">
        <v>632</v>
      </c>
      <c r="F942" s="23" t="s">
        <v>2388</v>
      </c>
      <c r="G942" s="23" t="s">
        <v>897</v>
      </c>
      <c r="H942" s="205" t="s">
        <v>1408</v>
      </c>
      <c r="I942" s="23" t="s">
        <v>2477</v>
      </c>
    </row>
    <row r="943" spans="1:9">
      <c r="A943" s="23" t="s">
        <v>1408</v>
      </c>
      <c r="B943" s="23" t="s">
        <v>2477</v>
      </c>
      <c r="C943" s="23"/>
      <c r="D943" s="23">
        <v>10</v>
      </c>
      <c r="E943" s="23" t="s">
        <v>632</v>
      </c>
      <c r="F943" s="23" t="s">
        <v>735</v>
      </c>
      <c r="G943" s="23" t="s">
        <v>735</v>
      </c>
      <c r="H943" s="205" t="s">
        <v>1408</v>
      </c>
      <c r="I943" s="23" t="s">
        <v>2477</v>
      </c>
    </row>
    <row r="944" spans="1:9">
      <c r="A944" s="23" t="s">
        <v>1408</v>
      </c>
      <c r="B944" s="23" t="s">
        <v>2477</v>
      </c>
      <c r="C944" s="23"/>
      <c r="D944" s="23">
        <v>1.5</v>
      </c>
      <c r="E944" s="23" t="s">
        <v>632</v>
      </c>
      <c r="F944" s="23" t="s">
        <v>56</v>
      </c>
      <c r="G944" s="23" t="s">
        <v>56</v>
      </c>
      <c r="H944" s="205" t="s">
        <v>1408</v>
      </c>
      <c r="I944" s="23" t="s">
        <v>2477</v>
      </c>
    </row>
    <row r="945" spans="1:9">
      <c r="A945" s="23" t="s">
        <v>1408</v>
      </c>
      <c r="B945" s="23" t="s">
        <v>2477</v>
      </c>
      <c r="C945" s="23"/>
      <c r="D945" s="23">
        <v>20.078999999999997</v>
      </c>
      <c r="E945" s="23" t="s">
        <v>2389</v>
      </c>
      <c r="F945" s="23" t="s">
        <v>2387</v>
      </c>
      <c r="G945" s="23" t="s">
        <v>739</v>
      </c>
      <c r="H945" s="205" t="s">
        <v>1408</v>
      </c>
      <c r="I945" s="23" t="s">
        <v>2477</v>
      </c>
    </row>
    <row r="946" spans="1:9">
      <c r="A946" s="23" t="s">
        <v>1408</v>
      </c>
      <c r="B946" s="23" t="s">
        <v>2477</v>
      </c>
      <c r="C946" s="23"/>
      <c r="D946" s="23">
        <v>15.617000000000001</v>
      </c>
      <c r="E946" s="23" t="s">
        <v>2389</v>
      </c>
      <c r="F946" s="23" t="s">
        <v>2388</v>
      </c>
      <c r="G946" s="23" t="s">
        <v>897</v>
      </c>
      <c r="H946" s="205" t="s">
        <v>1408</v>
      </c>
      <c r="I946" s="23" t="s">
        <v>2477</v>
      </c>
    </row>
    <row r="947" spans="1:9">
      <c r="A947" s="23" t="s">
        <v>1408</v>
      </c>
      <c r="B947" s="23" t="s">
        <v>2477</v>
      </c>
      <c r="C947" s="23"/>
      <c r="D947" s="23">
        <v>11.155000000000001</v>
      </c>
      <c r="E947" s="23" t="s">
        <v>2389</v>
      </c>
      <c r="F947" s="23" t="s">
        <v>735</v>
      </c>
      <c r="G947" s="23" t="s">
        <v>735</v>
      </c>
      <c r="H947" s="205" t="s">
        <v>1408</v>
      </c>
      <c r="I947" s="23" t="s">
        <v>2477</v>
      </c>
    </row>
    <row r="948" spans="1:9">
      <c r="A948" s="23" t="s">
        <v>1408</v>
      </c>
      <c r="B948" s="23" t="s">
        <v>2477</v>
      </c>
      <c r="C948" s="23"/>
      <c r="D948" s="23">
        <v>1.5</v>
      </c>
      <c r="E948" s="23" t="s">
        <v>2389</v>
      </c>
      <c r="F948" s="23" t="s">
        <v>56</v>
      </c>
      <c r="G948" s="23" t="s">
        <v>56</v>
      </c>
      <c r="H948" s="205" t="s">
        <v>1408</v>
      </c>
      <c r="I948" s="23" t="s">
        <v>2477</v>
      </c>
    </row>
    <row r="949" spans="1:9">
      <c r="A949" s="23" t="s">
        <v>1408</v>
      </c>
      <c r="B949" s="23" t="s">
        <v>2479</v>
      </c>
      <c r="C949" s="23"/>
      <c r="D949" s="23">
        <v>11.384999999999998</v>
      </c>
      <c r="E949" s="23" t="s">
        <v>2385</v>
      </c>
      <c r="F949" s="23" t="s">
        <v>2387</v>
      </c>
      <c r="G949" s="23" t="s">
        <v>739</v>
      </c>
      <c r="H949" s="205" t="s">
        <v>1408</v>
      </c>
      <c r="I949" s="23" t="s">
        <v>2479</v>
      </c>
    </row>
    <row r="950" spans="1:9">
      <c r="A950" s="23" t="s">
        <v>1408</v>
      </c>
      <c r="B950" s="23" t="s">
        <v>2479</v>
      </c>
      <c r="C950" s="23"/>
      <c r="D950" s="23">
        <v>8.8550000000000004</v>
      </c>
      <c r="E950" s="23" t="s">
        <v>2385</v>
      </c>
      <c r="F950" s="23" t="s">
        <v>2388</v>
      </c>
      <c r="G950" s="23" t="s">
        <v>897</v>
      </c>
      <c r="H950" s="205" t="s">
        <v>1408</v>
      </c>
      <c r="I950" s="23" t="s">
        <v>2479</v>
      </c>
    </row>
    <row r="951" spans="1:9">
      <c r="A951" s="23" t="s">
        <v>1408</v>
      </c>
      <c r="B951" s="23" t="s">
        <v>2479</v>
      </c>
      <c r="C951" s="23"/>
      <c r="D951" s="23">
        <v>6.3249999999999993</v>
      </c>
      <c r="E951" s="23" t="s">
        <v>2385</v>
      </c>
      <c r="F951" s="23" t="s">
        <v>735</v>
      </c>
      <c r="G951" s="23" t="s">
        <v>735</v>
      </c>
      <c r="H951" s="205" t="s">
        <v>1408</v>
      </c>
      <c r="I951" s="23" t="s">
        <v>2479</v>
      </c>
    </row>
    <row r="952" spans="1:9">
      <c r="A952" s="23" t="s">
        <v>1408</v>
      </c>
      <c r="B952" s="23" t="s">
        <v>2479</v>
      </c>
      <c r="C952" s="23"/>
      <c r="D952" s="23">
        <v>0.57500000000000007</v>
      </c>
      <c r="E952" s="23" t="s">
        <v>2385</v>
      </c>
      <c r="F952" s="23" t="s">
        <v>56</v>
      </c>
      <c r="G952" s="23" t="s">
        <v>56</v>
      </c>
      <c r="H952" s="205" t="s">
        <v>1408</v>
      </c>
      <c r="I952" s="23" t="s">
        <v>2479</v>
      </c>
    </row>
    <row r="953" spans="1:9">
      <c r="A953" s="23" t="s">
        <v>1408</v>
      </c>
      <c r="B953" s="23" t="s">
        <v>2479</v>
      </c>
      <c r="C953" s="23"/>
      <c r="D953" s="23">
        <v>11.695499999999999</v>
      </c>
      <c r="E953" s="23" t="s">
        <v>632</v>
      </c>
      <c r="F953" s="23" t="s">
        <v>2387</v>
      </c>
      <c r="G953" s="23" t="s">
        <v>739</v>
      </c>
      <c r="H953" s="205" t="s">
        <v>1408</v>
      </c>
      <c r="I953" s="23" t="s">
        <v>2479</v>
      </c>
    </row>
    <row r="954" spans="1:9">
      <c r="A954" s="23" t="s">
        <v>1408</v>
      </c>
      <c r="B954" s="23" t="s">
        <v>2479</v>
      </c>
      <c r="C954" s="23"/>
      <c r="D954" s="23">
        <v>9.0965000000000007</v>
      </c>
      <c r="E954" s="23" t="s">
        <v>632</v>
      </c>
      <c r="F954" s="23" t="s">
        <v>2388</v>
      </c>
      <c r="G954" s="23" t="s">
        <v>897</v>
      </c>
      <c r="H954" s="205" t="s">
        <v>1408</v>
      </c>
      <c r="I954" s="23" t="s">
        <v>2479</v>
      </c>
    </row>
    <row r="955" spans="1:9">
      <c r="A955" s="23" t="s">
        <v>1408</v>
      </c>
      <c r="B955" s="23" t="s">
        <v>2479</v>
      </c>
      <c r="C955" s="23"/>
      <c r="D955" s="23">
        <v>6.4974999999999996</v>
      </c>
      <c r="E955" s="23" t="s">
        <v>632</v>
      </c>
      <c r="F955" s="23" t="s">
        <v>735</v>
      </c>
      <c r="G955" s="23" t="s">
        <v>735</v>
      </c>
      <c r="H955" s="205" t="s">
        <v>1408</v>
      </c>
      <c r="I955" s="23" t="s">
        <v>2479</v>
      </c>
    </row>
    <row r="956" spans="1:9">
      <c r="A956" s="23" t="s">
        <v>1408</v>
      </c>
      <c r="B956" s="23" t="s">
        <v>2479</v>
      </c>
      <c r="C956" s="23"/>
      <c r="D956" s="23">
        <v>1.1500000000000001</v>
      </c>
      <c r="E956" s="23" t="s">
        <v>632</v>
      </c>
      <c r="F956" s="23" t="s">
        <v>56</v>
      </c>
      <c r="G956" s="23" t="s">
        <v>56</v>
      </c>
      <c r="H956" s="205" t="s">
        <v>1408</v>
      </c>
      <c r="I956" s="23" t="s">
        <v>2479</v>
      </c>
    </row>
    <row r="957" spans="1:9">
      <c r="A957" s="23" t="s">
        <v>1408</v>
      </c>
      <c r="B957" s="23" t="s">
        <v>2479</v>
      </c>
      <c r="C957" s="23"/>
      <c r="D957" s="23">
        <v>13.040999999999997</v>
      </c>
      <c r="E957" s="23" t="s">
        <v>2389</v>
      </c>
      <c r="F957" s="23" t="s">
        <v>2387</v>
      </c>
      <c r="G957" s="23" t="s">
        <v>739</v>
      </c>
      <c r="H957" s="205" t="s">
        <v>1408</v>
      </c>
      <c r="I957" s="23" t="s">
        <v>2479</v>
      </c>
    </row>
    <row r="958" spans="1:9">
      <c r="A958" s="23" t="s">
        <v>1408</v>
      </c>
      <c r="B958" s="23" t="s">
        <v>2479</v>
      </c>
      <c r="C958" s="23"/>
      <c r="D958" s="23">
        <v>10.142999999999999</v>
      </c>
      <c r="E958" s="23" t="s">
        <v>2389</v>
      </c>
      <c r="F958" s="23" t="s">
        <v>2388</v>
      </c>
      <c r="G958" s="23" t="s">
        <v>897</v>
      </c>
      <c r="H958" s="205" t="s">
        <v>1408</v>
      </c>
      <c r="I958" s="23" t="s">
        <v>2479</v>
      </c>
    </row>
    <row r="959" spans="1:9">
      <c r="A959" s="23" t="s">
        <v>1408</v>
      </c>
      <c r="B959" s="23" t="s">
        <v>2479</v>
      </c>
      <c r="C959" s="23"/>
      <c r="D959" s="23">
        <v>7.2449999999999992</v>
      </c>
      <c r="E959" s="23" t="s">
        <v>2389</v>
      </c>
      <c r="F959" s="23" t="s">
        <v>735</v>
      </c>
      <c r="G959" s="23" t="s">
        <v>735</v>
      </c>
      <c r="H959" s="205" t="s">
        <v>1408</v>
      </c>
      <c r="I959" s="23" t="s">
        <v>2479</v>
      </c>
    </row>
    <row r="960" spans="1:9">
      <c r="A960" s="23" t="s">
        <v>1408</v>
      </c>
      <c r="B960" s="23" t="s">
        <v>2479</v>
      </c>
      <c r="C960" s="23"/>
      <c r="D960" s="23">
        <v>0.45999999999999996</v>
      </c>
      <c r="E960" s="23" t="s">
        <v>2389</v>
      </c>
      <c r="F960" s="23" t="s">
        <v>56</v>
      </c>
      <c r="G960" s="23" t="s">
        <v>56</v>
      </c>
      <c r="H960" s="205" t="s">
        <v>1408</v>
      </c>
      <c r="I960" s="23" t="s">
        <v>2479</v>
      </c>
    </row>
    <row r="961" spans="1:9">
      <c r="A961" s="23" t="s">
        <v>1408</v>
      </c>
      <c r="B961" s="23" t="s">
        <v>2481</v>
      </c>
      <c r="C961" s="23"/>
      <c r="D961" s="23">
        <v>26.91</v>
      </c>
      <c r="E961" s="23" t="s">
        <v>2385</v>
      </c>
      <c r="F961" s="23" t="s">
        <v>2387</v>
      </c>
      <c r="G961" s="23" t="s">
        <v>739</v>
      </c>
      <c r="H961" s="205" t="s">
        <v>1408</v>
      </c>
      <c r="I961" s="23" t="s">
        <v>2481</v>
      </c>
    </row>
    <row r="962" spans="1:9">
      <c r="A962" s="23" t="s">
        <v>1408</v>
      </c>
      <c r="B962" s="23" t="s">
        <v>2481</v>
      </c>
      <c r="C962" s="23"/>
      <c r="D962" s="23">
        <v>20.930000000000003</v>
      </c>
      <c r="E962" s="23" t="s">
        <v>2385</v>
      </c>
      <c r="F962" s="23" t="s">
        <v>2388</v>
      </c>
      <c r="G962" s="23" t="s">
        <v>897</v>
      </c>
      <c r="H962" s="205" t="s">
        <v>1408</v>
      </c>
      <c r="I962" s="23" t="s">
        <v>2481</v>
      </c>
    </row>
    <row r="963" spans="1:9">
      <c r="A963" s="23" t="s">
        <v>1408</v>
      </c>
      <c r="B963" s="23" t="s">
        <v>2481</v>
      </c>
      <c r="C963" s="23"/>
      <c r="D963" s="23">
        <v>14.950000000000001</v>
      </c>
      <c r="E963" s="23" t="s">
        <v>2385</v>
      </c>
      <c r="F963" s="23" t="s">
        <v>735</v>
      </c>
      <c r="G963" s="23" t="s">
        <v>735</v>
      </c>
      <c r="H963" s="205" t="s">
        <v>1408</v>
      </c>
      <c r="I963" s="23" t="s">
        <v>2481</v>
      </c>
    </row>
    <row r="964" spans="1:9">
      <c r="A964" s="23" t="s">
        <v>1408</v>
      </c>
      <c r="B964" s="23" t="s">
        <v>2481</v>
      </c>
      <c r="C964" s="23"/>
      <c r="D964" s="23">
        <v>2.5500000000000003</v>
      </c>
      <c r="E964" s="23" t="s">
        <v>2385</v>
      </c>
      <c r="F964" s="23" t="s">
        <v>56</v>
      </c>
      <c r="G964" s="23" t="s">
        <v>56</v>
      </c>
      <c r="H964" s="205" t="s">
        <v>1408</v>
      </c>
      <c r="I964" s="23" t="s">
        <v>2481</v>
      </c>
    </row>
    <row r="965" spans="1:9">
      <c r="A965" s="23" t="s">
        <v>1408</v>
      </c>
      <c r="B965" s="23" t="s">
        <v>2481</v>
      </c>
      <c r="C965" s="23"/>
      <c r="D965" s="23">
        <v>29.186999999999994</v>
      </c>
      <c r="E965" s="23" t="s">
        <v>632</v>
      </c>
      <c r="F965" s="23" t="s">
        <v>2387</v>
      </c>
      <c r="G965" s="23" t="s">
        <v>739</v>
      </c>
      <c r="H965" s="205" t="s">
        <v>1408</v>
      </c>
      <c r="I965" s="23" t="s">
        <v>2481</v>
      </c>
    </row>
    <row r="966" spans="1:9">
      <c r="A966" s="23" t="s">
        <v>1408</v>
      </c>
      <c r="B966" s="23" t="s">
        <v>2481</v>
      </c>
      <c r="C966" s="23"/>
      <c r="D966" s="23">
        <v>22.701000000000001</v>
      </c>
      <c r="E966" s="23" t="s">
        <v>632</v>
      </c>
      <c r="F966" s="23" t="s">
        <v>2388</v>
      </c>
      <c r="G966" s="23" t="s">
        <v>897</v>
      </c>
      <c r="H966" s="205" t="s">
        <v>1408</v>
      </c>
      <c r="I966" s="23" t="s">
        <v>2481</v>
      </c>
    </row>
    <row r="967" spans="1:9">
      <c r="A967" s="23" t="s">
        <v>1408</v>
      </c>
      <c r="B967" s="23" t="s">
        <v>2481</v>
      </c>
      <c r="C967" s="23"/>
      <c r="D967" s="23">
        <v>16.215</v>
      </c>
      <c r="E967" s="23" t="s">
        <v>632</v>
      </c>
      <c r="F967" s="23" t="s">
        <v>735</v>
      </c>
      <c r="G967" s="23" t="s">
        <v>735</v>
      </c>
      <c r="H967" s="205" t="s">
        <v>1408</v>
      </c>
      <c r="I967" s="23" t="s">
        <v>2481</v>
      </c>
    </row>
    <row r="968" spans="1:9">
      <c r="A968" s="23" t="s">
        <v>1408</v>
      </c>
      <c r="B968" s="23" t="s">
        <v>2481</v>
      </c>
      <c r="C968" s="23"/>
      <c r="D968" s="23">
        <v>2.5500000000000003</v>
      </c>
      <c r="E968" s="23" t="s">
        <v>632</v>
      </c>
      <c r="F968" s="23" t="s">
        <v>56</v>
      </c>
      <c r="G968" s="23" t="s">
        <v>56</v>
      </c>
      <c r="H968" s="205" t="s">
        <v>1408</v>
      </c>
      <c r="I968" s="23" t="s">
        <v>2481</v>
      </c>
    </row>
    <row r="969" spans="1:9">
      <c r="A969" s="23" t="s">
        <v>1408</v>
      </c>
      <c r="B969" s="23" t="s">
        <v>2481</v>
      </c>
      <c r="C969" s="23"/>
      <c r="D969" s="23">
        <v>38.915999999999997</v>
      </c>
      <c r="E969" s="23" t="s">
        <v>2389</v>
      </c>
      <c r="F969" s="23" t="s">
        <v>2387</v>
      </c>
      <c r="G969" s="23" t="s">
        <v>739</v>
      </c>
      <c r="H969" s="205" t="s">
        <v>1408</v>
      </c>
      <c r="I969" s="23" t="s">
        <v>2481</v>
      </c>
    </row>
    <row r="970" spans="1:9">
      <c r="A970" s="23" t="s">
        <v>1408</v>
      </c>
      <c r="B970" s="23" t="s">
        <v>2481</v>
      </c>
      <c r="C970" s="23"/>
      <c r="D970" s="23">
        <v>30.268000000000001</v>
      </c>
      <c r="E970" s="23" t="s">
        <v>2389</v>
      </c>
      <c r="F970" s="23" t="s">
        <v>2388</v>
      </c>
      <c r="G970" s="23" t="s">
        <v>897</v>
      </c>
      <c r="H970" s="205" t="s">
        <v>1408</v>
      </c>
      <c r="I970" s="23" t="s">
        <v>2481</v>
      </c>
    </row>
    <row r="971" spans="1:9">
      <c r="A971" s="23" t="s">
        <v>1408</v>
      </c>
      <c r="B971" s="23" t="s">
        <v>2481</v>
      </c>
      <c r="C971" s="23"/>
      <c r="D971" s="23">
        <v>21.62</v>
      </c>
      <c r="E971" s="23" t="s">
        <v>2389</v>
      </c>
      <c r="F971" s="23" t="s">
        <v>735</v>
      </c>
      <c r="G971" s="23" t="s">
        <v>735</v>
      </c>
      <c r="H971" s="205" t="s">
        <v>1408</v>
      </c>
      <c r="I971" s="23" t="s">
        <v>2481</v>
      </c>
    </row>
    <row r="972" spans="1:9">
      <c r="A972" s="23" t="s">
        <v>1408</v>
      </c>
      <c r="B972" s="23" t="s">
        <v>2481</v>
      </c>
      <c r="C972" s="23"/>
      <c r="D972" s="23">
        <v>2.9000000000000004</v>
      </c>
      <c r="E972" s="23" t="s">
        <v>2389</v>
      </c>
      <c r="F972" s="23" t="s">
        <v>56</v>
      </c>
      <c r="G972" s="23" t="s">
        <v>56</v>
      </c>
      <c r="H972" s="205" t="s">
        <v>1408</v>
      </c>
      <c r="I972" s="23" t="s">
        <v>2481</v>
      </c>
    </row>
    <row r="973" spans="1:9">
      <c r="A973" s="23" t="s">
        <v>1408</v>
      </c>
      <c r="B973" s="23" t="s">
        <v>2483</v>
      </c>
      <c r="C973" s="23"/>
      <c r="D973" s="23">
        <v>69.209999999999994</v>
      </c>
      <c r="E973" s="23" t="s">
        <v>2385</v>
      </c>
      <c r="F973" s="23" t="s">
        <v>2387</v>
      </c>
      <c r="G973" s="23" t="s">
        <v>739</v>
      </c>
      <c r="H973" s="205" t="s">
        <v>1408</v>
      </c>
      <c r="I973" s="23" t="s">
        <v>2483</v>
      </c>
    </row>
    <row r="974" spans="1:9">
      <c r="A974" s="23" t="s">
        <v>1408</v>
      </c>
      <c r="B974" s="23" t="s">
        <v>2483</v>
      </c>
      <c r="C974" s="23"/>
      <c r="D974" s="23">
        <v>53.830000000000005</v>
      </c>
      <c r="E974" s="23" t="s">
        <v>2385</v>
      </c>
      <c r="F974" s="23" t="s">
        <v>2388</v>
      </c>
      <c r="G974" s="23" t="s">
        <v>897</v>
      </c>
      <c r="H974" s="205" t="s">
        <v>1408</v>
      </c>
      <c r="I974" s="23" t="s">
        <v>2483</v>
      </c>
    </row>
    <row r="975" spans="1:9">
      <c r="A975" s="23" t="s">
        <v>1408</v>
      </c>
      <c r="B975" s="23" t="s">
        <v>2483</v>
      </c>
      <c r="C975" s="23"/>
      <c r="D975" s="23">
        <v>38.450000000000003</v>
      </c>
      <c r="E975" s="23" t="s">
        <v>2385</v>
      </c>
      <c r="F975" s="23" t="s">
        <v>735</v>
      </c>
      <c r="G975" s="23" t="s">
        <v>735</v>
      </c>
      <c r="H975" s="205" t="s">
        <v>1408</v>
      </c>
      <c r="I975" s="23" t="s">
        <v>2483</v>
      </c>
    </row>
    <row r="976" spans="1:9">
      <c r="A976" s="23" t="s">
        <v>1408</v>
      </c>
      <c r="B976" s="23" t="s">
        <v>2483</v>
      </c>
      <c r="C976" s="23"/>
      <c r="D976" s="23">
        <v>4.55</v>
      </c>
      <c r="E976" s="23" t="s">
        <v>2385</v>
      </c>
      <c r="F976" s="23" t="s">
        <v>56</v>
      </c>
      <c r="G976" s="23" t="s">
        <v>56</v>
      </c>
      <c r="H976" s="205" t="s">
        <v>1408</v>
      </c>
      <c r="I976" s="23" t="s">
        <v>2483</v>
      </c>
    </row>
    <row r="977" spans="1:9">
      <c r="A977" s="23" t="s">
        <v>1408</v>
      </c>
      <c r="B977" s="23" t="s">
        <v>2483</v>
      </c>
      <c r="C977" s="23"/>
      <c r="D977" s="23">
        <v>72.5535</v>
      </c>
      <c r="E977" s="23" t="s">
        <v>632</v>
      </c>
      <c r="F977" s="23" t="s">
        <v>2387</v>
      </c>
      <c r="G977" s="23" t="s">
        <v>739</v>
      </c>
      <c r="H977" s="205" t="s">
        <v>1408</v>
      </c>
      <c r="I977" s="23" t="s">
        <v>2483</v>
      </c>
    </row>
    <row r="978" spans="1:9">
      <c r="A978" s="23" t="s">
        <v>1408</v>
      </c>
      <c r="B978" s="23" t="s">
        <v>2483</v>
      </c>
      <c r="C978" s="23"/>
      <c r="D978" s="23">
        <v>56.430500000000002</v>
      </c>
      <c r="E978" s="23" t="s">
        <v>632</v>
      </c>
      <c r="F978" s="23" t="s">
        <v>2388</v>
      </c>
      <c r="G978" s="23" t="s">
        <v>897</v>
      </c>
      <c r="H978" s="205" t="s">
        <v>1408</v>
      </c>
      <c r="I978" s="23" t="s">
        <v>2483</v>
      </c>
    </row>
    <row r="979" spans="1:9">
      <c r="A979" s="23" t="s">
        <v>1408</v>
      </c>
      <c r="B979" s="23" t="s">
        <v>2483</v>
      </c>
      <c r="C979" s="23"/>
      <c r="D979" s="23">
        <v>40.307500000000005</v>
      </c>
      <c r="E979" s="23" t="s">
        <v>632</v>
      </c>
      <c r="F979" s="23" t="s">
        <v>735</v>
      </c>
      <c r="G979" s="23" t="s">
        <v>735</v>
      </c>
      <c r="H979" s="205" t="s">
        <v>1408</v>
      </c>
      <c r="I979" s="23" t="s">
        <v>2483</v>
      </c>
    </row>
    <row r="980" spans="1:9">
      <c r="A980" s="23" t="s">
        <v>1408</v>
      </c>
      <c r="B980" s="23" t="s">
        <v>2483</v>
      </c>
      <c r="C980" s="23"/>
      <c r="D980" s="23">
        <v>4.55</v>
      </c>
      <c r="E980" s="23" t="s">
        <v>632</v>
      </c>
      <c r="F980" s="23" t="s">
        <v>56</v>
      </c>
      <c r="G980" s="23" t="s">
        <v>56</v>
      </c>
      <c r="H980" s="205" t="s">
        <v>1408</v>
      </c>
      <c r="I980" s="23" t="s">
        <v>2483</v>
      </c>
    </row>
    <row r="981" spans="1:9">
      <c r="A981" s="23" t="s">
        <v>1408</v>
      </c>
      <c r="B981" s="23" t="s">
        <v>2483</v>
      </c>
      <c r="C981" s="23"/>
      <c r="D981" s="23">
        <v>73.277999999999992</v>
      </c>
      <c r="E981" s="23" t="s">
        <v>2389</v>
      </c>
      <c r="F981" s="23" t="s">
        <v>2387</v>
      </c>
      <c r="G981" s="23" t="s">
        <v>739</v>
      </c>
      <c r="H981" s="205" t="s">
        <v>1408</v>
      </c>
      <c r="I981" s="23" t="s">
        <v>2483</v>
      </c>
    </row>
    <row r="982" spans="1:9">
      <c r="A982" s="23" t="s">
        <v>1408</v>
      </c>
      <c r="B982" s="23" t="s">
        <v>2483</v>
      </c>
      <c r="C982" s="23"/>
      <c r="D982" s="23">
        <v>56.994</v>
      </c>
      <c r="E982" s="23" t="s">
        <v>2389</v>
      </c>
      <c r="F982" s="23" t="s">
        <v>2388</v>
      </c>
      <c r="G982" s="23" t="s">
        <v>897</v>
      </c>
      <c r="H982" s="205" t="s">
        <v>1408</v>
      </c>
      <c r="I982" s="23" t="s">
        <v>2483</v>
      </c>
    </row>
    <row r="983" spans="1:9">
      <c r="A983" s="23" t="s">
        <v>1408</v>
      </c>
      <c r="B983" s="23" t="s">
        <v>2483</v>
      </c>
      <c r="C983" s="23"/>
      <c r="D983" s="23">
        <v>40.71</v>
      </c>
      <c r="E983" s="23" t="s">
        <v>2389</v>
      </c>
      <c r="F983" s="23" t="s">
        <v>735</v>
      </c>
      <c r="G983" s="23" t="s">
        <v>735</v>
      </c>
      <c r="H983" s="205" t="s">
        <v>1408</v>
      </c>
      <c r="I983" s="23" t="s">
        <v>2483</v>
      </c>
    </row>
    <row r="984" spans="1:9">
      <c r="A984" s="23" t="s">
        <v>1408</v>
      </c>
      <c r="B984" s="23" t="s">
        <v>2483</v>
      </c>
      <c r="C984" s="23"/>
      <c r="D984" s="23">
        <v>4.55</v>
      </c>
      <c r="E984" s="23" t="s">
        <v>2389</v>
      </c>
      <c r="F984" s="23" t="s">
        <v>56</v>
      </c>
      <c r="G984" s="23" t="s">
        <v>56</v>
      </c>
      <c r="H984" s="205" t="s">
        <v>1408</v>
      </c>
      <c r="I984" s="23" t="s">
        <v>2483</v>
      </c>
    </row>
    <row r="985" spans="1:9">
      <c r="A985" s="23" t="s">
        <v>1408</v>
      </c>
      <c r="B985" s="23" t="s">
        <v>2485</v>
      </c>
      <c r="C985" s="23"/>
      <c r="D985" s="23">
        <v>71.009999999999991</v>
      </c>
      <c r="E985" s="23" t="s">
        <v>2385</v>
      </c>
      <c r="F985" s="23" t="s">
        <v>2387</v>
      </c>
      <c r="G985" s="23" t="s">
        <v>739</v>
      </c>
      <c r="H985" s="205" t="s">
        <v>1408</v>
      </c>
      <c r="I985" s="23" t="s">
        <v>2485</v>
      </c>
    </row>
    <row r="986" spans="1:9">
      <c r="A986" s="23" t="s">
        <v>1408</v>
      </c>
      <c r="B986" s="23" t="s">
        <v>2485</v>
      </c>
      <c r="C986" s="23"/>
      <c r="D986" s="23">
        <v>55.230000000000004</v>
      </c>
      <c r="E986" s="23" t="s">
        <v>2385</v>
      </c>
      <c r="F986" s="23" t="s">
        <v>2388</v>
      </c>
      <c r="G986" s="23" t="s">
        <v>897</v>
      </c>
      <c r="H986" s="205" t="s">
        <v>1408</v>
      </c>
      <c r="I986" s="23" t="s">
        <v>2485</v>
      </c>
    </row>
    <row r="987" spans="1:9">
      <c r="A987" s="23" t="s">
        <v>1408</v>
      </c>
      <c r="B987" s="23" t="s">
        <v>2485</v>
      </c>
      <c r="C987" s="23"/>
      <c r="D987" s="23">
        <v>39.450000000000003</v>
      </c>
      <c r="E987" s="23" t="s">
        <v>2385</v>
      </c>
      <c r="F987" s="23" t="s">
        <v>735</v>
      </c>
      <c r="G987" s="23" t="s">
        <v>735</v>
      </c>
      <c r="H987" s="205" t="s">
        <v>1408</v>
      </c>
      <c r="I987" s="23" t="s">
        <v>2485</v>
      </c>
    </row>
    <row r="988" spans="1:9">
      <c r="A988" s="23" t="s">
        <v>1408</v>
      </c>
      <c r="B988" s="23" t="s">
        <v>2485</v>
      </c>
      <c r="C988" s="23"/>
      <c r="D988" s="23">
        <v>13.05</v>
      </c>
      <c r="E988" s="23" t="s">
        <v>2385</v>
      </c>
      <c r="F988" s="23" t="s">
        <v>56</v>
      </c>
      <c r="G988" s="23" t="s">
        <v>56</v>
      </c>
      <c r="H988" s="205" t="s">
        <v>1408</v>
      </c>
      <c r="I988" s="23" t="s">
        <v>2485</v>
      </c>
    </row>
    <row r="989" spans="1:9">
      <c r="A989" s="23" t="s">
        <v>1408</v>
      </c>
      <c r="B989" s="23" t="s">
        <v>2485</v>
      </c>
      <c r="C989" s="23"/>
      <c r="D989" s="23">
        <v>71.009999999999991</v>
      </c>
      <c r="E989" s="23" t="s">
        <v>632</v>
      </c>
      <c r="F989" s="23" t="s">
        <v>2387</v>
      </c>
      <c r="G989" s="23" t="s">
        <v>739</v>
      </c>
      <c r="H989" s="205" t="s">
        <v>1408</v>
      </c>
      <c r="I989" s="23" t="s">
        <v>2485</v>
      </c>
    </row>
    <row r="990" spans="1:9">
      <c r="A990" s="23" t="s">
        <v>1408</v>
      </c>
      <c r="B990" s="23" t="s">
        <v>2485</v>
      </c>
      <c r="C990" s="23"/>
      <c r="D990" s="23">
        <v>55.230000000000004</v>
      </c>
      <c r="E990" s="23" t="s">
        <v>632</v>
      </c>
      <c r="F990" s="23" t="s">
        <v>2388</v>
      </c>
      <c r="G990" s="23" t="s">
        <v>897</v>
      </c>
      <c r="H990" s="205" t="s">
        <v>1408</v>
      </c>
      <c r="I990" s="23" t="s">
        <v>2485</v>
      </c>
    </row>
    <row r="991" spans="1:9">
      <c r="A991" s="23" t="s">
        <v>1408</v>
      </c>
      <c r="B991" s="23" t="s">
        <v>2485</v>
      </c>
      <c r="C991" s="23"/>
      <c r="D991" s="23">
        <v>39.450000000000003</v>
      </c>
      <c r="E991" s="23" t="s">
        <v>632</v>
      </c>
      <c r="F991" s="23" t="s">
        <v>735</v>
      </c>
      <c r="G991" s="23" t="s">
        <v>735</v>
      </c>
      <c r="H991" s="205" t="s">
        <v>1408</v>
      </c>
      <c r="I991" s="23" t="s">
        <v>2485</v>
      </c>
    </row>
    <row r="992" spans="1:9">
      <c r="A992" s="23" t="s">
        <v>1408</v>
      </c>
      <c r="B992" s="23" t="s">
        <v>2485</v>
      </c>
      <c r="C992" s="23"/>
      <c r="D992" s="23">
        <v>13.05</v>
      </c>
      <c r="E992" s="23" t="s">
        <v>632</v>
      </c>
      <c r="F992" s="23" t="s">
        <v>56</v>
      </c>
      <c r="G992" s="23" t="s">
        <v>56</v>
      </c>
      <c r="H992" s="205" t="s">
        <v>1408</v>
      </c>
      <c r="I992" s="23" t="s">
        <v>2485</v>
      </c>
    </row>
    <row r="993" spans="1:9">
      <c r="A993" s="23" t="s">
        <v>1408</v>
      </c>
      <c r="B993" s="23" t="s">
        <v>2485</v>
      </c>
      <c r="C993" s="23"/>
      <c r="D993" s="23">
        <v>86.111999999999995</v>
      </c>
      <c r="E993" s="23" t="s">
        <v>2389</v>
      </c>
      <c r="F993" s="23" t="s">
        <v>2387</v>
      </c>
      <c r="G993" s="23" t="s">
        <v>739</v>
      </c>
      <c r="H993" s="205" t="s">
        <v>1408</v>
      </c>
      <c r="I993" s="23" t="s">
        <v>2485</v>
      </c>
    </row>
    <row r="994" spans="1:9">
      <c r="A994" s="23" t="s">
        <v>1408</v>
      </c>
      <c r="B994" s="23" t="s">
        <v>2485</v>
      </c>
      <c r="C994" s="23"/>
      <c r="D994" s="23">
        <v>66.975999999999999</v>
      </c>
      <c r="E994" s="23" t="s">
        <v>2389</v>
      </c>
      <c r="F994" s="23" t="s">
        <v>2388</v>
      </c>
      <c r="G994" s="23" t="s">
        <v>897</v>
      </c>
      <c r="H994" s="205" t="s">
        <v>1408</v>
      </c>
      <c r="I994" s="23" t="s">
        <v>2485</v>
      </c>
    </row>
    <row r="995" spans="1:9">
      <c r="A995" s="23" t="s">
        <v>1408</v>
      </c>
      <c r="B995" s="23" t="s">
        <v>2485</v>
      </c>
      <c r="C995" s="23"/>
      <c r="D995" s="23">
        <v>47.84</v>
      </c>
      <c r="E995" s="23" t="s">
        <v>2389</v>
      </c>
      <c r="F995" s="23" t="s">
        <v>735</v>
      </c>
      <c r="G995" s="23" t="s">
        <v>735</v>
      </c>
      <c r="H995" s="205" t="s">
        <v>1408</v>
      </c>
      <c r="I995" s="23" t="s">
        <v>2485</v>
      </c>
    </row>
    <row r="996" spans="1:9">
      <c r="A996" s="23" t="s">
        <v>1408</v>
      </c>
      <c r="B996" s="23" t="s">
        <v>2485</v>
      </c>
      <c r="C996" s="23"/>
      <c r="D996" s="23">
        <v>13.05</v>
      </c>
      <c r="E996" s="23" t="s">
        <v>2389</v>
      </c>
      <c r="F996" s="23" t="s">
        <v>56</v>
      </c>
      <c r="G996" s="23" t="s">
        <v>56</v>
      </c>
      <c r="H996" s="205" t="s">
        <v>1408</v>
      </c>
      <c r="I996" s="23" t="s">
        <v>2485</v>
      </c>
    </row>
    <row r="997" spans="1:9">
      <c r="A997" s="23" t="s">
        <v>1608</v>
      </c>
      <c r="B997" s="23" t="s">
        <v>2404</v>
      </c>
      <c r="C997" s="23"/>
      <c r="D997" s="23">
        <v>50.440000000000005</v>
      </c>
      <c r="E997" s="23" t="s">
        <v>2385</v>
      </c>
      <c r="F997" s="23" t="s">
        <v>2387</v>
      </c>
      <c r="G997" s="23" t="s">
        <v>739</v>
      </c>
      <c r="H997" s="205" t="s">
        <v>1608</v>
      </c>
      <c r="I997" s="23" t="s">
        <v>2404</v>
      </c>
    </row>
    <row r="998" spans="1:9">
      <c r="A998" s="23" t="s">
        <v>1608</v>
      </c>
      <c r="B998" s="23" t="s">
        <v>2404</v>
      </c>
      <c r="C998" s="23"/>
      <c r="D998" s="23">
        <v>31.04</v>
      </c>
      <c r="E998" s="23" t="s">
        <v>2385</v>
      </c>
      <c r="F998" s="23" t="s">
        <v>2388</v>
      </c>
      <c r="G998" s="23" t="s">
        <v>897</v>
      </c>
      <c r="H998" s="205" t="s">
        <v>1608</v>
      </c>
      <c r="I998" s="23" t="s">
        <v>2404</v>
      </c>
    </row>
    <row r="999" spans="1:9">
      <c r="A999" s="23" t="s">
        <v>1608</v>
      </c>
      <c r="B999" s="23" t="s">
        <v>2404</v>
      </c>
      <c r="C999" s="23"/>
      <c r="D999" s="23">
        <v>19.400000000000002</v>
      </c>
      <c r="E999" s="23" t="s">
        <v>2385</v>
      </c>
      <c r="F999" s="23" t="s">
        <v>735</v>
      </c>
      <c r="G999" s="23" t="s">
        <v>735</v>
      </c>
      <c r="H999" s="205" t="s">
        <v>1608</v>
      </c>
      <c r="I999" s="23" t="s">
        <v>2404</v>
      </c>
    </row>
    <row r="1000" spans="1:9">
      <c r="A1000" s="23" t="s">
        <v>1608</v>
      </c>
      <c r="B1000" s="23" t="s">
        <v>2404</v>
      </c>
      <c r="C1000" s="23"/>
      <c r="D1000" s="23">
        <v>8.6</v>
      </c>
      <c r="E1000" s="23" t="s">
        <v>2385</v>
      </c>
      <c r="F1000" s="23" t="s">
        <v>56</v>
      </c>
      <c r="G1000" s="23" t="s">
        <v>56</v>
      </c>
      <c r="H1000" s="205" t="s">
        <v>1608</v>
      </c>
      <c r="I1000" s="23" t="s">
        <v>2404</v>
      </c>
    </row>
    <row r="1001" spans="1:9">
      <c r="A1001" s="23" t="s">
        <v>1608</v>
      </c>
      <c r="B1001" s="23" t="s">
        <v>2404</v>
      </c>
      <c r="C1001" s="23"/>
      <c r="D1001" s="23">
        <v>50.440000000000005</v>
      </c>
      <c r="E1001" s="23" t="s">
        <v>632</v>
      </c>
      <c r="F1001" s="23" t="s">
        <v>2387</v>
      </c>
      <c r="G1001" s="23" t="s">
        <v>739</v>
      </c>
      <c r="H1001" s="205" t="s">
        <v>1608</v>
      </c>
      <c r="I1001" s="23" t="s">
        <v>2404</v>
      </c>
    </row>
    <row r="1002" spans="1:9">
      <c r="A1002" s="23" t="s">
        <v>1608</v>
      </c>
      <c r="B1002" s="23" t="s">
        <v>2404</v>
      </c>
      <c r="C1002" s="23"/>
      <c r="D1002" s="23">
        <v>31.04</v>
      </c>
      <c r="E1002" s="23" t="s">
        <v>632</v>
      </c>
      <c r="F1002" s="23" t="s">
        <v>2388</v>
      </c>
      <c r="G1002" s="23" t="s">
        <v>897</v>
      </c>
      <c r="H1002" s="205" t="s">
        <v>1608</v>
      </c>
      <c r="I1002" s="23" t="s">
        <v>2404</v>
      </c>
    </row>
    <row r="1003" spans="1:9">
      <c r="A1003" s="23" t="s">
        <v>1608</v>
      </c>
      <c r="B1003" s="23" t="s">
        <v>2404</v>
      </c>
      <c r="C1003" s="23"/>
      <c r="D1003" s="23">
        <v>19.400000000000002</v>
      </c>
      <c r="E1003" s="23" t="s">
        <v>632</v>
      </c>
      <c r="F1003" s="23" t="s">
        <v>735</v>
      </c>
      <c r="G1003" s="23" t="s">
        <v>735</v>
      </c>
      <c r="H1003" s="205" t="s">
        <v>1608</v>
      </c>
      <c r="I1003" s="23" t="s">
        <v>2404</v>
      </c>
    </row>
    <row r="1004" spans="1:9">
      <c r="A1004" s="23" t="s">
        <v>1608</v>
      </c>
      <c r="B1004" s="23" t="s">
        <v>2404</v>
      </c>
      <c r="C1004" s="23"/>
      <c r="D1004" s="23">
        <v>8.6</v>
      </c>
      <c r="E1004" s="23" t="s">
        <v>632</v>
      </c>
      <c r="F1004" s="23" t="s">
        <v>56</v>
      </c>
      <c r="G1004" s="23" t="s">
        <v>56</v>
      </c>
      <c r="H1004" s="205" t="s">
        <v>1608</v>
      </c>
      <c r="I1004" s="23" t="s">
        <v>2404</v>
      </c>
    </row>
    <row r="1005" spans="1:9">
      <c r="A1005" s="23" t="s">
        <v>1608</v>
      </c>
      <c r="B1005" s="23" t="s">
        <v>2404</v>
      </c>
      <c r="C1005" s="23"/>
      <c r="D1005" s="23">
        <v>52.260000000000005</v>
      </c>
      <c r="E1005" s="23" t="s">
        <v>2389</v>
      </c>
      <c r="F1005" s="23" t="s">
        <v>2387</v>
      </c>
      <c r="G1005" s="23" t="s">
        <v>739</v>
      </c>
      <c r="H1005" s="205" t="s">
        <v>1608</v>
      </c>
      <c r="I1005" s="23" t="s">
        <v>2404</v>
      </c>
    </row>
    <row r="1006" spans="1:9">
      <c r="A1006" s="23" t="s">
        <v>1608</v>
      </c>
      <c r="B1006" s="23" t="s">
        <v>2404</v>
      </c>
      <c r="C1006" s="23"/>
      <c r="D1006" s="23">
        <v>32.160000000000004</v>
      </c>
      <c r="E1006" s="23" t="s">
        <v>2389</v>
      </c>
      <c r="F1006" s="23" t="s">
        <v>2388</v>
      </c>
      <c r="G1006" s="23" t="s">
        <v>897</v>
      </c>
      <c r="H1006" s="205" t="s">
        <v>1608</v>
      </c>
      <c r="I1006" s="23" t="s">
        <v>2404</v>
      </c>
    </row>
    <row r="1007" spans="1:9">
      <c r="A1007" s="23" t="s">
        <v>1608</v>
      </c>
      <c r="B1007" s="23" t="s">
        <v>2404</v>
      </c>
      <c r="C1007" s="23"/>
      <c r="D1007" s="23">
        <v>20.100000000000001</v>
      </c>
      <c r="E1007" s="23" t="s">
        <v>2389</v>
      </c>
      <c r="F1007" s="23" t="s">
        <v>735</v>
      </c>
      <c r="G1007" s="23" t="s">
        <v>735</v>
      </c>
      <c r="H1007" s="205" t="s">
        <v>1608</v>
      </c>
      <c r="I1007" s="23" t="s">
        <v>2404</v>
      </c>
    </row>
    <row r="1008" spans="1:9">
      <c r="A1008" s="23" t="s">
        <v>1608</v>
      </c>
      <c r="B1008" s="23" t="s">
        <v>2404</v>
      </c>
      <c r="C1008" s="23"/>
      <c r="D1008" s="23">
        <v>8.6</v>
      </c>
      <c r="E1008" s="23" t="s">
        <v>2389</v>
      </c>
      <c r="F1008" s="23" t="s">
        <v>56</v>
      </c>
      <c r="G1008" s="23" t="s">
        <v>56</v>
      </c>
      <c r="H1008" s="205" t="s">
        <v>1608</v>
      </c>
      <c r="I1008" s="23" t="s">
        <v>2404</v>
      </c>
    </row>
    <row r="1009" spans="1:9">
      <c r="A1009" s="23" t="s">
        <v>1608</v>
      </c>
      <c r="B1009" s="23" t="s">
        <v>2406</v>
      </c>
      <c r="C1009" s="23"/>
      <c r="D1009" s="23">
        <v>6.63</v>
      </c>
      <c r="E1009" s="23" t="s">
        <v>2385</v>
      </c>
      <c r="F1009" s="23" t="s">
        <v>2387</v>
      </c>
      <c r="G1009" s="23" t="s">
        <v>739</v>
      </c>
      <c r="H1009" s="205" t="s">
        <v>1608</v>
      </c>
      <c r="I1009" s="23" t="s">
        <v>2406</v>
      </c>
    </row>
    <row r="1010" spans="1:9">
      <c r="A1010" s="23" t="s">
        <v>1608</v>
      </c>
      <c r="B1010" s="23" t="s">
        <v>2406</v>
      </c>
      <c r="C1010" s="23"/>
      <c r="D1010" s="23">
        <v>4.08</v>
      </c>
      <c r="E1010" s="23" t="s">
        <v>2385</v>
      </c>
      <c r="F1010" s="23" t="s">
        <v>2388</v>
      </c>
      <c r="G1010" s="23" t="s">
        <v>897</v>
      </c>
      <c r="H1010" s="205" t="s">
        <v>1608</v>
      </c>
      <c r="I1010" s="23" t="s">
        <v>2406</v>
      </c>
    </row>
    <row r="1011" spans="1:9">
      <c r="A1011" s="23" t="s">
        <v>1608</v>
      </c>
      <c r="B1011" s="23" t="s">
        <v>2406</v>
      </c>
      <c r="C1011" s="23"/>
      <c r="D1011" s="23">
        <v>2.5500000000000003</v>
      </c>
      <c r="E1011" s="23" t="s">
        <v>2385</v>
      </c>
      <c r="F1011" s="23" t="s">
        <v>735</v>
      </c>
      <c r="G1011" s="23" t="s">
        <v>735</v>
      </c>
      <c r="H1011" s="205" t="s">
        <v>1608</v>
      </c>
      <c r="I1011" s="23" t="s">
        <v>2406</v>
      </c>
    </row>
    <row r="1012" spans="1:9">
      <c r="A1012" s="23" t="s">
        <v>1608</v>
      </c>
      <c r="B1012" s="23" t="s">
        <v>2406</v>
      </c>
      <c r="C1012" s="23"/>
      <c r="D1012" s="23">
        <v>0.1</v>
      </c>
      <c r="E1012" s="23" t="s">
        <v>2385</v>
      </c>
      <c r="F1012" s="23" t="s">
        <v>56</v>
      </c>
      <c r="G1012" s="23" t="s">
        <v>56</v>
      </c>
      <c r="H1012" s="205" t="s">
        <v>1608</v>
      </c>
      <c r="I1012" s="23" t="s">
        <v>2406</v>
      </c>
    </row>
    <row r="1013" spans="1:9">
      <c r="A1013" s="23" t="s">
        <v>1608</v>
      </c>
      <c r="B1013" s="23" t="s">
        <v>2406</v>
      </c>
      <c r="C1013" s="23"/>
      <c r="D1013" s="23">
        <v>6.63</v>
      </c>
      <c r="E1013" s="23" t="s">
        <v>632</v>
      </c>
      <c r="F1013" s="23" t="s">
        <v>2387</v>
      </c>
      <c r="G1013" s="23" t="s">
        <v>739</v>
      </c>
      <c r="H1013" s="205" t="s">
        <v>1608</v>
      </c>
      <c r="I1013" s="23" t="s">
        <v>2406</v>
      </c>
    </row>
    <row r="1014" spans="1:9">
      <c r="A1014" s="23" t="s">
        <v>1608</v>
      </c>
      <c r="B1014" s="23" t="s">
        <v>2406</v>
      </c>
      <c r="C1014" s="23"/>
      <c r="D1014" s="23">
        <v>4.08</v>
      </c>
      <c r="E1014" s="23" t="s">
        <v>632</v>
      </c>
      <c r="F1014" s="23" t="s">
        <v>2388</v>
      </c>
      <c r="G1014" s="23" t="s">
        <v>897</v>
      </c>
      <c r="H1014" s="205" t="s">
        <v>1608</v>
      </c>
      <c r="I1014" s="23" t="s">
        <v>2406</v>
      </c>
    </row>
    <row r="1015" spans="1:9">
      <c r="A1015" s="23" t="s">
        <v>1608</v>
      </c>
      <c r="B1015" s="23" t="s">
        <v>2406</v>
      </c>
      <c r="C1015" s="23"/>
      <c r="D1015" s="23">
        <v>2.5500000000000003</v>
      </c>
      <c r="E1015" s="23" t="s">
        <v>632</v>
      </c>
      <c r="F1015" s="23" t="s">
        <v>735</v>
      </c>
      <c r="G1015" s="23" t="s">
        <v>735</v>
      </c>
      <c r="H1015" s="205" t="s">
        <v>1608</v>
      </c>
      <c r="I1015" s="23" t="s">
        <v>2406</v>
      </c>
    </row>
    <row r="1016" spans="1:9">
      <c r="A1016" s="23" t="s">
        <v>1608</v>
      </c>
      <c r="B1016" s="23" t="s">
        <v>2406</v>
      </c>
      <c r="C1016" s="23"/>
      <c r="D1016" s="23">
        <v>0.1</v>
      </c>
      <c r="E1016" s="23" t="s">
        <v>632</v>
      </c>
      <c r="F1016" s="23" t="s">
        <v>56</v>
      </c>
      <c r="G1016" s="23" t="s">
        <v>56</v>
      </c>
      <c r="H1016" s="205" t="s">
        <v>1608</v>
      </c>
      <c r="I1016" s="23" t="s">
        <v>2406</v>
      </c>
    </row>
    <row r="1017" spans="1:9">
      <c r="A1017" s="23" t="s">
        <v>1608</v>
      </c>
      <c r="B1017" s="23" t="s">
        <v>2406</v>
      </c>
      <c r="C1017" s="23"/>
      <c r="D1017" s="23">
        <v>6.63</v>
      </c>
      <c r="E1017" s="23" t="s">
        <v>2389</v>
      </c>
      <c r="F1017" s="23" t="s">
        <v>2387</v>
      </c>
      <c r="G1017" s="23" t="s">
        <v>739</v>
      </c>
      <c r="H1017" s="205" t="s">
        <v>1608</v>
      </c>
      <c r="I1017" s="23" t="s">
        <v>2406</v>
      </c>
    </row>
    <row r="1018" spans="1:9">
      <c r="A1018" s="23" t="s">
        <v>1608</v>
      </c>
      <c r="B1018" s="23" t="s">
        <v>2406</v>
      </c>
      <c r="C1018" s="23"/>
      <c r="D1018" s="23">
        <v>4.08</v>
      </c>
      <c r="E1018" s="23" t="s">
        <v>2389</v>
      </c>
      <c r="F1018" s="23" t="s">
        <v>2388</v>
      </c>
      <c r="G1018" s="23" t="s">
        <v>897</v>
      </c>
      <c r="H1018" s="205" t="s">
        <v>1608</v>
      </c>
      <c r="I1018" s="23" t="s">
        <v>2406</v>
      </c>
    </row>
    <row r="1019" spans="1:9">
      <c r="A1019" s="23" t="s">
        <v>1608</v>
      </c>
      <c r="B1019" s="23" t="s">
        <v>2406</v>
      </c>
      <c r="C1019" s="23"/>
      <c r="D1019" s="23">
        <v>2.5500000000000003</v>
      </c>
      <c r="E1019" s="23" t="s">
        <v>2389</v>
      </c>
      <c r="F1019" s="23" t="s">
        <v>735</v>
      </c>
      <c r="G1019" s="23" t="s">
        <v>735</v>
      </c>
      <c r="H1019" s="205" t="s">
        <v>1608</v>
      </c>
      <c r="I1019" s="23" t="s">
        <v>2406</v>
      </c>
    </row>
    <row r="1020" spans="1:9">
      <c r="A1020" s="23" t="s">
        <v>1608</v>
      </c>
      <c r="B1020" s="23" t="s">
        <v>2406</v>
      </c>
      <c r="C1020" s="23"/>
      <c r="D1020" s="23">
        <v>0.1</v>
      </c>
      <c r="E1020" s="23" t="s">
        <v>2389</v>
      </c>
      <c r="F1020" s="23" t="s">
        <v>56</v>
      </c>
      <c r="G1020" s="23" t="s">
        <v>56</v>
      </c>
      <c r="H1020" s="205" t="s">
        <v>1608</v>
      </c>
      <c r="I1020" s="23" t="s">
        <v>2406</v>
      </c>
    </row>
    <row r="1021" spans="1:9">
      <c r="A1021" s="23" t="s">
        <v>1608</v>
      </c>
      <c r="B1021" s="23" t="s">
        <v>2408</v>
      </c>
      <c r="C1021" s="23"/>
      <c r="D1021" s="23">
        <v>111.8</v>
      </c>
      <c r="E1021" s="23" t="s">
        <v>2385</v>
      </c>
      <c r="F1021" s="23" t="s">
        <v>2387</v>
      </c>
      <c r="G1021" s="23" t="s">
        <v>739</v>
      </c>
      <c r="H1021" s="205" t="s">
        <v>1608</v>
      </c>
      <c r="I1021" s="23" t="s">
        <v>2408</v>
      </c>
    </row>
    <row r="1022" spans="1:9">
      <c r="A1022" s="23" t="s">
        <v>1608</v>
      </c>
      <c r="B1022" s="23" t="s">
        <v>2408</v>
      </c>
      <c r="C1022" s="23"/>
      <c r="D1022" s="23">
        <v>68.8</v>
      </c>
      <c r="E1022" s="23" t="s">
        <v>2385</v>
      </c>
      <c r="F1022" s="23" t="s">
        <v>2388</v>
      </c>
      <c r="G1022" s="23" t="s">
        <v>897</v>
      </c>
      <c r="H1022" s="205" t="s">
        <v>1608</v>
      </c>
      <c r="I1022" s="23" t="s">
        <v>2408</v>
      </c>
    </row>
    <row r="1023" spans="1:9">
      <c r="A1023" s="23" t="s">
        <v>1608</v>
      </c>
      <c r="B1023" s="23" t="s">
        <v>2408</v>
      </c>
      <c r="C1023" s="23"/>
      <c r="D1023" s="23">
        <v>43</v>
      </c>
      <c r="E1023" s="23" t="s">
        <v>2385</v>
      </c>
      <c r="F1023" s="23" t="s">
        <v>735</v>
      </c>
      <c r="G1023" s="23" t="s">
        <v>735</v>
      </c>
      <c r="H1023" s="205" t="s">
        <v>1608</v>
      </c>
      <c r="I1023" s="23" t="s">
        <v>2408</v>
      </c>
    </row>
    <row r="1024" spans="1:9">
      <c r="A1024" s="23" t="s">
        <v>1608</v>
      </c>
      <c r="B1024" s="23" t="s">
        <v>2408</v>
      </c>
      <c r="C1024" s="23"/>
      <c r="D1024" s="23">
        <v>1.1500000000000001</v>
      </c>
      <c r="E1024" s="23" t="s">
        <v>2385</v>
      </c>
      <c r="F1024" s="23" t="s">
        <v>56</v>
      </c>
      <c r="G1024" s="23" t="s">
        <v>56</v>
      </c>
      <c r="H1024" s="205" t="s">
        <v>1608</v>
      </c>
      <c r="I1024" s="23" t="s">
        <v>2408</v>
      </c>
    </row>
    <row r="1025" spans="1:9">
      <c r="A1025" s="23" t="s">
        <v>1608</v>
      </c>
      <c r="B1025" s="23" t="s">
        <v>2408</v>
      </c>
      <c r="C1025" s="23"/>
      <c r="D1025" s="23">
        <v>111.8</v>
      </c>
      <c r="E1025" s="23" t="s">
        <v>632</v>
      </c>
      <c r="F1025" s="23" t="s">
        <v>2387</v>
      </c>
      <c r="G1025" s="23" t="s">
        <v>739</v>
      </c>
      <c r="H1025" s="205" t="s">
        <v>1608</v>
      </c>
      <c r="I1025" s="23" t="s">
        <v>2408</v>
      </c>
    </row>
    <row r="1026" spans="1:9">
      <c r="A1026" s="23" t="s">
        <v>1608</v>
      </c>
      <c r="B1026" s="23" t="s">
        <v>2408</v>
      </c>
      <c r="C1026" s="23"/>
      <c r="D1026" s="23">
        <v>68.8</v>
      </c>
      <c r="E1026" s="23" t="s">
        <v>632</v>
      </c>
      <c r="F1026" s="23" t="s">
        <v>2388</v>
      </c>
      <c r="G1026" s="23" t="s">
        <v>897</v>
      </c>
      <c r="H1026" s="205" t="s">
        <v>1608</v>
      </c>
      <c r="I1026" s="23" t="s">
        <v>2408</v>
      </c>
    </row>
    <row r="1027" spans="1:9">
      <c r="A1027" s="23" t="s">
        <v>1608</v>
      </c>
      <c r="B1027" s="23" t="s">
        <v>2408</v>
      </c>
      <c r="C1027" s="23"/>
      <c r="D1027" s="23">
        <v>43</v>
      </c>
      <c r="E1027" s="23" t="s">
        <v>632</v>
      </c>
      <c r="F1027" s="23" t="s">
        <v>735</v>
      </c>
      <c r="G1027" s="23" t="s">
        <v>735</v>
      </c>
      <c r="H1027" s="205" t="s">
        <v>1608</v>
      </c>
      <c r="I1027" s="23" t="s">
        <v>2408</v>
      </c>
    </row>
    <row r="1028" spans="1:9">
      <c r="A1028" s="23" t="s">
        <v>1608</v>
      </c>
      <c r="B1028" s="23" t="s">
        <v>2408</v>
      </c>
      <c r="C1028" s="23"/>
      <c r="D1028" s="23">
        <v>1.1500000000000001</v>
      </c>
      <c r="E1028" s="23" t="s">
        <v>632</v>
      </c>
      <c r="F1028" s="23" t="s">
        <v>56</v>
      </c>
      <c r="G1028" s="23" t="s">
        <v>56</v>
      </c>
      <c r="H1028" s="205" t="s">
        <v>1608</v>
      </c>
      <c r="I1028" s="23" t="s">
        <v>2408</v>
      </c>
    </row>
    <row r="1029" spans="1:9">
      <c r="A1029" s="23" t="s">
        <v>1608</v>
      </c>
      <c r="B1029" s="23" t="s">
        <v>2408</v>
      </c>
      <c r="C1029" s="23"/>
      <c r="D1029" s="23">
        <v>111.8</v>
      </c>
      <c r="E1029" s="23" t="s">
        <v>2389</v>
      </c>
      <c r="F1029" s="23" t="s">
        <v>2387</v>
      </c>
      <c r="G1029" s="23" t="s">
        <v>739</v>
      </c>
      <c r="H1029" s="205" t="s">
        <v>1608</v>
      </c>
      <c r="I1029" s="23" t="s">
        <v>2408</v>
      </c>
    </row>
    <row r="1030" spans="1:9">
      <c r="A1030" s="23" t="s">
        <v>1608</v>
      </c>
      <c r="B1030" s="23" t="s">
        <v>2408</v>
      </c>
      <c r="C1030" s="23"/>
      <c r="D1030" s="23">
        <v>68.8</v>
      </c>
      <c r="E1030" s="23" t="s">
        <v>2389</v>
      </c>
      <c r="F1030" s="23" t="s">
        <v>2388</v>
      </c>
      <c r="G1030" s="23" t="s">
        <v>897</v>
      </c>
      <c r="H1030" s="205" t="s">
        <v>1608</v>
      </c>
      <c r="I1030" s="23" t="s">
        <v>2408</v>
      </c>
    </row>
    <row r="1031" spans="1:9">
      <c r="A1031" s="23" t="s">
        <v>1608</v>
      </c>
      <c r="B1031" s="23" t="s">
        <v>2408</v>
      </c>
      <c r="C1031" s="23"/>
      <c r="D1031" s="23">
        <v>43</v>
      </c>
      <c r="E1031" s="23" t="s">
        <v>2389</v>
      </c>
      <c r="F1031" s="23" t="s">
        <v>735</v>
      </c>
      <c r="G1031" s="23" t="s">
        <v>735</v>
      </c>
      <c r="H1031" s="205" t="s">
        <v>1608</v>
      </c>
      <c r="I1031" s="23" t="s">
        <v>2408</v>
      </c>
    </row>
    <row r="1032" spans="1:9">
      <c r="A1032" s="23" t="s">
        <v>1608</v>
      </c>
      <c r="B1032" s="23" t="s">
        <v>2408</v>
      </c>
      <c r="C1032" s="23"/>
      <c r="D1032" s="23">
        <v>1.1500000000000001</v>
      </c>
      <c r="E1032" s="23" t="s">
        <v>2389</v>
      </c>
      <c r="F1032" s="23" t="s">
        <v>56</v>
      </c>
      <c r="G1032" s="23" t="s">
        <v>56</v>
      </c>
      <c r="H1032" s="205" t="s">
        <v>1608</v>
      </c>
      <c r="I1032" s="23" t="s">
        <v>2408</v>
      </c>
    </row>
    <row r="1033" spans="1:9">
      <c r="A1033" s="23" t="s">
        <v>1608</v>
      </c>
      <c r="B1033" s="23" t="s">
        <v>2410</v>
      </c>
      <c r="C1033" s="23"/>
      <c r="D1033" s="23">
        <v>44.85</v>
      </c>
      <c r="E1033" s="23" t="s">
        <v>2385</v>
      </c>
      <c r="F1033" s="23" t="s">
        <v>2387</v>
      </c>
      <c r="G1033" s="23" t="s">
        <v>739</v>
      </c>
      <c r="H1033" s="205" t="s">
        <v>1608</v>
      </c>
      <c r="I1033" s="23" t="s">
        <v>2410</v>
      </c>
    </row>
    <row r="1034" spans="1:9">
      <c r="A1034" s="23" t="s">
        <v>1608</v>
      </c>
      <c r="B1034" s="23" t="s">
        <v>2410</v>
      </c>
      <c r="C1034" s="23"/>
      <c r="D1034" s="23">
        <v>27.6</v>
      </c>
      <c r="E1034" s="23" t="s">
        <v>2385</v>
      </c>
      <c r="F1034" s="23" t="s">
        <v>2388</v>
      </c>
      <c r="G1034" s="23" t="s">
        <v>897</v>
      </c>
      <c r="H1034" s="205" t="s">
        <v>1608</v>
      </c>
      <c r="I1034" s="23" t="s">
        <v>2410</v>
      </c>
    </row>
    <row r="1035" spans="1:9">
      <c r="A1035" s="23" t="s">
        <v>1608</v>
      </c>
      <c r="B1035" s="23" t="s">
        <v>2410</v>
      </c>
      <c r="C1035" s="23"/>
      <c r="D1035" s="23">
        <v>17.25</v>
      </c>
      <c r="E1035" s="23" t="s">
        <v>2385</v>
      </c>
      <c r="F1035" s="23" t="s">
        <v>735</v>
      </c>
      <c r="G1035" s="23" t="s">
        <v>735</v>
      </c>
      <c r="H1035" s="205" t="s">
        <v>1608</v>
      </c>
      <c r="I1035" s="23" t="s">
        <v>2410</v>
      </c>
    </row>
    <row r="1036" spans="1:9">
      <c r="A1036" s="23" t="s">
        <v>1608</v>
      </c>
      <c r="B1036" s="23" t="s">
        <v>2410</v>
      </c>
      <c r="C1036" s="23"/>
      <c r="D1036" s="23">
        <v>5.75</v>
      </c>
      <c r="E1036" s="23" t="s">
        <v>2385</v>
      </c>
      <c r="F1036" s="23" t="s">
        <v>56</v>
      </c>
      <c r="G1036" s="23" t="s">
        <v>56</v>
      </c>
      <c r="H1036" s="205" t="s">
        <v>1608</v>
      </c>
      <c r="I1036" s="23" t="s">
        <v>2410</v>
      </c>
    </row>
    <row r="1037" spans="1:9">
      <c r="A1037" s="23" t="s">
        <v>1608</v>
      </c>
      <c r="B1037" s="23" t="s">
        <v>2410</v>
      </c>
      <c r="C1037" s="23"/>
      <c r="D1037" s="23">
        <v>44.85</v>
      </c>
      <c r="E1037" s="23" t="s">
        <v>632</v>
      </c>
      <c r="F1037" s="23" t="s">
        <v>2387</v>
      </c>
      <c r="G1037" s="23" t="s">
        <v>739</v>
      </c>
      <c r="H1037" s="205" t="s">
        <v>1608</v>
      </c>
      <c r="I1037" s="23" t="s">
        <v>2410</v>
      </c>
    </row>
    <row r="1038" spans="1:9">
      <c r="A1038" s="23" t="s">
        <v>1608</v>
      </c>
      <c r="B1038" s="23" t="s">
        <v>2410</v>
      </c>
      <c r="C1038" s="23"/>
      <c r="D1038" s="23">
        <v>27.6</v>
      </c>
      <c r="E1038" s="23" t="s">
        <v>632</v>
      </c>
      <c r="F1038" s="23" t="s">
        <v>2388</v>
      </c>
      <c r="G1038" s="23" t="s">
        <v>897</v>
      </c>
      <c r="H1038" s="205" t="s">
        <v>1608</v>
      </c>
      <c r="I1038" s="23" t="s">
        <v>2410</v>
      </c>
    </row>
    <row r="1039" spans="1:9">
      <c r="A1039" s="23" t="s">
        <v>1608</v>
      </c>
      <c r="B1039" s="23" t="s">
        <v>2410</v>
      </c>
      <c r="C1039" s="23"/>
      <c r="D1039" s="23">
        <v>17.25</v>
      </c>
      <c r="E1039" s="23" t="s">
        <v>632</v>
      </c>
      <c r="F1039" s="23" t="s">
        <v>735</v>
      </c>
      <c r="G1039" s="23" t="s">
        <v>735</v>
      </c>
      <c r="H1039" s="205" t="s">
        <v>1608</v>
      </c>
      <c r="I1039" s="23" t="s">
        <v>2410</v>
      </c>
    </row>
    <row r="1040" spans="1:9">
      <c r="A1040" s="23" t="s">
        <v>1608</v>
      </c>
      <c r="B1040" s="23" t="s">
        <v>2410</v>
      </c>
      <c r="C1040" s="23"/>
      <c r="D1040" s="23">
        <v>5.75</v>
      </c>
      <c r="E1040" s="23" t="s">
        <v>632</v>
      </c>
      <c r="F1040" s="23" t="s">
        <v>56</v>
      </c>
      <c r="G1040" s="23" t="s">
        <v>56</v>
      </c>
      <c r="H1040" s="205" t="s">
        <v>1608</v>
      </c>
      <c r="I1040" s="23" t="s">
        <v>2410</v>
      </c>
    </row>
    <row r="1041" spans="1:9">
      <c r="A1041" s="23" t="s">
        <v>1608</v>
      </c>
      <c r="B1041" s="23" t="s">
        <v>2410</v>
      </c>
      <c r="C1041" s="23"/>
      <c r="D1041" s="23">
        <v>44.85</v>
      </c>
      <c r="E1041" s="23" t="s">
        <v>2389</v>
      </c>
      <c r="F1041" s="23" t="s">
        <v>2387</v>
      </c>
      <c r="G1041" s="23" t="s">
        <v>739</v>
      </c>
      <c r="H1041" s="205" t="s">
        <v>1608</v>
      </c>
      <c r="I1041" s="23" t="s">
        <v>2410</v>
      </c>
    </row>
    <row r="1042" spans="1:9">
      <c r="A1042" s="23" t="s">
        <v>1608</v>
      </c>
      <c r="B1042" s="23" t="s">
        <v>2410</v>
      </c>
      <c r="C1042" s="23"/>
      <c r="D1042" s="23">
        <v>27.6</v>
      </c>
      <c r="E1042" s="23" t="s">
        <v>2389</v>
      </c>
      <c r="F1042" s="23" t="s">
        <v>2388</v>
      </c>
      <c r="G1042" s="23" t="s">
        <v>897</v>
      </c>
      <c r="H1042" s="205" t="s">
        <v>1608</v>
      </c>
      <c r="I1042" s="23" t="s">
        <v>2410</v>
      </c>
    </row>
    <row r="1043" spans="1:9">
      <c r="A1043" s="23" t="s">
        <v>1608</v>
      </c>
      <c r="B1043" s="23" t="s">
        <v>2410</v>
      </c>
      <c r="C1043" s="23"/>
      <c r="D1043" s="23">
        <v>17.25</v>
      </c>
      <c r="E1043" s="23" t="s">
        <v>2389</v>
      </c>
      <c r="F1043" s="23" t="s">
        <v>735</v>
      </c>
      <c r="G1043" s="23" t="s">
        <v>735</v>
      </c>
      <c r="H1043" s="205" t="s">
        <v>1608</v>
      </c>
      <c r="I1043" s="23" t="s">
        <v>2410</v>
      </c>
    </row>
    <row r="1044" spans="1:9">
      <c r="A1044" s="23" t="s">
        <v>1608</v>
      </c>
      <c r="B1044" s="23" t="s">
        <v>2410</v>
      </c>
      <c r="C1044" s="23"/>
      <c r="D1044" s="23">
        <v>5.75</v>
      </c>
      <c r="E1044" s="23" t="s">
        <v>2389</v>
      </c>
      <c r="F1044" s="23" t="s">
        <v>56</v>
      </c>
      <c r="G1044" s="23" t="s">
        <v>56</v>
      </c>
      <c r="H1044" s="205" t="s">
        <v>1608</v>
      </c>
      <c r="I1044" s="23" t="s">
        <v>2410</v>
      </c>
    </row>
    <row r="1045" spans="1:9">
      <c r="A1045" s="23" t="s">
        <v>1608</v>
      </c>
      <c r="B1045" s="23" t="s">
        <v>2412</v>
      </c>
      <c r="C1045" s="23"/>
      <c r="D1045" s="23">
        <v>104</v>
      </c>
      <c r="E1045" s="23" t="s">
        <v>2385</v>
      </c>
      <c r="F1045" s="23" t="s">
        <v>2387</v>
      </c>
      <c r="G1045" s="23" t="s">
        <v>739</v>
      </c>
      <c r="H1045" s="205" t="s">
        <v>1608</v>
      </c>
      <c r="I1045" s="23" t="s">
        <v>2412</v>
      </c>
    </row>
    <row r="1046" spans="1:9">
      <c r="A1046" s="23" t="s">
        <v>1608</v>
      </c>
      <c r="B1046" s="23" t="s">
        <v>2412</v>
      </c>
      <c r="C1046" s="23"/>
      <c r="D1046" s="23">
        <v>64</v>
      </c>
      <c r="E1046" s="23" t="s">
        <v>2385</v>
      </c>
      <c r="F1046" s="23" t="s">
        <v>2388</v>
      </c>
      <c r="G1046" s="23" t="s">
        <v>897</v>
      </c>
      <c r="H1046" s="205" t="s">
        <v>1608</v>
      </c>
      <c r="I1046" s="23" t="s">
        <v>2412</v>
      </c>
    </row>
    <row r="1047" spans="1:9">
      <c r="A1047" s="23" t="s">
        <v>1608</v>
      </c>
      <c r="B1047" s="23" t="s">
        <v>2412</v>
      </c>
      <c r="C1047" s="23"/>
      <c r="D1047" s="23">
        <v>40</v>
      </c>
      <c r="E1047" s="23" t="s">
        <v>2385</v>
      </c>
      <c r="F1047" s="23" t="s">
        <v>735</v>
      </c>
      <c r="G1047" s="23" t="s">
        <v>735</v>
      </c>
      <c r="H1047" s="205" t="s">
        <v>1608</v>
      </c>
      <c r="I1047" s="23" t="s">
        <v>2412</v>
      </c>
    </row>
    <row r="1048" spans="1:9">
      <c r="A1048" s="23" t="s">
        <v>1608</v>
      </c>
      <c r="B1048" s="23" t="s">
        <v>2412</v>
      </c>
      <c r="C1048" s="23"/>
      <c r="D1048" s="23">
        <v>8.75</v>
      </c>
      <c r="E1048" s="23" t="s">
        <v>2385</v>
      </c>
      <c r="F1048" s="23" t="s">
        <v>56</v>
      </c>
      <c r="G1048" s="23" t="s">
        <v>56</v>
      </c>
      <c r="H1048" s="205" t="s">
        <v>1608</v>
      </c>
      <c r="I1048" s="23" t="s">
        <v>2412</v>
      </c>
    </row>
    <row r="1049" spans="1:9">
      <c r="A1049" s="23" t="s">
        <v>1608</v>
      </c>
      <c r="B1049" s="23" t="s">
        <v>2412</v>
      </c>
      <c r="C1049" s="23"/>
      <c r="D1049" s="23">
        <v>104</v>
      </c>
      <c r="E1049" s="23" t="s">
        <v>632</v>
      </c>
      <c r="F1049" s="23" t="s">
        <v>2387</v>
      </c>
      <c r="G1049" s="23" t="s">
        <v>739</v>
      </c>
      <c r="H1049" s="205" t="s">
        <v>1608</v>
      </c>
      <c r="I1049" s="23" t="s">
        <v>2412</v>
      </c>
    </row>
    <row r="1050" spans="1:9">
      <c r="A1050" s="23" t="s">
        <v>1608</v>
      </c>
      <c r="B1050" s="23" t="s">
        <v>2412</v>
      </c>
      <c r="C1050" s="23"/>
      <c r="D1050" s="23">
        <v>64</v>
      </c>
      <c r="E1050" s="23" t="s">
        <v>632</v>
      </c>
      <c r="F1050" s="23" t="s">
        <v>2388</v>
      </c>
      <c r="G1050" s="23" t="s">
        <v>897</v>
      </c>
      <c r="H1050" s="205" t="s">
        <v>1608</v>
      </c>
      <c r="I1050" s="23" t="s">
        <v>2412</v>
      </c>
    </row>
    <row r="1051" spans="1:9">
      <c r="A1051" s="23" t="s">
        <v>1608</v>
      </c>
      <c r="B1051" s="23" t="s">
        <v>2412</v>
      </c>
      <c r="C1051" s="23"/>
      <c r="D1051" s="23">
        <v>40</v>
      </c>
      <c r="E1051" s="23" t="s">
        <v>632</v>
      </c>
      <c r="F1051" s="23" t="s">
        <v>735</v>
      </c>
      <c r="G1051" s="23" t="s">
        <v>735</v>
      </c>
      <c r="H1051" s="205" t="s">
        <v>1608</v>
      </c>
      <c r="I1051" s="23" t="s">
        <v>2412</v>
      </c>
    </row>
    <row r="1052" spans="1:9">
      <c r="A1052" s="23" t="s">
        <v>1608</v>
      </c>
      <c r="B1052" s="23" t="s">
        <v>2412</v>
      </c>
      <c r="C1052" s="23"/>
      <c r="D1052" s="23">
        <v>8.75</v>
      </c>
      <c r="E1052" s="23" t="s">
        <v>632</v>
      </c>
      <c r="F1052" s="23" t="s">
        <v>56</v>
      </c>
      <c r="G1052" s="23" t="s">
        <v>56</v>
      </c>
      <c r="H1052" s="205" t="s">
        <v>1608</v>
      </c>
      <c r="I1052" s="23" t="s">
        <v>2412</v>
      </c>
    </row>
    <row r="1053" spans="1:9">
      <c r="A1053" s="23" t="s">
        <v>1608</v>
      </c>
      <c r="B1053" s="23" t="s">
        <v>2412</v>
      </c>
      <c r="C1053" s="23"/>
      <c r="D1053" s="23">
        <v>104</v>
      </c>
      <c r="E1053" s="23" t="s">
        <v>2389</v>
      </c>
      <c r="F1053" s="23" t="s">
        <v>2387</v>
      </c>
      <c r="G1053" s="23" t="s">
        <v>739</v>
      </c>
      <c r="H1053" s="205" t="s">
        <v>1608</v>
      </c>
      <c r="I1053" s="23" t="s">
        <v>2412</v>
      </c>
    </row>
    <row r="1054" spans="1:9">
      <c r="A1054" s="23" t="s">
        <v>1608</v>
      </c>
      <c r="B1054" s="23" t="s">
        <v>2412</v>
      </c>
      <c r="C1054" s="23"/>
      <c r="D1054" s="23">
        <v>64</v>
      </c>
      <c r="E1054" s="23" t="s">
        <v>2389</v>
      </c>
      <c r="F1054" s="23" t="s">
        <v>2388</v>
      </c>
      <c r="G1054" s="23" t="s">
        <v>897</v>
      </c>
      <c r="H1054" s="205" t="s">
        <v>1608</v>
      </c>
      <c r="I1054" s="23" t="s">
        <v>2412</v>
      </c>
    </row>
    <row r="1055" spans="1:9">
      <c r="A1055" s="23" t="s">
        <v>1608</v>
      </c>
      <c r="B1055" s="23" t="s">
        <v>2412</v>
      </c>
      <c r="C1055" s="23"/>
      <c r="D1055" s="23">
        <v>40</v>
      </c>
      <c r="E1055" s="23" t="s">
        <v>2389</v>
      </c>
      <c r="F1055" s="23" t="s">
        <v>735</v>
      </c>
      <c r="G1055" s="23" t="s">
        <v>735</v>
      </c>
      <c r="H1055" s="205" t="s">
        <v>1608</v>
      </c>
      <c r="I1055" s="23" t="s">
        <v>2412</v>
      </c>
    </row>
    <row r="1056" spans="1:9">
      <c r="A1056" s="23" t="s">
        <v>1608</v>
      </c>
      <c r="B1056" s="23" t="s">
        <v>2412</v>
      </c>
      <c r="C1056" s="23"/>
      <c r="D1056" s="23">
        <v>10.100000000000001</v>
      </c>
      <c r="E1056" s="23" t="s">
        <v>2389</v>
      </c>
      <c r="F1056" s="23" t="s">
        <v>56</v>
      </c>
      <c r="G1056" s="23" t="s">
        <v>56</v>
      </c>
      <c r="H1056" s="205" t="s">
        <v>1608</v>
      </c>
      <c r="I1056" s="23" t="s">
        <v>2412</v>
      </c>
    </row>
    <row r="1057" spans="1:9">
      <c r="A1057" s="23" t="s">
        <v>1608</v>
      </c>
      <c r="B1057" s="23" t="s">
        <v>2414</v>
      </c>
      <c r="C1057" s="23"/>
      <c r="D1057" s="23">
        <v>74.75</v>
      </c>
      <c r="E1057" s="23" t="s">
        <v>2385</v>
      </c>
      <c r="F1057" s="23" t="s">
        <v>2387</v>
      </c>
      <c r="G1057" s="23" t="s">
        <v>739</v>
      </c>
      <c r="H1057" s="205" t="s">
        <v>1608</v>
      </c>
      <c r="I1057" s="23" t="s">
        <v>2414</v>
      </c>
    </row>
    <row r="1058" spans="1:9">
      <c r="A1058" s="23" t="s">
        <v>1608</v>
      </c>
      <c r="B1058" s="23" t="s">
        <v>2414</v>
      </c>
      <c r="C1058" s="23"/>
      <c r="D1058" s="23">
        <v>46</v>
      </c>
      <c r="E1058" s="23" t="s">
        <v>2385</v>
      </c>
      <c r="F1058" s="23" t="s">
        <v>2388</v>
      </c>
      <c r="G1058" s="23" t="s">
        <v>897</v>
      </c>
      <c r="H1058" s="205" t="s">
        <v>1608</v>
      </c>
      <c r="I1058" s="23" t="s">
        <v>2414</v>
      </c>
    </row>
    <row r="1059" spans="1:9">
      <c r="A1059" s="23" t="s">
        <v>1608</v>
      </c>
      <c r="B1059" s="23" t="s">
        <v>2414</v>
      </c>
      <c r="C1059" s="23"/>
      <c r="D1059" s="23">
        <v>28.75</v>
      </c>
      <c r="E1059" s="23" t="s">
        <v>2385</v>
      </c>
      <c r="F1059" s="23" t="s">
        <v>735</v>
      </c>
      <c r="G1059" s="23" t="s">
        <v>735</v>
      </c>
      <c r="H1059" s="205" t="s">
        <v>1608</v>
      </c>
      <c r="I1059" s="23" t="s">
        <v>2414</v>
      </c>
    </row>
    <row r="1060" spans="1:9">
      <c r="A1060" s="23" t="s">
        <v>1608</v>
      </c>
      <c r="B1060" s="23" t="s">
        <v>2414</v>
      </c>
      <c r="C1060" s="23"/>
      <c r="D1060" s="23">
        <v>2</v>
      </c>
      <c r="E1060" s="23" t="s">
        <v>2385</v>
      </c>
      <c r="F1060" s="23" t="s">
        <v>56</v>
      </c>
      <c r="G1060" s="23" t="s">
        <v>56</v>
      </c>
      <c r="H1060" s="205" t="s">
        <v>1608</v>
      </c>
      <c r="I1060" s="23" t="s">
        <v>2414</v>
      </c>
    </row>
    <row r="1061" spans="1:9">
      <c r="A1061" s="23" t="s">
        <v>1608</v>
      </c>
      <c r="B1061" s="23" t="s">
        <v>2414</v>
      </c>
      <c r="C1061" s="23"/>
      <c r="D1061" s="23">
        <v>74.75</v>
      </c>
      <c r="E1061" s="23" t="s">
        <v>632</v>
      </c>
      <c r="F1061" s="23" t="s">
        <v>2387</v>
      </c>
      <c r="G1061" s="23" t="s">
        <v>739</v>
      </c>
      <c r="H1061" s="205" t="s">
        <v>1608</v>
      </c>
      <c r="I1061" s="23" t="s">
        <v>2414</v>
      </c>
    </row>
    <row r="1062" spans="1:9">
      <c r="A1062" s="23" t="s">
        <v>1608</v>
      </c>
      <c r="B1062" s="23" t="s">
        <v>2414</v>
      </c>
      <c r="C1062" s="23"/>
      <c r="D1062" s="23">
        <v>46</v>
      </c>
      <c r="E1062" s="23" t="s">
        <v>632</v>
      </c>
      <c r="F1062" s="23" t="s">
        <v>2388</v>
      </c>
      <c r="G1062" s="23" t="s">
        <v>897</v>
      </c>
      <c r="H1062" s="205" t="s">
        <v>1608</v>
      </c>
      <c r="I1062" s="23" t="s">
        <v>2414</v>
      </c>
    </row>
    <row r="1063" spans="1:9">
      <c r="A1063" s="23" t="s">
        <v>1608</v>
      </c>
      <c r="B1063" s="23" t="s">
        <v>2414</v>
      </c>
      <c r="C1063" s="23"/>
      <c r="D1063" s="23">
        <v>28.75</v>
      </c>
      <c r="E1063" s="23" t="s">
        <v>632</v>
      </c>
      <c r="F1063" s="23" t="s">
        <v>735</v>
      </c>
      <c r="G1063" s="23" t="s">
        <v>735</v>
      </c>
      <c r="H1063" s="205" t="s">
        <v>1608</v>
      </c>
      <c r="I1063" s="23" t="s">
        <v>2414</v>
      </c>
    </row>
    <row r="1064" spans="1:9">
      <c r="A1064" s="23" t="s">
        <v>1608</v>
      </c>
      <c r="B1064" s="23" t="s">
        <v>2414</v>
      </c>
      <c r="C1064" s="23"/>
      <c r="D1064" s="23">
        <v>2</v>
      </c>
      <c r="E1064" s="23" t="s">
        <v>632</v>
      </c>
      <c r="F1064" s="23" t="s">
        <v>56</v>
      </c>
      <c r="G1064" s="23" t="s">
        <v>56</v>
      </c>
      <c r="H1064" s="205" t="s">
        <v>1608</v>
      </c>
      <c r="I1064" s="23" t="s">
        <v>2414</v>
      </c>
    </row>
    <row r="1065" spans="1:9">
      <c r="A1065" s="23" t="s">
        <v>1608</v>
      </c>
      <c r="B1065" s="23" t="s">
        <v>2414</v>
      </c>
      <c r="C1065" s="23"/>
      <c r="D1065" s="23">
        <v>74.75</v>
      </c>
      <c r="E1065" s="23" t="s">
        <v>2389</v>
      </c>
      <c r="F1065" s="23" t="s">
        <v>2387</v>
      </c>
      <c r="G1065" s="23" t="s">
        <v>739</v>
      </c>
      <c r="H1065" s="205" t="s">
        <v>1608</v>
      </c>
      <c r="I1065" s="23" t="s">
        <v>2414</v>
      </c>
    </row>
    <row r="1066" spans="1:9">
      <c r="A1066" s="23" t="s">
        <v>1608</v>
      </c>
      <c r="B1066" s="23" t="s">
        <v>2414</v>
      </c>
      <c r="C1066" s="23"/>
      <c r="D1066" s="23">
        <v>46</v>
      </c>
      <c r="E1066" s="23" t="s">
        <v>2389</v>
      </c>
      <c r="F1066" s="23" t="s">
        <v>2388</v>
      </c>
      <c r="G1066" s="23" t="s">
        <v>897</v>
      </c>
      <c r="H1066" s="205" t="s">
        <v>1608</v>
      </c>
      <c r="I1066" s="23" t="s">
        <v>2414</v>
      </c>
    </row>
    <row r="1067" spans="1:9">
      <c r="A1067" s="23" t="s">
        <v>1608</v>
      </c>
      <c r="B1067" s="23" t="s">
        <v>2414</v>
      </c>
      <c r="C1067" s="23"/>
      <c r="D1067" s="23">
        <v>28.75</v>
      </c>
      <c r="E1067" s="23" t="s">
        <v>2389</v>
      </c>
      <c r="F1067" s="23" t="s">
        <v>735</v>
      </c>
      <c r="G1067" s="23" t="s">
        <v>735</v>
      </c>
      <c r="H1067" s="205" t="s">
        <v>1608</v>
      </c>
      <c r="I1067" s="23" t="s">
        <v>2414</v>
      </c>
    </row>
    <row r="1068" spans="1:9">
      <c r="A1068" s="23" t="s">
        <v>1608</v>
      </c>
      <c r="B1068" s="23" t="s">
        <v>2414</v>
      </c>
      <c r="C1068" s="23"/>
      <c r="D1068" s="23">
        <v>3.2</v>
      </c>
      <c r="E1068" s="23" t="s">
        <v>2389</v>
      </c>
      <c r="F1068" s="23" t="s">
        <v>56</v>
      </c>
      <c r="G1068" s="23" t="s">
        <v>56</v>
      </c>
      <c r="H1068" s="205" t="s">
        <v>1608</v>
      </c>
      <c r="I1068" s="23" t="s">
        <v>2414</v>
      </c>
    </row>
    <row r="1069" spans="1:9">
      <c r="A1069" s="23" t="s">
        <v>1608</v>
      </c>
      <c r="B1069" s="23" t="s">
        <v>2416</v>
      </c>
      <c r="C1069" s="23"/>
      <c r="D1069" s="23">
        <v>56.03</v>
      </c>
      <c r="E1069" s="23" t="s">
        <v>2385</v>
      </c>
      <c r="F1069" s="23" t="s">
        <v>2387</v>
      </c>
      <c r="G1069" s="23" t="s">
        <v>739</v>
      </c>
      <c r="H1069" s="205" t="s">
        <v>1608</v>
      </c>
      <c r="I1069" s="23" t="s">
        <v>2416</v>
      </c>
    </row>
    <row r="1070" spans="1:9">
      <c r="A1070" s="23" t="s">
        <v>1608</v>
      </c>
      <c r="B1070" s="23" t="s">
        <v>2416</v>
      </c>
      <c r="C1070" s="23"/>
      <c r="D1070" s="23">
        <v>34.480000000000004</v>
      </c>
      <c r="E1070" s="23" t="s">
        <v>2385</v>
      </c>
      <c r="F1070" s="23" t="s">
        <v>2388</v>
      </c>
      <c r="G1070" s="23" t="s">
        <v>897</v>
      </c>
      <c r="H1070" s="205" t="s">
        <v>1608</v>
      </c>
      <c r="I1070" s="23" t="s">
        <v>2416</v>
      </c>
    </row>
    <row r="1071" spans="1:9">
      <c r="A1071" s="23" t="s">
        <v>1608</v>
      </c>
      <c r="B1071" s="23" t="s">
        <v>2416</v>
      </c>
      <c r="C1071" s="23"/>
      <c r="D1071" s="23">
        <v>21.55</v>
      </c>
      <c r="E1071" s="23" t="s">
        <v>2385</v>
      </c>
      <c r="F1071" s="23" t="s">
        <v>735</v>
      </c>
      <c r="G1071" s="23" t="s">
        <v>735</v>
      </c>
      <c r="H1071" s="205" t="s">
        <v>1608</v>
      </c>
      <c r="I1071" s="23" t="s">
        <v>2416</v>
      </c>
    </row>
    <row r="1072" spans="1:9">
      <c r="A1072" s="23" t="s">
        <v>1608</v>
      </c>
      <c r="B1072" s="23" t="s">
        <v>2416</v>
      </c>
      <c r="C1072" s="23"/>
      <c r="D1072" s="23">
        <v>1.4500000000000002</v>
      </c>
      <c r="E1072" s="23" t="s">
        <v>2385</v>
      </c>
      <c r="F1072" s="23" t="s">
        <v>56</v>
      </c>
      <c r="G1072" s="23" t="s">
        <v>56</v>
      </c>
      <c r="H1072" s="205" t="s">
        <v>1608</v>
      </c>
      <c r="I1072" s="23" t="s">
        <v>2416</v>
      </c>
    </row>
    <row r="1073" spans="1:9">
      <c r="A1073" s="23" t="s">
        <v>1608</v>
      </c>
      <c r="B1073" s="23" t="s">
        <v>2416</v>
      </c>
      <c r="C1073" s="23"/>
      <c r="D1073" s="23">
        <v>56.03</v>
      </c>
      <c r="E1073" s="23" t="s">
        <v>632</v>
      </c>
      <c r="F1073" s="23" t="s">
        <v>2387</v>
      </c>
      <c r="G1073" s="23" t="s">
        <v>739</v>
      </c>
      <c r="H1073" s="205" t="s">
        <v>1608</v>
      </c>
      <c r="I1073" s="23" t="s">
        <v>2416</v>
      </c>
    </row>
    <row r="1074" spans="1:9">
      <c r="A1074" s="23" t="s">
        <v>1608</v>
      </c>
      <c r="B1074" s="23" t="s">
        <v>2416</v>
      </c>
      <c r="C1074" s="23"/>
      <c r="D1074" s="23">
        <v>34.480000000000004</v>
      </c>
      <c r="E1074" s="23" t="s">
        <v>632</v>
      </c>
      <c r="F1074" s="23" t="s">
        <v>2388</v>
      </c>
      <c r="G1074" s="23" t="s">
        <v>897</v>
      </c>
      <c r="H1074" s="205" t="s">
        <v>1608</v>
      </c>
      <c r="I1074" s="23" t="s">
        <v>2416</v>
      </c>
    </row>
    <row r="1075" spans="1:9">
      <c r="A1075" s="23" t="s">
        <v>1608</v>
      </c>
      <c r="B1075" s="23" t="s">
        <v>2416</v>
      </c>
      <c r="C1075" s="23"/>
      <c r="D1075" s="23">
        <v>21.55</v>
      </c>
      <c r="E1075" s="23" t="s">
        <v>632</v>
      </c>
      <c r="F1075" s="23" t="s">
        <v>735</v>
      </c>
      <c r="G1075" s="23" t="s">
        <v>735</v>
      </c>
      <c r="H1075" s="205" t="s">
        <v>1608</v>
      </c>
      <c r="I1075" s="23" t="s">
        <v>2416</v>
      </c>
    </row>
    <row r="1076" spans="1:9">
      <c r="A1076" s="23" t="s">
        <v>1608</v>
      </c>
      <c r="B1076" s="23" t="s">
        <v>2416</v>
      </c>
      <c r="C1076" s="23"/>
      <c r="D1076" s="23">
        <v>1.4500000000000002</v>
      </c>
      <c r="E1076" s="23" t="s">
        <v>632</v>
      </c>
      <c r="F1076" s="23" t="s">
        <v>56</v>
      </c>
      <c r="G1076" s="23" t="s">
        <v>56</v>
      </c>
      <c r="H1076" s="205" t="s">
        <v>1608</v>
      </c>
      <c r="I1076" s="23" t="s">
        <v>2416</v>
      </c>
    </row>
    <row r="1077" spans="1:9">
      <c r="A1077" s="23" t="s">
        <v>1608</v>
      </c>
      <c r="B1077" s="23" t="s">
        <v>2416</v>
      </c>
      <c r="C1077" s="23"/>
      <c r="D1077" s="23">
        <v>56.03</v>
      </c>
      <c r="E1077" s="23" t="s">
        <v>2389</v>
      </c>
      <c r="F1077" s="23" t="s">
        <v>2387</v>
      </c>
      <c r="G1077" s="23" t="s">
        <v>739</v>
      </c>
      <c r="H1077" s="205" t="s">
        <v>1608</v>
      </c>
      <c r="I1077" s="23" t="s">
        <v>2416</v>
      </c>
    </row>
    <row r="1078" spans="1:9">
      <c r="A1078" s="23" t="s">
        <v>1608</v>
      </c>
      <c r="B1078" s="23" t="s">
        <v>2416</v>
      </c>
      <c r="C1078" s="23"/>
      <c r="D1078" s="23">
        <v>34.480000000000004</v>
      </c>
      <c r="E1078" s="23" t="s">
        <v>2389</v>
      </c>
      <c r="F1078" s="23" t="s">
        <v>2388</v>
      </c>
      <c r="G1078" s="23" t="s">
        <v>897</v>
      </c>
      <c r="H1078" s="205" t="s">
        <v>1608</v>
      </c>
      <c r="I1078" s="23" t="s">
        <v>2416</v>
      </c>
    </row>
    <row r="1079" spans="1:9">
      <c r="A1079" s="23" t="s">
        <v>1608</v>
      </c>
      <c r="B1079" s="23" t="s">
        <v>2416</v>
      </c>
      <c r="C1079" s="23"/>
      <c r="D1079" s="23">
        <v>21.55</v>
      </c>
      <c r="E1079" s="23" t="s">
        <v>2389</v>
      </c>
      <c r="F1079" s="23" t="s">
        <v>735</v>
      </c>
      <c r="G1079" s="23" t="s">
        <v>735</v>
      </c>
      <c r="H1079" s="205" t="s">
        <v>1608</v>
      </c>
      <c r="I1079" s="23" t="s">
        <v>2416</v>
      </c>
    </row>
    <row r="1080" spans="1:9">
      <c r="A1080" s="23" t="s">
        <v>1608</v>
      </c>
      <c r="B1080" s="23" t="s">
        <v>2416</v>
      </c>
      <c r="C1080" s="23"/>
      <c r="D1080" s="23">
        <v>1.4500000000000002</v>
      </c>
      <c r="E1080" s="23" t="s">
        <v>2389</v>
      </c>
      <c r="F1080" s="23" t="s">
        <v>56</v>
      </c>
      <c r="G1080" s="23" t="s">
        <v>56</v>
      </c>
      <c r="H1080" s="205" t="s">
        <v>1608</v>
      </c>
      <c r="I1080" s="23" t="s">
        <v>2416</v>
      </c>
    </row>
    <row r="1081" spans="1:9">
      <c r="A1081" s="23" t="s">
        <v>1608</v>
      </c>
      <c r="B1081" s="23" t="s">
        <v>2418</v>
      </c>
      <c r="C1081" s="23"/>
      <c r="D1081" s="23">
        <v>160.71250000000001</v>
      </c>
      <c r="E1081" s="23" t="s">
        <v>2385</v>
      </c>
      <c r="F1081" s="23" t="s">
        <v>2387</v>
      </c>
      <c r="G1081" s="23" t="s">
        <v>739</v>
      </c>
      <c r="H1081" s="205" t="s">
        <v>1608</v>
      </c>
      <c r="I1081" s="23" t="s">
        <v>2418</v>
      </c>
    </row>
    <row r="1082" spans="1:9">
      <c r="A1082" s="23" t="s">
        <v>1608</v>
      </c>
      <c r="B1082" s="23" t="s">
        <v>2418</v>
      </c>
      <c r="C1082" s="23"/>
      <c r="D1082" s="23">
        <v>98.9</v>
      </c>
      <c r="E1082" s="23" t="s">
        <v>2385</v>
      </c>
      <c r="F1082" s="23" t="s">
        <v>2388</v>
      </c>
      <c r="G1082" s="23" t="s">
        <v>897</v>
      </c>
      <c r="H1082" s="205" t="s">
        <v>1608</v>
      </c>
      <c r="I1082" s="23" t="s">
        <v>2418</v>
      </c>
    </row>
    <row r="1083" spans="1:9">
      <c r="A1083" s="23" t="s">
        <v>1608</v>
      </c>
      <c r="B1083" s="23" t="s">
        <v>2418</v>
      </c>
      <c r="C1083" s="23"/>
      <c r="D1083" s="23">
        <v>61.8125</v>
      </c>
      <c r="E1083" s="23" t="s">
        <v>2385</v>
      </c>
      <c r="F1083" s="23" t="s">
        <v>735</v>
      </c>
      <c r="G1083" s="23" t="s">
        <v>735</v>
      </c>
      <c r="H1083" s="205" t="s">
        <v>1608</v>
      </c>
      <c r="I1083" s="23" t="s">
        <v>2418</v>
      </c>
    </row>
    <row r="1084" spans="1:9">
      <c r="A1084" s="23" t="s">
        <v>1608</v>
      </c>
      <c r="B1084" s="23" t="s">
        <v>2418</v>
      </c>
      <c r="C1084" s="23"/>
      <c r="D1084" s="23">
        <v>17.25</v>
      </c>
      <c r="E1084" s="23" t="s">
        <v>2385</v>
      </c>
      <c r="F1084" s="23" t="s">
        <v>56</v>
      </c>
      <c r="G1084" s="23" t="s">
        <v>56</v>
      </c>
      <c r="H1084" s="205" t="s">
        <v>1608</v>
      </c>
      <c r="I1084" s="23" t="s">
        <v>2418</v>
      </c>
    </row>
    <row r="1085" spans="1:9">
      <c r="A1085" s="23" t="s">
        <v>1608</v>
      </c>
      <c r="B1085" s="23" t="s">
        <v>2418</v>
      </c>
      <c r="C1085" s="23"/>
      <c r="D1085" s="23">
        <v>160.68</v>
      </c>
      <c r="E1085" s="23" t="s">
        <v>632</v>
      </c>
      <c r="F1085" s="23" t="s">
        <v>2387</v>
      </c>
      <c r="G1085" s="23" t="s">
        <v>739</v>
      </c>
      <c r="H1085" s="205" t="s">
        <v>1608</v>
      </c>
      <c r="I1085" s="23" t="s">
        <v>2418</v>
      </c>
    </row>
    <row r="1086" spans="1:9">
      <c r="A1086" s="23" t="s">
        <v>1608</v>
      </c>
      <c r="B1086" s="23" t="s">
        <v>2418</v>
      </c>
      <c r="C1086" s="23"/>
      <c r="D1086" s="23">
        <v>98.88</v>
      </c>
      <c r="E1086" s="23" t="s">
        <v>632</v>
      </c>
      <c r="F1086" s="23" t="s">
        <v>2388</v>
      </c>
      <c r="G1086" s="23" t="s">
        <v>897</v>
      </c>
      <c r="H1086" s="205" t="s">
        <v>1608</v>
      </c>
      <c r="I1086" s="23" t="s">
        <v>2418</v>
      </c>
    </row>
    <row r="1087" spans="1:9">
      <c r="A1087" s="23" t="s">
        <v>1608</v>
      </c>
      <c r="B1087" s="23" t="s">
        <v>2418</v>
      </c>
      <c r="C1087" s="23"/>
      <c r="D1087" s="23">
        <v>61.800000000000004</v>
      </c>
      <c r="E1087" s="23" t="s">
        <v>632</v>
      </c>
      <c r="F1087" s="23" t="s">
        <v>735</v>
      </c>
      <c r="G1087" s="23" t="s">
        <v>735</v>
      </c>
      <c r="H1087" s="205" t="s">
        <v>1608</v>
      </c>
      <c r="I1087" s="23" t="s">
        <v>2418</v>
      </c>
    </row>
    <row r="1088" spans="1:9">
      <c r="A1088" s="23" t="s">
        <v>1608</v>
      </c>
      <c r="B1088" s="23" t="s">
        <v>2418</v>
      </c>
      <c r="C1088" s="23"/>
      <c r="D1088" s="23">
        <v>17.25</v>
      </c>
      <c r="E1088" s="23" t="s">
        <v>632</v>
      </c>
      <c r="F1088" s="23" t="s">
        <v>56</v>
      </c>
      <c r="G1088" s="23" t="s">
        <v>56</v>
      </c>
      <c r="H1088" s="205" t="s">
        <v>1608</v>
      </c>
      <c r="I1088" s="23" t="s">
        <v>2418</v>
      </c>
    </row>
    <row r="1089" spans="1:9">
      <c r="A1089" s="23" t="s">
        <v>1608</v>
      </c>
      <c r="B1089" s="23" t="s">
        <v>2418</v>
      </c>
      <c r="C1089" s="23"/>
      <c r="D1089" s="23">
        <v>186.57599999999999</v>
      </c>
      <c r="E1089" s="23" t="s">
        <v>2389</v>
      </c>
      <c r="F1089" s="23" t="s">
        <v>2387</v>
      </c>
      <c r="G1089" s="23" t="s">
        <v>739</v>
      </c>
      <c r="H1089" s="205" t="s">
        <v>1608</v>
      </c>
      <c r="I1089" s="23" t="s">
        <v>2418</v>
      </c>
    </row>
    <row r="1090" spans="1:9">
      <c r="A1090" s="23" t="s">
        <v>1608</v>
      </c>
      <c r="B1090" s="23" t="s">
        <v>2418</v>
      </c>
      <c r="C1090" s="23"/>
      <c r="D1090" s="23">
        <v>114.81599999999999</v>
      </c>
      <c r="E1090" s="23" t="s">
        <v>2389</v>
      </c>
      <c r="F1090" s="23" t="s">
        <v>2388</v>
      </c>
      <c r="G1090" s="23" t="s">
        <v>897</v>
      </c>
      <c r="H1090" s="205" t="s">
        <v>1608</v>
      </c>
      <c r="I1090" s="23" t="s">
        <v>2418</v>
      </c>
    </row>
    <row r="1091" spans="1:9">
      <c r="A1091" s="23" t="s">
        <v>1608</v>
      </c>
      <c r="B1091" s="23" t="s">
        <v>2418</v>
      </c>
      <c r="C1091" s="23"/>
      <c r="D1091" s="23">
        <v>71.759999999999991</v>
      </c>
      <c r="E1091" s="23" t="s">
        <v>2389</v>
      </c>
      <c r="F1091" s="23" t="s">
        <v>735</v>
      </c>
      <c r="G1091" s="23" t="s">
        <v>735</v>
      </c>
      <c r="H1091" s="205" t="s">
        <v>1608</v>
      </c>
      <c r="I1091" s="23" t="s">
        <v>2418</v>
      </c>
    </row>
    <row r="1092" spans="1:9">
      <c r="A1092" s="23" t="s">
        <v>1608</v>
      </c>
      <c r="B1092" s="23" t="s">
        <v>2418</v>
      </c>
      <c r="C1092" s="23"/>
      <c r="D1092" s="23">
        <v>17.25</v>
      </c>
      <c r="E1092" s="23" t="s">
        <v>2389</v>
      </c>
      <c r="F1092" s="23" t="s">
        <v>56</v>
      </c>
      <c r="G1092" s="23" t="s">
        <v>56</v>
      </c>
      <c r="H1092" s="205" t="s">
        <v>1608</v>
      </c>
      <c r="I1092" s="23" t="s">
        <v>2418</v>
      </c>
    </row>
    <row r="1093" spans="1:9">
      <c r="A1093" s="23" t="s">
        <v>1608</v>
      </c>
      <c r="B1093" s="23" t="s">
        <v>2420</v>
      </c>
      <c r="C1093" s="23"/>
      <c r="D1093" s="23">
        <v>113.75</v>
      </c>
      <c r="E1093" s="23" t="s">
        <v>2385</v>
      </c>
      <c r="F1093" s="23" t="s">
        <v>2387</v>
      </c>
      <c r="G1093" s="23" t="s">
        <v>739</v>
      </c>
      <c r="H1093" s="205" t="s">
        <v>1608</v>
      </c>
      <c r="I1093" s="23" t="s">
        <v>2420</v>
      </c>
    </row>
    <row r="1094" spans="1:9">
      <c r="A1094" s="23" t="s">
        <v>1608</v>
      </c>
      <c r="B1094" s="23" t="s">
        <v>2420</v>
      </c>
      <c r="C1094" s="23"/>
      <c r="D1094" s="23">
        <v>70</v>
      </c>
      <c r="E1094" s="23" t="s">
        <v>2385</v>
      </c>
      <c r="F1094" s="23" t="s">
        <v>2388</v>
      </c>
      <c r="G1094" s="23" t="s">
        <v>897</v>
      </c>
      <c r="H1094" s="205" t="s">
        <v>1608</v>
      </c>
      <c r="I1094" s="23" t="s">
        <v>2420</v>
      </c>
    </row>
    <row r="1095" spans="1:9">
      <c r="A1095" s="23" t="s">
        <v>1608</v>
      </c>
      <c r="B1095" s="23" t="s">
        <v>2420</v>
      </c>
      <c r="C1095" s="23"/>
      <c r="D1095" s="23">
        <v>43.75</v>
      </c>
      <c r="E1095" s="23" t="s">
        <v>2385</v>
      </c>
      <c r="F1095" s="23" t="s">
        <v>735</v>
      </c>
      <c r="G1095" s="23" t="s">
        <v>735</v>
      </c>
      <c r="H1095" s="205" t="s">
        <v>1608</v>
      </c>
      <c r="I1095" s="23" t="s">
        <v>2420</v>
      </c>
    </row>
    <row r="1096" spans="1:9">
      <c r="A1096" s="23" t="s">
        <v>1608</v>
      </c>
      <c r="B1096" s="23" t="s">
        <v>2420</v>
      </c>
      <c r="C1096" s="23"/>
      <c r="D1096" s="23">
        <v>6.3000000000000007</v>
      </c>
      <c r="E1096" s="23" t="s">
        <v>2385</v>
      </c>
      <c r="F1096" s="23" t="s">
        <v>56</v>
      </c>
      <c r="G1096" s="23" t="s">
        <v>56</v>
      </c>
      <c r="H1096" s="205" t="s">
        <v>1608</v>
      </c>
      <c r="I1096" s="23" t="s">
        <v>2420</v>
      </c>
    </row>
    <row r="1097" spans="1:9">
      <c r="A1097" s="23" t="s">
        <v>1608</v>
      </c>
      <c r="B1097" s="23" t="s">
        <v>2420</v>
      </c>
      <c r="C1097" s="23"/>
      <c r="D1097" s="23">
        <v>113.75</v>
      </c>
      <c r="E1097" s="23" t="s">
        <v>632</v>
      </c>
      <c r="F1097" s="23" t="s">
        <v>2387</v>
      </c>
      <c r="G1097" s="23" t="s">
        <v>739</v>
      </c>
      <c r="H1097" s="205" t="s">
        <v>1608</v>
      </c>
      <c r="I1097" s="23" t="s">
        <v>2420</v>
      </c>
    </row>
    <row r="1098" spans="1:9">
      <c r="A1098" s="23" t="s">
        <v>1608</v>
      </c>
      <c r="B1098" s="23" t="s">
        <v>2420</v>
      </c>
      <c r="C1098" s="23"/>
      <c r="D1098" s="23">
        <v>70</v>
      </c>
      <c r="E1098" s="23" t="s">
        <v>632</v>
      </c>
      <c r="F1098" s="23" t="s">
        <v>2388</v>
      </c>
      <c r="G1098" s="23" t="s">
        <v>897</v>
      </c>
      <c r="H1098" s="205" t="s">
        <v>1608</v>
      </c>
      <c r="I1098" s="23" t="s">
        <v>2420</v>
      </c>
    </row>
    <row r="1099" spans="1:9">
      <c r="A1099" s="23" t="s">
        <v>1608</v>
      </c>
      <c r="B1099" s="23" t="s">
        <v>2420</v>
      </c>
      <c r="C1099" s="23"/>
      <c r="D1099" s="23">
        <v>43.75</v>
      </c>
      <c r="E1099" s="23" t="s">
        <v>632</v>
      </c>
      <c r="F1099" s="23" t="s">
        <v>735</v>
      </c>
      <c r="G1099" s="23" t="s">
        <v>735</v>
      </c>
      <c r="H1099" s="205" t="s">
        <v>1608</v>
      </c>
      <c r="I1099" s="23" t="s">
        <v>2420</v>
      </c>
    </row>
    <row r="1100" spans="1:9">
      <c r="A1100" s="23" t="s">
        <v>1608</v>
      </c>
      <c r="B1100" s="23" t="s">
        <v>2420</v>
      </c>
      <c r="C1100" s="23"/>
      <c r="D1100" s="23">
        <v>6.3000000000000007</v>
      </c>
      <c r="E1100" s="23" t="s">
        <v>632</v>
      </c>
      <c r="F1100" s="23" t="s">
        <v>56</v>
      </c>
      <c r="G1100" s="23" t="s">
        <v>56</v>
      </c>
      <c r="H1100" s="205" t="s">
        <v>1608</v>
      </c>
      <c r="I1100" s="23" t="s">
        <v>2420</v>
      </c>
    </row>
    <row r="1101" spans="1:9">
      <c r="A1101" s="23" t="s">
        <v>1608</v>
      </c>
      <c r="B1101" s="23" t="s">
        <v>2420</v>
      </c>
      <c r="C1101" s="23"/>
      <c r="D1101" s="23">
        <v>186.57599999999999</v>
      </c>
      <c r="E1101" s="23" t="s">
        <v>2389</v>
      </c>
      <c r="F1101" s="23" t="s">
        <v>2387</v>
      </c>
      <c r="G1101" s="23" t="s">
        <v>739</v>
      </c>
      <c r="H1101" s="205" t="s">
        <v>1608</v>
      </c>
      <c r="I1101" s="23" t="s">
        <v>2420</v>
      </c>
    </row>
    <row r="1102" spans="1:9">
      <c r="A1102" s="23" t="s">
        <v>1608</v>
      </c>
      <c r="B1102" s="23" t="s">
        <v>2420</v>
      </c>
      <c r="C1102" s="23"/>
      <c r="D1102" s="23">
        <v>114.81599999999999</v>
      </c>
      <c r="E1102" s="23" t="s">
        <v>2389</v>
      </c>
      <c r="F1102" s="23" t="s">
        <v>2388</v>
      </c>
      <c r="G1102" s="23" t="s">
        <v>897</v>
      </c>
      <c r="H1102" s="205" t="s">
        <v>1608</v>
      </c>
      <c r="I1102" s="23" t="s">
        <v>2420</v>
      </c>
    </row>
    <row r="1103" spans="1:9">
      <c r="A1103" s="23" t="s">
        <v>1608</v>
      </c>
      <c r="B1103" s="23" t="s">
        <v>2420</v>
      </c>
      <c r="C1103" s="23"/>
      <c r="D1103" s="23">
        <v>71.759999999999991</v>
      </c>
      <c r="E1103" s="23" t="s">
        <v>2389</v>
      </c>
      <c r="F1103" s="23" t="s">
        <v>735</v>
      </c>
      <c r="G1103" s="23" t="s">
        <v>735</v>
      </c>
      <c r="H1103" s="205" t="s">
        <v>1608</v>
      </c>
      <c r="I1103" s="23" t="s">
        <v>2420</v>
      </c>
    </row>
    <row r="1104" spans="1:9">
      <c r="A1104" s="23" t="s">
        <v>1608</v>
      </c>
      <c r="B1104" s="23" t="s">
        <v>2420</v>
      </c>
      <c r="C1104" s="23"/>
      <c r="D1104" s="23">
        <v>6.3000000000000007</v>
      </c>
      <c r="E1104" s="23" t="s">
        <v>2389</v>
      </c>
      <c r="F1104" s="23" t="s">
        <v>56</v>
      </c>
      <c r="G1104" s="23" t="s">
        <v>56</v>
      </c>
      <c r="H1104" s="205" t="s">
        <v>1608</v>
      </c>
      <c r="I1104" s="23" t="s">
        <v>2420</v>
      </c>
    </row>
    <row r="1105" spans="1:9">
      <c r="A1105" s="23" t="s">
        <v>1608</v>
      </c>
      <c r="B1105" s="23" t="s">
        <v>2422</v>
      </c>
      <c r="C1105" s="23"/>
      <c r="D1105" s="23">
        <v>149.5</v>
      </c>
      <c r="E1105" s="23" t="s">
        <v>2385</v>
      </c>
      <c r="F1105" s="23" t="s">
        <v>2387</v>
      </c>
      <c r="G1105" s="23" t="s">
        <v>739</v>
      </c>
      <c r="H1105" s="205" t="s">
        <v>1608</v>
      </c>
      <c r="I1105" s="23" t="s">
        <v>2422</v>
      </c>
    </row>
    <row r="1106" spans="1:9">
      <c r="A1106" s="23" t="s">
        <v>1608</v>
      </c>
      <c r="B1106" s="23" t="s">
        <v>2422</v>
      </c>
      <c r="C1106" s="23"/>
      <c r="D1106" s="23">
        <v>92</v>
      </c>
      <c r="E1106" s="23" t="s">
        <v>2385</v>
      </c>
      <c r="F1106" s="23" t="s">
        <v>2388</v>
      </c>
      <c r="G1106" s="23" t="s">
        <v>897</v>
      </c>
      <c r="H1106" s="205" t="s">
        <v>1608</v>
      </c>
      <c r="I1106" s="23" t="s">
        <v>2422</v>
      </c>
    </row>
    <row r="1107" spans="1:9">
      <c r="A1107" s="23" t="s">
        <v>1608</v>
      </c>
      <c r="B1107" s="23" t="s">
        <v>2422</v>
      </c>
      <c r="C1107" s="23"/>
      <c r="D1107" s="23">
        <v>57.5</v>
      </c>
      <c r="E1107" s="23" t="s">
        <v>2385</v>
      </c>
      <c r="F1107" s="23" t="s">
        <v>735</v>
      </c>
      <c r="G1107" s="23" t="s">
        <v>735</v>
      </c>
      <c r="H1107" s="205" t="s">
        <v>1608</v>
      </c>
      <c r="I1107" s="23" t="s">
        <v>2422</v>
      </c>
    </row>
    <row r="1108" spans="1:9">
      <c r="A1108" s="23" t="s">
        <v>1608</v>
      </c>
      <c r="B1108" s="23" t="s">
        <v>2422</v>
      </c>
      <c r="C1108" s="23"/>
      <c r="D1108" s="23">
        <v>11.5</v>
      </c>
      <c r="E1108" s="23" t="s">
        <v>2385</v>
      </c>
      <c r="F1108" s="23" t="s">
        <v>56</v>
      </c>
      <c r="G1108" s="23" t="s">
        <v>56</v>
      </c>
      <c r="H1108" s="205" t="s">
        <v>1608</v>
      </c>
      <c r="I1108" s="23" t="s">
        <v>2422</v>
      </c>
    </row>
    <row r="1109" spans="1:9">
      <c r="A1109" s="23" t="s">
        <v>1608</v>
      </c>
      <c r="B1109" s="23" t="s">
        <v>2422</v>
      </c>
      <c r="C1109" s="23"/>
      <c r="D1109" s="23">
        <v>149.5</v>
      </c>
      <c r="E1109" s="23" t="s">
        <v>632</v>
      </c>
      <c r="F1109" s="23" t="s">
        <v>2387</v>
      </c>
      <c r="G1109" s="23" t="s">
        <v>739</v>
      </c>
      <c r="H1109" s="205" t="s">
        <v>1608</v>
      </c>
      <c r="I1109" s="23" t="s">
        <v>2422</v>
      </c>
    </row>
    <row r="1110" spans="1:9">
      <c r="A1110" s="23" t="s">
        <v>1608</v>
      </c>
      <c r="B1110" s="23" t="s">
        <v>2422</v>
      </c>
      <c r="C1110" s="23"/>
      <c r="D1110" s="23">
        <v>92</v>
      </c>
      <c r="E1110" s="23" t="s">
        <v>632</v>
      </c>
      <c r="F1110" s="23" t="s">
        <v>2388</v>
      </c>
      <c r="G1110" s="23" t="s">
        <v>897</v>
      </c>
      <c r="H1110" s="205" t="s">
        <v>1608</v>
      </c>
      <c r="I1110" s="23" t="s">
        <v>2422</v>
      </c>
    </row>
    <row r="1111" spans="1:9">
      <c r="A1111" s="23" t="s">
        <v>1608</v>
      </c>
      <c r="B1111" s="23" t="s">
        <v>2422</v>
      </c>
      <c r="C1111" s="23"/>
      <c r="D1111" s="23">
        <v>57.5</v>
      </c>
      <c r="E1111" s="23" t="s">
        <v>632</v>
      </c>
      <c r="F1111" s="23" t="s">
        <v>735</v>
      </c>
      <c r="G1111" s="23" t="s">
        <v>735</v>
      </c>
      <c r="H1111" s="205" t="s">
        <v>1608</v>
      </c>
      <c r="I1111" s="23" t="s">
        <v>2422</v>
      </c>
    </row>
    <row r="1112" spans="1:9">
      <c r="A1112" s="23" t="s">
        <v>1608</v>
      </c>
      <c r="B1112" s="23" t="s">
        <v>2422</v>
      </c>
      <c r="C1112" s="23"/>
      <c r="D1112" s="23">
        <v>11.5</v>
      </c>
      <c r="E1112" s="23" t="s">
        <v>632</v>
      </c>
      <c r="F1112" s="23" t="s">
        <v>56</v>
      </c>
      <c r="G1112" s="23" t="s">
        <v>56</v>
      </c>
      <c r="H1112" s="205" t="s">
        <v>1608</v>
      </c>
      <c r="I1112" s="23" t="s">
        <v>2422</v>
      </c>
    </row>
    <row r="1113" spans="1:9">
      <c r="A1113" s="23" t="s">
        <v>1608</v>
      </c>
      <c r="B1113" s="23" t="s">
        <v>2422</v>
      </c>
      <c r="C1113" s="23"/>
      <c r="D1113" s="23">
        <v>149.5</v>
      </c>
      <c r="E1113" s="23" t="s">
        <v>2389</v>
      </c>
      <c r="F1113" s="23" t="s">
        <v>2387</v>
      </c>
      <c r="G1113" s="23" t="s">
        <v>739</v>
      </c>
      <c r="H1113" s="205" t="s">
        <v>1608</v>
      </c>
      <c r="I1113" s="23" t="s">
        <v>2422</v>
      </c>
    </row>
    <row r="1114" spans="1:9">
      <c r="A1114" s="23" t="s">
        <v>1608</v>
      </c>
      <c r="B1114" s="23" t="s">
        <v>2422</v>
      </c>
      <c r="C1114" s="23"/>
      <c r="D1114" s="23">
        <v>92</v>
      </c>
      <c r="E1114" s="23" t="s">
        <v>2389</v>
      </c>
      <c r="F1114" s="23" t="s">
        <v>2388</v>
      </c>
      <c r="G1114" s="23" t="s">
        <v>897</v>
      </c>
      <c r="H1114" s="205" t="s">
        <v>1608</v>
      </c>
      <c r="I1114" s="23" t="s">
        <v>2422</v>
      </c>
    </row>
    <row r="1115" spans="1:9">
      <c r="A1115" s="23" t="s">
        <v>1608</v>
      </c>
      <c r="B1115" s="23" t="s">
        <v>2422</v>
      </c>
      <c r="C1115" s="23"/>
      <c r="D1115" s="23">
        <v>57.5</v>
      </c>
      <c r="E1115" s="23" t="s">
        <v>2389</v>
      </c>
      <c r="F1115" s="23" t="s">
        <v>735</v>
      </c>
      <c r="G1115" s="23" t="s">
        <v>735</v>
      </c>
      <c r="H1115" s="205" t="s">
        <v>1608</v>
      </c>
      <c r="I1115" s="23" t="s">
        <v>2422</v>
      </c>
    </row>
    <row r="1116" spans="1:9">
      <c r="A1116" s="23" t="s">
        <v>1608</v>
      </c>
      <c r="B1116" s="23" t="s">
        <v>2422</v>
      </c>
      <c r="C1116" s="23"/>
      <c r="D1116" s="23">
        <v>11.5</v>
      </c>
      <c r="E1116" s="23" t="s">
        <v>2389</v>
      </c>
      <c r="F1116" s="23" t="s">
        <v>56</v>
      </c>
      <c r="G1116" s="23" t="s">
        <v>56</v>
      </c>
      <c r="H1116" s="205" t="s">
        <v>1608</v>
      </c>
      <c r="I1116" s="23" t="s">
        <v>2422</v>
      </c>
    </row>
    <row r="1117" spans="1:9">
      <c r="A1117" s="23" t="s">
        <v>1608</v>
      </c>
      <c r="B1117" s="23" t="s">
        <v>2424</v>
      </c>
      <c r="C1117" s="23"/>
      <c r="D1117" s="23">
        <v>104.65</v>
      </c>
      <c r="E1117" s="23" t="s">
        <v>2385</v>
      </c>
      <c r="F1117" s="23" t="s">
        <v>2387</v>
      </c>
      <c r="G1117" s="23" t="s">
        <v>739</v>
      </c>
      <c r="H1117" s="205" t="s">
        <v>1608</v>
      </c>
      <c r="I1117" s="23" t="s">
        <v>2424</v>
      </c>
    </row>
    <row r="1118" spans="1:9">
      <c r="A1118" s="23" t="s">
        <v>1608</v>
      </c>
      <c r="B1118" s="23" t="s">
        <v>2424</v>
      </c>
      <c r="C1118" s="23"/>
      <c r="D1118" s="23">
        <v>64.400000000000006</v>
      </c>
      <c r="E1118" s="23" t="s">
        <v>2385</v>
      </c>
      <c r="F1118" s="23" t="s">
        <v>2388</v>
      </c>
      <c r="G1118" s="23" t="s">
        <v>897</v>
      </c>
      <c r="H1118" s="205" t="s">
        <v>1608</v>
      </c>
      <c r="I1118" s="23" t="s">
        <v>2424</v>
      </c>
    </row>
    <row r="1119" spans="1:9">
      <c r="A1119" s="23" t="s">
        <v>1608</v>
      </c>
      <c r="B1119" s="23" t="s">
        <v>2424</v>
      </c>
      <c r="C1119" s="23"/>
      <c r="D1119" s="23">
        <v>40.25</v>
      </c>
      <c r="E1119" s="23" t="s">
        <v>2385</v>
      </c>
      <c r="F1119" s="23" t="s">
        <v>735</v>
      </c>
      <c r="G1119" s="23" t="s">
        <v>735</v>
      </c>
      <c r="H1119" s="205" t="s">
        <v>1608</v>
      </c>
      <c r="I1119" s="23" t="s">
        <v>2424</v>
      </c>
    </row>
    <row r="1120" spans="1:9">
      <c r="A1120" s="23" t="s">
        <v>1608</v>
      </c>
      <c r="B1120" s="23" t="s">
        <v>2424</v>
      </c>
      <c r="C1120" s="23"/>
      <c r="D1120" s="23">
        <v>3.75</v>
      </c>
      <c r="E1120" s="23" t="s">
        <v>2385</v>
      </c>
      <c r="F1120" s="23" t="s">
        <v>56</v>
      </c>
      <c r="G1120" s="23" t="s">
        <v>56</v>
      </c>
      <c r="H1120" s="205" t="s">
        <v>1608</v>
      </c>
      <c r="I1120" s="23" t="s">
        <v>2424</v>
      </c>
    </row>
    <row r="1121" spans="1:9">
      <c r="A1121" s="23" t="s">
        <v>1608</v>
      </c>
      <c r="B1121" s="23" t="s">
        <v>2424</v>
      </c>
      <c r="C1121" s="23"/>
      <c r="D1121" s="23">
        <v>104.65</v>
      </c>
      <c r="E1121" s="23" t="s">
        <v>632</v>
      </c>
      <c r="F1121" s="23" t="s">
        <v>2387</v>
      </c>
      <c r="G1121" s="23" t="s">
        <v>739</v>
      </c>
      <c r="H1121" s="205" t="s">
        <v>1608</v>
      </c>
      <c r="I1121" s="23" t="s">
        <v>2424</v>
      </c>
    </row>
    <row r="1122" spans="1:9">
      <c r="A1122" s="23" t="s">
        <v>1608</v>
      </c>
      <c r="B1122" s="23" t="s">
        <v>2424</v>
      </c>
      <c r="C1122" s="23"/>
      <c r="D1122" s="23">
        <v>64.400000000000006</v>
      </c>
      <c r="E1122" s="23" t="s">
        <v>632</v>
      </c>
      <c r="F1122" s="23" t="s">
        <v>2388</v>
      </c>
      <c r="G1122" s="23" t="s">
        <v>897</v>
      </c>
      <c r="H1122" s="205" t="s">
        <v>1608</v>
      </c>
      <c r="I1122" s="23" t="s">
        <v>2424</v>
      </c>
    </row>
    <row r="1123" spans="1:9">
      <c r="A1123" s="23" t="s">
        <v>1608</v>
      </c>
      <c r="B1123" s="23" t="s">
        <v>2424</v>
      </c>
      <c r="C1123" s="23"/>
      <c r="D1123" s="23">
        <v>40.25</v>
      </c>
      <c r="E1123" s="23" t="s">
        <v>632</v>
      </c>
      <c r="F1123" s="23" t="s">
        <v>735</v>
      </c>
      <c r="G1123" s="23" t="s">
        <v>735</v>
      </c>
      <c r="H1123" s="205" t="s">
        <v>1608</v>
      </c>
      <c r="I1123" s="23" t="s">
        <v>2424</v>
      </c>
    </row>
    <row r="1124" spans="1:9">
      <c r="A1124" s="23" t="s">
        <v>1608</v>
      </c>
      <c r="B1124" s="23" t="s">
        <v>2424</v>
      </c>
      <c r="C1124" s="23"/>
      <c r="D1124" s="23">
        <v>3.75</v>
      </c>
      <c r="E1124" s="23" t="s">
        <v>632</v>
      </c>
      <c r="F1124" s="23" t="s">
        <v>56</v>
      </c>
      <c r="G1124" s="23" t="s">
        <v>56</v>
      </c>
      <c r="H1124" s="205" t="s">
        <v>1608</v>
      </c>
      <c r="I1124" s="23" t="s">
        <v>2424</v>
      </c>
    </row>
    <row r="1125" spans="1:9">
      <c r="A1125" s="23" t="s">
        <v>1608</v>
      </c>
      <c r="B1125" s="23" t="s">
        <v>2424</v>
      </c>
      <c r="C1125" s="23"/>
      <c r="D1125" s="23">
        <v>104.65</v>
      </c>
      <c r="E1125" s="23" t="s">
        <v>2389</v>
      </c>
      <c r="F1125" s="23" t="s">
        <v>2387</v>
      </c>
      <c r="G1125" s="23" t="s">
        <v>739</v>
      </c>
      <c r="H1125" s="205" t="s">
        <v>1608</v>
      </c>
      <c r="I1125" s="23" t="s">
        <v>2424</v>
      </c>
    </row>
    <row r="1126" spans="1:9">
      <c r="A1126" s="23" t="s">
        <v>1608</v>
      </c>
      <c r="B1126" s="23" t="s">
        <v>2424</v>
      </c>
      <c r="C1126" s="23"/>
      <c r="D1126" s="23">
        <v>64.400000000000006</v>
      </c>
      <c r="E1126" s="23" t="s">
        <v>2389</v>
      </c>
      <c r="F1126" s="23" t="s">
        <v>2388</v>
      </c>
      <c r="G1126" s="23" t="s">
        <v>897</v>
      </c>
      <c r="H1126" s="205" t="s">
        <v>1608</v>
      </c>
      <c r="I1126" s="23" t="s">
        <v>2424</v>
      </c>
    </row>
    <row r="1127" spans="1:9">
      <c r="A1127" s="23" t="s">
        <v>1608</v>
      </c>
      <c r="B1127" s="23" t="s">
        <v>2424</v>
      </c>
      <c r="C1127" s="23"/>
      <c r="D1127" s="23">
        <v>40.25</v>
      </c>
      <c r="E1127" s="23" t="s">
        <v>2389</v>
      </c>
      <c r="F1127" s="23" t="s">
        <v>735</v>
      </c>
      <c r="G1127" s="23" t="s">
        <v>735</v>
      </c>
      <c r="H1127" s="205" t="s">
        <v>1608</v>
      </c>
      <c r="I1127" s="23" t="s">
        <v>2424</v>
      </c>
    </row>
    <row r="1128" spans="1:9">
      <c r="A1128" s="23" t="s">
        <v>1608</v>
      </c>
      <c r="B1128" s="23" t="s">
        <v>2424</v>
      </c>
      <c r="C1128" s="23"/>
      <c r="D1128" s="23">
        <v>3.75</v>
      </c>
      <c r="E1128" s="23" t="s">
        <v>2389</v>
      </c>
      <c r="F1128" s="23" t="s">
        <v>56</v>
      </c>
      <c r="G1128" s="23" t="s">
        <v>56</v>
      </c>
      <c r="H1128" s="205" t="s">
        <v>1608</v>
      </c>
      <c r="I1128" s="23" t="s">
        <v>2424</v>
      </c>
    </row>
    <row r="1129" spans="1:9">
      <c r="A1129" s="23" t="s">
        <v>1608</v>
      </c>
      <c r="B1129" s="23" t="s">
        <v>2426</v>
      </c>
      <c r="C1129" s="23"/>
      <c r="D1129" s="23">
        <v>169</v>
      </c>
      <c r="E1129" s="23" t="s">
        <v>2385</v>
      </c>
      <c r="F1129" s="23" t="s">
        <v>2387</v>
      </c>
      <c r="G1129" s="23" t="s">
        <v>739</v>
      </c>
      <c r="H1129" s="205" t="s">
        <v>1608</v>
      </c>
      <c r="I1129" s="23" t="s">
        <v>2426</v>
      </c>
    </row>
    <row r="1130" spans="1:9">
      <c r="A1130" s="23" t="s">
        <v>1608</v>
      </c>
      <c r="B1130" s="23" t="s">
        <v>2426</v>
      </c>
      <c r="C1130" s="23"/>
      <c r="D1130" s="23">
        <v>104</v>
      </c>
      <c r="E1130" s="23" t="s">
        <v>2385</v>
      </c>
      <c r="F1130" s="23" t="s">
        <v>2388</v>
      </c>
      <c r="G1130" s="23" t="s">
        <v>897</v>
      </c>
      <c r="H1130" s="205" t="s">
        <v>1608</v>
      </c>
      <c r="I1130" s="23" t="s">
        <v>2426</v>
      </c>
    </row>
    <row r="1131" spans="1:9">
      <c r="A1131" s="23" t="s">
        <v>1608</v>
      </c>
      <c r="B1131" s="23" t="s">
        <v>2426</v>
      </c>
      <c r="C1131" s="23"/>
      <c r="D1131" s="23">
        <v>65</v>
      </c>
      <c r="E1131" s="23" t="s">
        <v>2385</v>
      </c>
      <c r="F1131" s="23" t="s">
        <v>735</v>
      </c>
      <c r="G1131" s="23" t="s">
        <v>735</v>
      </c>
      <c r="H1131" s="205" t="s">
        <v>1608</v>
      </c>
      <c r="I1131" s="23" t="s">
        <v>2426</v>
      </c>
    </row>
    <row r="1132" spans="1:9">
      <c r="A1132" s="23" t="s">
        <v>1608</v>
      </c>
      <c r="B1132" s="23" t="s">
        <v>2426</v>
      </c>
      <c r="C1132" s="23"/>
      <c r="D1132" s="23">
        <v>8.75</v>
      </c>
      <c r="E1132" s="23" t="s">
        <v>2385</v>
      </c>
      <c r="F1132" s="23" t="s">
        <v>56</v>
      </c>
      <c r="G1132" s="23" t="s">
        <v>56</v>
      </c>
      <c r="H1132" s="205" t="s">
        <v>1608</v>
      </c>
      <c r="I1132" s="23" t="s">
        <v>2426</v>
      </c>
    </row>
    <row r="1133" spans="1:9">
      <c r="A1133" s="23" t="s">
        <v>1608</v>
      </c>
      <c r="B1133" s="23" t="s">
        <v>2426</v>
      </c>
      <c r="C1133" s="23"/>
      <c r="D1133" s="23">
        <v>169</v>
      </c>
      <c r="E1133" s="23" t="s">
        <v>632</v>
      </c>
      <c r="F1133" s="23" t="s">
        <v>2387</v>
      </c>
      <c r="G1133" s="23" t="s">
        <v>739</v>
      </c>
      <c r="H1133" s="205" t="s">
        <v>1608</v>
      </c>
      <c r="I1133" s="23" t="s">
        <v>2426</v>
      </c>
    </row>
    <row r="1134" spans="1:9">
      <c r="A1134" s="23" t="s">
        <v>1608</v>
      </c>
      <c r="B1134" s="23" t="s">
        <v>2426</v>
      </c>
      <c r="C1134" s="23"/>
      <c r="D1134" s="23">
        <v>104</v>
      </c>
      <c r="E1134" s="23" t="s">
        <v>632</v>
      </c>
      <c r="F1134" s="23" t="s">
        <v>2388</v>
      </c>
      <c r="G1134" s="23" t="s">
        <v>897</v>
      </c>
      <c r="H1134" s="205" t="s">
        <v>1608</v>
      </c>
      <c r="I1134" s="23" t="s">
        <v>2426</v>
      </c>
    </row>
    <row r="1135" spans="1:9">
      <c r="A1135" s="23" t="s">
        <v>1608</v>
      </c>
      <c r="B1135" s="23" t="s">
        <v>2426</v>
      </c>
      <c r="C1135" s="23"/>
      <c r="D1135" s="23">
        <v>65</v>
      </c>
      <c r="E1135" s="23" t="s">
        <v>632</v>
      </c>
      <c r="F1135" s="23" t="s">
        <v>735</v>
      </c>
      <c r="G1135" s="23" t="s">
        <v>735</v>
      </c>
      <c r="H1135" s="205" t="s">
        <v>1608</v>
      </c>
      <c r="I1135" s="23" t="s">
        <v>2426</v>
      </c>
    </row>
    <row r="1136" spans="1:9">
      <c r="A1136" s="23" t="s">
        <v>1608</v>
      </c>
      <c r="B1136" s="23" t="s">
        <v>2426</v>
      </c>
      <c r="C1136" s="23"/>
      <c r="D1136" s="23">
        <v>8.75</v>
      </c>
      <c r="E1136" s="23" t="s">
        <v>632</v>
      </c>
      <c r="F1136" s="23" t="s">
        <v>56</v>
      </c>
      <c r="G1136" s="23" t="s">
        <v>56</v>
      </c>
      <c r="H1136" s="205" t="s">
        <v>1608</v>
      </c>
      <c r="I1136" s="23" t="s">
        <v>2426</v>
      </c>
    </row>
    <row r="1137" spans="1:9">
      <c r="A1137" s="23" t="s">
        <v>1608</v>
      </c>
      <c r="B1137" s="23" t="s">
        <v>2426</v>
      </c>
      <c r="C1137" s="23"/>
      <c r="D1137" s="23">
        <v>209.3</v>
      </c>
      <c r="E1137" s="23" t="s">
        <v>2389</v>
      </c>
      <c r="F1137" s="23" t="s">
        <v>2387</v>
      </c>
      <c r="G1137" s="23" t="s">
        <v>739</v>
      </c>
      <c r="H1137" s="205" t="s">
        <v>1608</v>
      </c>
      <c r="I1137" s="23" t="s">
        <v>2426</v>
      </c>
    </row>
    <row r="1138" spans="1:9">
      <c r="A1138" s="23" t="s">
        <v>1608</v>
      </c>
      <c r="B1138" s="23" t="s">
        <v>2426</v>
      </c>
      <c r="C1138" s="23"/>
      <c r="D1138" s="23">
        <v>128.80000000000001</v>
      </c>
      <c r="E1138" s="23" t="s">
        <v>2389</v>
      </c>
      <c r="F1138" s="23" t="s">
        <v>2388</v>
      </c>
      <c r="G1138" s="23" t="s">
        <v>897</v>
      </c>
      <c r="H1138" s="205" t="s">
        <v>1608</v>
      </c>
      <c r="I1138" s="23" t="s">
        <v>2426</v>
      </c>
    </row>
    <row r="1139" spans="1:9">
      <c r="A1139" s="23" t="s">
        <v>1608</v>
      </c>
      <c r="B1139" s="23" t="s">
        <v>2426</v>
      </c>
      <c r="C1139" s="23"/>
      <c r="D1139" s="23">
        <v>80.5</v>
      </c>
      <c r="E1139" s="23" t="s">
        <v>2389</v>
      </c>
      <c r="F1139" s="23" t="s">
        <v>735</v>
      </c>
      <c r="G1139" s="23" t="s">
        <v>735</v>
      </c>
      <c r="H1139" s="205" t="s">
        <v>1608</v>
      </c>
      <c r="I1139" s="23" t="s">
        <v>2426</v>
      </c>
    </row>
    <row r="1140" spans="1:9">
      <c r="A1140" s="23" t="s">
        <v>1608</v>
      </c>
      <c r="B1140" s="23" t="s">
        <v>2426</v>
      </c>
      <c r="C1140" s="23"/>
      <c r="D1140" s="23">
        <v>11.5</v>
      </c>
      <c r="E1140" s="23" t="s">
        <v>2389</v>
      </c>
      <c r="F1140" s="23" t="s">
        <v>56</v>
      </c>
      <c r="G1140" s="23" t="s">
        <v>56</v>
      </c>
      <c r="H1140" s="205" t="s">
        <v>1608</v>
      </c>
      <c r="I1140" s="23" t="s">
        <v>2426</v>
      </c>
    </row>
    <row r="1141" spans="1:9">
      <c r="A1141" s="23" t="s">
        <v>1608</v>
      </c>
      <c r="B1141" s="23" t="s">
        <v>2428</v>
      </c>
      <c r="C1141" s="23"/>
      <c r="D1141" s="23">
        <v>134.55000000000001</v>
      </c>
      <c r="E1141" s="23" t="s">
        <v>2385</v>
      </c>
      <c r="F1141" s="23" t="s">
        <v>2387</v>
      </c>
      <c r="G1141" s="23" t="s">
        <v>739</v>
      </c>
      <c r="H1141" s="205" t="s">
        <v>1608</v>
      </c>
      <c r="I1141" s="23" t="s">
        <v>2428</v>
      </c>
    </row>
    <row r="1142" spans="1:9">
      <c r="A1142" s="23" t="s">
        <v>1608</v>
      </c>
      <c r="B1142" s="23" t="s">
        <v>2428</v>
      </c>
      <c r="C1142" s="23"/>
      <c r="D1142" s="23">
        <v>82.8</v>
      </c>
      <c r="E1142" s="23" t="s">
        <v>2385</v>
      </c>
      <c r="F1142" s="23" t="s">
        <v>2388</v>
      </c>
      <c r="G1142" s="23" t="s">
        <v>897</v>
      </c>
      <c r="H1142" s="205" t="s">
        <v>1608</v>
      </c>
      <c r="I1142" s="23" t="s">
        <v>2428</v>
      </c>
    </row>
    <row r="1143" spans="1:9">
      <c r="A1143" s="23" t="s">
        <v>1608</v>
      </c>
      <c r="B1143" s="23" t="s">
        <v>2428</v>
      </c>
      <c r="C1143" s="23"/>
      <c r="D1143" s="23">
        <v>51.75</v>
      </c>
      <c r="E1143" s="23" t="s">
        <v>2385</v>
      </c>
      <c r="F1143" s="23" t="s">
        <v>735</v>
      </c>
      <c r="G1143" s="23" t="s">
        <v>735</v>
      </c>
      <c r="H1143" s="205" t="s">
        <v>1608</v>
      </c>
      <c r="I1143" s="23" t="s">
        <v>2428</v>
      </c>
    </row>
    <row r="1144" spans="1:9">
      <c r="A1144" s="23" t="s">
        <v>1608</v>
      </c>
      <c r="B1144" s="23" t="s">
        <v>2428</v>
      </c>
      <c r="C1144" s="23"/>
      <c r="D1144" s="23">
        <v>14.350000000000001</v>
      </c>
      <c r="E1144" s="23" t="s">
        <v>2385</v>
      </c>
      <c r="F1144" s="23" t="s">
        <v>56</v>
      </c>
      <c r="G1144" s="23" t="s">
        <v>56</v>
      </c>
      <c r="H1144" s="205" t="s">
        <v>1608</v>
      </c>
      <c r="I1144" s="23" t="s">
        <v>2428</v>
      </c>
    </row>
    <row r="1145" spans="1:9">
      <c r="A1145" s="23" t="s">
        <v>1608</v>
      </c>
      <c r="B1145" s="23" t="s">
        <v>2428</v>
      </c>
      <c r="C1145" s="23"/>
      <c r="D1145" s="23">
        <v>134.55000000000001</v>
      </c>
      <c r="E1145" s="23" t="s">
        <v>632</v>
      </c>
      <c r="F1145" s="23" t="s">
        <v>2387</v>
      </c>
      <c r="G1145" s="23" t="s">
        <v>739</v>
      </c>
      <c r="H1145" s="205" t="s">
        <v>1608</v>
      </c>
      <c r="I1145" s="23" t="s">
        <v>2428</v>
      </c>
    </row>
    <row r="1146" spans="1:9">
      <c r="A1146" s="23" t="s">
        <v>1608</v>
      </c>
      <c r="B1146" s="23" t="s">
        <v>2428</v>
      </c>
      <c r="C1146" s="23"/>
      <c r="D1146" s="23">
        <v>82.8</v>
      </c>
      <c r="E1146" s="23" t="s">
        <v>632</v>
      </c>
      <c r="F1146" s="23" t="s">
        <v>2388</v>
      </c>
      <c r="G1146" s="23" t="s">
        <v>897</v>
      </c>
      <c r="H1146" s="205" t="s">
        <v>1608</v>
      </c>
      <c r="I1146" s="23" t="s">
        <v>2428</v>
      </c>
    </row>
    <row r="1147" spans="1:9">
      <c r="A1147" s="23" t="s">
        <v>1608</v>
      </c>
      <c r="B1147" s="23" t="s">
        <v>2428</v>
      </c>
      <c r="C1147" s="23"/>
      <c r="D1147" s="23">
        <v>51.75</v>
      </c>
      <c r="E1147" s="23" t="s">
        <v>632</v>
      </c>
      <c r="F1147" s="23" t="s">
        <v>735</v>
      </c>
      <c r="G1147" s="23" t="s">
        <v>735</v>
      </c>
      <c r="H1147" s="205" t="s">
        <v>1608</v>
      </c>
      <c r="I1147" s="23" t="s">
        <v>2428</v>
      </c>
    </row>
    <row r="1148" spans="1:9">
      <c r="A1148" s="23" t="s">
        <v>1608</v>
      </c>
      <c r="B1148" s="23" t="s">
        <v>2428</v>
      </c>
      <c r="C1148" s="23"/>
      <c r="D1148" s="23">
        <v>14.350000000000001</v>
      </c>
      <c r="E1148" s="23" t="s">
        <v>632</v>
      </c>
      <c r="F1148" s="23" t="s">
        <v>56</v>
      </c>
      <c r="G1148" s="23" t="s">
        <v>56</v>
      </c>
      <c r="H1148" s="205" t="s">
        <v>1608</v>
      </c>
      <c r="I1148" s="23" t="s">
        <v>2428</v>
      </c>
    </row>
    <row r="1149" spans="1:9">
      <c r="A1149" s="23" t="s">
        <v>1608</v>
      </c>
      <c r="B1149" s="23" t="s">
        <v>2428</v>
      </c>
      <c r="C1149" s="23"/>
      <c r="D1149" s="23">
        <v>158.6</v>
      </c>
      <c r="E1149" s="23" t="s">
        <v>2389</v>
      </c>
      <c r="F1149" s="23" t="s">
        <v>2387</v>
      </c>
      <c r="G1149" s="23" t="s">
        <v>739</v>
      </c>
      <c r="H1149" s="205" t="s">
        <v>1608</v>
      </c>
      <c r="I1149" s="23" t="s">
        <v>2428</v>
      </c>
    </row>
    <row r="1150" spans="1:9">
      <c r="A1150" s="23" t="s">
        <v>1608</v>
      </c>
      <c r="B1150" s="23" t="s">
        <v>2428</v>
      </c>
      <c r="C1150" s="23"/>
      <c r="D1150" s="23">
        <v>97.600000000000009</v>
      </c>
      <c r="E1150" s="23" t="s">
        <v>2389</v>
      </c>
      <c r="F1150" s="23" t="s">
        <v>2388</v>
      </c>
      <c r="G1150" s="23" t="s">
        <v>897</v>
      </c>
      <c r="H1150" s="205" t="s">
        <v>1608</v>
      </c>
      <c r="I1150" s="23" t="s">
        <v>2428</v>
      </c>
    </row>
    <row r="1151" spans="1:9">
      <c r="A1151" s="23" t="s">
        <v>1608</v>
      </c>
      <c r="B1151" s="23" t="s">
        <v>2428</v>
      </c>
      <c r="C1151" s="23"/>
      <c r="D1151" s="23">
        <v>61</v>
      </c>
      <c r="E1151" s="23" t="s">
        <v>2389</v>
      </c>
      <c r="F1151" s="23" t="s">
        <v>735</v>
      </c>
      <c r="G1151" s="23" t="s">
        <v>735</v>
      </c>
      <c r="H1151" s="205" t="s">
        <v>1608</v>
      </c>
      <c r="I1151" s="23" t="s">
        <v>2428</v>
      </c>
    </row>
    <row r="1152" spans="1:9">
      <c r="A1152" s="23" t="s">
        <v>1608</v>
      </c>
      <c r="B1152" s="23" t="s">
        <v>2428</v>
      </c>
      <c r="C1152" s="23"/>
      <c r="D1152" s="23">
        <v>14.350000000000001</v>
      </c>
      <c r="E1152" s="23" t="s">
        <v>2389</v>
      </c>
      <c r="F1152" s="23" t="s">
        <v>56</v>
      </c>
      <c r="G1152" s="23" t="s">
        <v>56</v>
      </c>
      <c r="H1152" s="205" t="s">
        <v>1608</v>
      </c>
      <c r="I1152" s="23" t="s">
        <v>2428</v>
      </c>
    </row>
    <row r="1153" spans="1:9">
      <c r="A1153" s="23" t="s">
        <v>1608</v>
      </c>
      <c r="B1153" s="23" t="s">
        <v>2430</v>
      </c>
      <c r="C1153" s="23"/>
      <c r="D1153" s="23">
        <v>165.23000000000002</v>
      </c>
      <c r="E1153" s="23" t="s">
        <v>2385</v>
      </c>
      <c r="F1153" s="23" t="s">
        <v>2387</v>
      </c>
      <c r="G1153" s="23" t="s">
        <v>739</v>
      </c>
      <c r="H1153" s="205" t="s">
        <v>1608</v>
      </c>
      <c r="I1153" s="23" t="s">
        <v>2430</v>
      </c>
    </row>
    <row r="1154" spans="1:9">
      <c r="A1154" s="23" t="s">
        <v>1608</v>
      </c>
      <c r="B1154" s="23" t="s">
        <v>2430</v>
      </c>
      <c r="C1154" s="23"/>
      <c r="D1154" s="23">
        <v>101.68</v>
      </c>
      <c r="E1154" s="23" t="s">
        <v>2385</v>
      </c>
      <c r="F1154" s="23" t="s">
        <v>2388</v>
      </c>
      <c r="G1154" s="23" t="s">
        <v>897</v>
      </c>
      <c r="H1154" s="205" t="s">
        <v>1608</v>
      </c>
      <c r="I1154" s="23" t="s">
        <v>2430</v>
      </c>
    </row>
    <row r="1155" spans="1:9">
      <c r="A1155" s="23" t="s">
        <v>1608</v>
      </c>
      <c r="B1155" s="23" t="s">
        <v>2430</v>
      </c>
      <c r="C1155" s="23"/>
      <c r="D1155" s="23">
        <v>63.550000000000004</v>
      </c>
      <c r="E1155" s="23" t="s">
        <v>2385</v>
      </c>
      <c r="F1155" s="23" t="s">
        <v>735</v>
      </c>
      <c r="G1155" s="23" t="s">
        <v>735</v>
      </c>
      <c r="H1155" s="205" t="s">
        <v>1608</v>
      </c>
      <c r="I1155" s="23" t="s">
        <v>2430</v>
      </c>
    </row>
    <row r="1156" spans="1:9">
      <c r="A1156" s="23" t="s">
        <v>1608</v>
      </c>
      <c r="B1156" s="23" t="s">
        <v>2430</v>
      </c>
      <c r="C1156" s="23"/>
      <c r="D1156" s="23">
        <v>12.950000000000001</v>
      </c>
      <c r="E1156" s="23" t="s">
        <v>2385</v>
      </c>
      <c r="F1156" s="23" t="s">
        <v>56</v>
      </c>
      <c r="G1156" s="23" t="s">
        <v>56</v>
      </c>
      <c r="H1156" s="205" t="s">
        <v>1608</v>
      </c>
      <c r="I1156" s="23" t="s">
        <v>2430</v>
      </c>
    </row>
    <row r="1157" spans="1:9">
      <c r="A1157" s="23" t="s">
        <v>1608</v>
      </c>
      <c r="B1157" s="23" t="s">
        <v>2430</v>
      </c>
      <c r="C1157" s="23"/>
      <c r="D1157" s="23">
        <v>165.23000000000002</v>
      </c>
      <c r="E1157" s="23" t="s">
        <v>632</v>
      </c>
      <c r="F1157" s="23" t="s">
        <v>2387</v>
      </c>
      <c r="G1157" s="23" t="s">
        <v>739</v>
      </c>
      <c r="H1157" s="205" t="s">
        <v>1608</v>
      </c>
      <c r="I1157" s="23" t="s">
        <v>2430</v>
      </c>
    </row>
    <row r="1158" spans="1:9">
      <c r="A1158" s="23" t="s">
        <v>1608</v>
      </c>
      <c r="B1158" s="23" t="s">
        <v>2430</v>
      </c>
      <c r="C1158" s="23"/>
      <c r="D1158" s="23">
        <v>101.68</v>
      </c>
      <c r="E1158" s="23" t="s">
        <v>632</v>
      </c>
      <c r="F1158" s="23" t="s">
        <v>2388</v>
      </c>
      <c r="G1158" s="23" t="s">
        <v>897</v>
      </c>
      <c r="H1158" s="205" t="s">
        <v>1608</v>
      </c>
      <c r="I1158" s="23" t="s">
        <v>2430</v>
      </c>
    </row>
    <row r="1159" spans="1:9">
      <c r="A1159" s="23" t="s">
        <v>1608</v>
      </c>
      <c r="B1159" s="23" t="s">
        <v>2430</v>
      </c>
      <c r="C1159" s="23"/>
      <c r="D1159" s="23">
        <v>63.550000000000004</v>
      </c>
      <c r="E1159" s="23" t="s">
        <v>632</v>
      </c>
      <c r="F1159" s="23" t="s">
        <v>735</v>
      </c>
      <c r="G1159" s="23" t="s">
        <v>735</v>
      </c>
      <c r="H1159" s="205" t="s">
        <v>1608</v>
      </c>
      <c r="I1159" s="23" t="s">
        <v>2430</v>
      </c>
    </row>
    <row r="1160" spans="1:9">
      <c r="A1160" s="23" t="s">
        <v>1608</v>
      </c>
      <c r="B1160" s="23" t="s">
        <v>2430</v>
      </c>
      <c r="C1160" s="23"/>
      <c r="D1160" s="23">
        <v>12.950000000000001</v>
      </c>
      <c r="E1160" s="23" t="s">
        <v>632</v>
      </c>
      <c r="F1160" s="23" t="s">
        <v>56</v>
      </c>
      <c r="G1160" s="23" t="s">
        <v>56</v>
      </c>
      <c r="H1160" s="205" t="s">
        <v>1608</v>
      </c>
      <c r="I1160" s="23" t="s">
        <v>2430</v>
      </c>
    </row>
    <row r="1161" spans="1:9">
      <c r="A1161" s="23" t="s">
        <v>1608</v>
      </c>
      <c r="B1161" s="23" t="s">
        <v>2430</v>
      </c>
      <c r="C1161" s="23"/>
      <c r="D1161" s="23">
        <v>165.23000000000002</v>
      </c>
      <c r="E1161" s="23" t="s">
        <v>2389</v>
      </c>
      <c r="F1161" s="23" t="s">
        <v>2387</v>
      </c>
      <c r="G1161" s="23" t="s">
        <v>739</v>
      </c>
      <c r="H1161" s="205" t="s">
        <v>1608</v>
      </c>
      <c r="I1161" s="23" t="s">
        <v>2430</v>
      </c>
    </row>
    <row r="1162" spans="1:9">
      <c r="A1162" s="23" t="s">
        <v>1608</v>
      </c>
      <c r="B1162" s="23" t="s">
        <v>2430</v>
      </c>
      <c r="C1162" s="23"/>
      <c r="D1162" s="23">
        <v>101.68</v>
      </c>
      <c r="E1162" s="23" t="s">
        <v>2389</v>
      </c>
      <c r="F1162" s="23" t="s">
        <v>2388</v>
      </c>
      <c r="G1162" s="23" t="s">
        <v>897</v>
      </c>
      <c r="H1162" s="205" t="s">
        <v>1608</v>
      </c>
      <c r="I1162" s="23" t="s">
        <v>2430</v>
      </c>
    </row>
    <row r="1163" spans="1:9">
      <c r="A1163" s="23" t="s">
        <v>1608</v>
      </c>
      <c r="B1163" s="23" t="s">
        <v>2430</v>
      </c>
      <c r="C1163" s="23"/>
      <c r="D1163" s="23">
        <v>63.550000000000004</v>
      </c>
      <c r="E1163" s="23" t="s">
        <v>2389</v>
      </c>
      <c r="F1163" s="23" t="s">
        <v>735</v>
      </c>
      <c r="G1163" s="23" t="s">
        <v>735</v>
      </c>
      <c r="H1163" s="205" t="s">
        <v>1608</v>
      </c>
      <c r="I1163" s="23" t="s">
        <v>2430</v>
      </c>
    </row>
    <row r="1164" spans="1:9">
      <c r="A1164" s="23" t="s">
        <v>1608</v>
      </c>
      <c r="B1164" s="23" t="s">
        <v>2430</v>
      </c>
      <c r="C1164" s="23"/>
      <c r="D1164" s="23">
        <v>12.950000000000001</v>
      </c>
      <c r="E1164" s="23" t="s">
        <v>2389</v>
      </c>
      <c r="F1164" s="23" t="s">
        <v>56</v>
      </c>
      <c r="G1164" s="23" t="s">
        <v>56</v>
      </c>
      <c r="H1164" s="205" t="s">
        <v>1608</v>
      </c>
      <c r="I1164" s="23" t="s">
        <v>2430</v>
      </c>
    </row>
    <row r="1165" spans="1:9">
      <c r="A1165" s="23" t="s">
        <v>1608</v>
      </c>
      <c r="B1165" s="23" t="s">
        <v>2432</v>
      </c>
      <c r="C1165" s="23"/>
      <c r="D1165" s="23">
        <v>134.29</v>
      </c>
      <c r="E1165" s="23" t="s">
        <v>2385</v>
      </c>
      <c r="F1165" s="23" t="s">
        <v>2387</v>
      </c>
      <c r="G1165" s="23" t="s">
        <v>739</v>
      </c>
      <c r="H1165" s="205" t="s">
        <v>1608</v>
      </c>
      <c r="I1165" s="23" t="s">
        <v>2432</v>
      </c>
    </row>
    <row r="1166" spans="1:9">
      <c r="A1166" s="23" t="s">
        <v>1608</v>
      </c>
      <c r="B1166" s="23" t="s">
        <v>2432</v>
      </c>
      <c r="C1166" s="23"/>
      <c r="D1166" s="23">
        <v>82.64</v>
      </c>
      <c r="E1166" s="23" t="s">
        <v>2385</v>
      </c>
      <c r="F1166" s="23" t="s">
        <v>2388</v>
      </c>
      <c r="G1166" s="23" t="s">
        <v>897</v>
      </c>
      <c r="H1166" s="205" t="s">
        <v>1608</v>
      </c>
      <c r="I1166" s="23" t="s">
        <v>2432</v>
      </c>
    </row>
    <row r="1167" spans="1:9">
      <c r="A1167" s="23" t="s">
        <v>1608</v>
      </c>
      <c r="B1167" s="23" t="s">
        <v>2432</v>
      </c>
      <c r="C1167" s="23"/>
      <c r="D1167" s="23">
        <v>51.650000000000006</v>
      </c>
      <c r="E1167" s="23" t="s">
        <v>2385</v>
      </c>
      <c r="F1167" s="23" t="s">
        <v>735</v>
      </c>
      <c r="G1167" s="23" t="s">
        <v>735</v>
      </c>
      <c r="H1167" s="205" t="s">
        <v>1608</v>
      </c>
      <c r="I1167" s="23" t="s">
        <v>2432</v>
      </c>
    </row>
    <row r="1168" spans="1:9">
      <c r="A1168" s="23" t="s">
        <v>1608</v>
      </c>
      <c r="B1168" s="23" t="s">
        <v>2432</v>
      </c>
      <c r="C1168" s="23"/>
      <c r="D1168" s="23">
        <v>13.15</v>
      </c>
      <c r="E1168" s="23" t="s">
        <v>2385</v>
      </c>
      <c r="F1168" s="23" t="s">
        <v>56</v>
      </c>
      <c r="G1168" s="23" t="s">
        <v>56</v>
      </c>
      <c r="H1168" s="205" t="s">
        <v>1608</v>
      </c>
      <c r="I1168" s="23" t="s">
        <v>2432</v>
      </c>
    </row>
    <row r="1169" spans="1:9">
      <c r="A1169" s="23" t="s">
        <v>1608</v>
      </c>
      <c r="B1169" s="23" t="s">
        <v>2432</v>
      </c>
      <c r="C1169" s="23"/>
      <c r="D1169" s="23">
        <v>134.29</v>
      </c>
      <c r="E1169" s="23" t="s">
        <v>632</v>
      </c>
      <c r="F1169" s="23" t="s">
        <v>2387</v>
      </c>
      <c r="G1169" s="23" t="s">
        <v>739</v>
      </c>
      <c r="H1169" s="205" t="s">
        <v>1608</v>
      </c>
      <c r="I1169" s="23" t="s">
        <v>2432</v>
      </c>
    </row>
    <row r="1170" spans="1:9">
      <c r="A1170" s="23" t="s">
        <v>1608</v>
      </c>
      <c r="B1170" s="23" t="s">
        <v>2432</v>
      </c>
      <c r="C1170" s="23"/>
      <c r="D1170" s="23">
        <v>82.64</v>
      </c>
      <c r="E1170" s="23" t="s">
        <v>632</v>
      </c>
      <c r="F1170" s="23" t="s">
        <v>2388</v>
      </c>
      <c r="G1170" s="23" t="s">
        <v>897</v>
      </c>
      <c r="H1170" s="205" t="s">
        <v>1608</v>
      </c>
      <c r="I1170" s="23" t="s">
        <v>2432</v>
      </c>
    </row>
    <row r="1171" spans="1:9">
      <c r="A1171" s="23" t="s">
        <v>1608</v>
      </c>
      <c r="B1171" s="23" t="s">
        <v>2432</v>
      </c>
      <c r="C1171" s="23"/>
      <c r="D1171" s="23">
        <v>51.650000000000006</v>
      </c>
      <c r="E1171" s="23" t="s">
        <v>632</v>
      </c>
      <c r="F1171" s="23" t="s">
        <v>735</v>
      </c>
      <c r="G1171" s="23" t="s">
        <v>735</v>
      </c>
      <c r="H1171" s="205" t="s">
        <v>1608</v>
      </c>
      <c r="I1171" s="23" t="s">
        <v>2432</v>
      </c>
    </row>
    <row r="1172" spans="1:9">
      <c r="A1172" s="23" t="s">
        <v>1608</v>
      </c>
      <c r="B1172" s="23" t="s">
        <v>2432</v>
      </c>
      <c r="C1172" s="23"/>
      <c r="D1172" s="23">
        <v>13.15</v>
      </c>
      <c r="E1172" s="23" t="s">
        <v>632</v>
      </c>
      <c r="F1172" s="23" t="s">
        <v>56</v>
      </c>
      <c r="G1172" s="23" t="s">
        <v>56</v>
      </c>
      <c r="H1172" s="205" t="s">
        <v>1608</v>
      </c>
      <c r="I1172" s="23" t="s">
        <v>2432</v>
      </c>
    </row>
    <row r="1173" spans="1:9">
      <c r="A1173" s="23" t="s">
        <v>1608</v>
      </c>
      <c r="B1173" s="23" t="s">
        <v>2432</v>
      </c>
      <c r="C1173" s="23"/>
      <c r="D1173" s="23">
        <v>134.29</v>
      </c>
      <c r="E1173" s="23" t="s">
        <v>2389</v>
      </c>
      <c r="F1173" s="23" t="s">
        <v>2387</v>
      </c>
      <c r="G1173" s="23" t="s">
        <v>739</v>
      </c>
      <c r="H1173" s="205" t="s">
        <v>1608</v>
      </c>
      <c r="I1173" s="23" t="s">
        <v>2432</v>
      </c>
    </row>
    <row r="1174" spans="1:9">
      <c r="A1174" s="23" t="s">
        <v>1608</v>
      </c>
      <c r="B1174" s="23" t="s">
        <v>2432</v>
      </c>
      <c r="C1174" s="23"/>
      <c r="D1174" s="23">
        <v>82.64</v>
      </c>
      <c r="E1174" s="23" t="s">
        <v>2389</v>
      </c>
      <c r="F1174" s="23" t="s">
        <v>2388</v>
      </c>
      <c r="G1174" s="23" t="s">
        <v>897</v>
      </c>
      <c r="H1174" s="205" t="s">
        <v>1608</v>
      </c>
      <c r="I1174" s="23" t="s">
        <v>2432</v>
      </c>
    </row>
    <row r="1175" spans="1:9">
      <c r="A1175" s="23" t="s">
        <v>1608</v>
      </c>
      <c r="B1175" s="23" t="s">
        <v>2432</v>
      </c>
      <c r="C1175" s="23"/>
      <c r="D1175" s="23">
        <v>51.650000000000006</v>
      </c>
      <c r="E1175" s="23" t="s">
        <v>2389</v>
      </c>
      <c r="F1175" s="23" t="s">
        <v>735</v>
      </c>
      <c r="G1175" s="23" t="s">
        <v>735</v>
      </c>
      <c r="H1175" s="205" t="s">
        <v>1608</v>
      </c>
      <c r="I1175" s="23" t="s">
        <v>2432</v>
      </c>
    </row>
    <row r="1176" spans="1:9">
      <c r="A1176" s="23" t="s">
        <v>1608</v>
      </c>
      <c r="B1176" s="23" t="s">
        <v>2432</v>
      </c>
      <c r="C1176" s="23"/>
      <c r="D1176" s="23">
        <v>13.15</v>
      </c>
      <c r="E1176" s="23" t="s">
        <v>2389</v>
      </c>
      <c r="F1176" s="23" t="s">
        <v>56</v>
      </c>
      <c r="G1176" s="23" t="s">
        <v>56</v>
      </c>
      <c r="H1176" s="205" t="s">
        <v>1608</v>
      </c>
      <c r="I1176" s="23" t="s">
        <v>2432</v>
      </c>
    </row>
    <row r="1177" spans="1:9">
      <c r="A1177" s="23" t="s">
        <v>1608</v>
      </c>
      <c r="B1177" s="23" t="s">
        <v>2434</v>
      </c>
      <c r="C1177" s="23"/>
      <c r="D1177" s="23">
        <v>373.75</v>
      </c>
      <c r="E1177" s="23" t="s">
        <v>2385</v>
      </c>
      <c r="F1177" s="23" t="s">
        <v>2387</v>
      </c>
      <c r="G1177" s="23" t="s">
        <v>739</v>
      </c>
      <c r="H1177" s="205" t="s">
        <v>1608</v>
      </c>
      <c r="I1177" s="23" t="s">
        <v>2434</v>
      </c>
    </row>
    <row r="1178" spans="1:9">
      <c r="A1178" s="23" t="s">
        <v>1608</v>
      </c>
      <c r="B1178" s="23" t="s">
        <v>2434</v>
      </c>
      <c r="C1178" s="23"/>
      <c r="D1178" s="23">
        <v>230</v>
      </c>
      <c r="E1178" s="23" t="s">
        <v>2385</v>
      </c>
      <c r="F1178" s="23" t="s">
        <v>2388</v>
      </c>
      <c r="G1178" s="23" t="s">
        <v>897</v>
      </c>
      <c r="H1178" s="205" t="s">
        <v>1608</v>
      </c>
      <c r="I1178" s="23" t="s">
        <v>2434</v>
      </c>
    </row>
    <row r="1179" spans="1:9">
      <c r="A1179" s="23" t="s">
        <v>1608</v>
      </c>
      <c r="B1179" s="23" t="s">
        <v>2434</v>
      </c>
      <c r="C1179" s="23"/>
      <c r="D1179" s="23">
        <v>143.75</v>
      </c>
      <c r="E1179" s="23" t="s">
        <v>2385</v>
      </c>
      <c r="F1179" s="23" t="s">
        <v>735</v>
      </c>
      <c r="G1179" s="23" t="s">
        <v>735</v>
      </c>
      <c r="H1179" s="205" t="s">
        <v>1608</v>
      </c>
      <c r="I1179" s="23" t="s">
        <v>2434</v>
      </c>
    </row>
    <row r="1180" spans="1:9">
      <c r="A1180" s="23" t="s">
        <v>1608</v>
      </c>
      <c r="B1180" s="23" t="s">
        <v>2434</v>
      </c>
      <c r="C1180" s="23"/>
      <c r="D1180" s="23">
        <v>23</v>
      </c>
      <c r="E1180" s="23" t="s">
        <v>2385</v>
      </c>
      <c r="F1180" s="23" t="s">
        <v>56</v>
      </c>
      <c r="G1180" s="23" t="s">
        <v>56</v>
      </c>
      <c r="H1180" s="205" t="s">
        <v>1608</v>
      </c>
      <c r="I1180" s="23" t="s">
        <v>2434</v>
      </c>
    </row>
    <row r="1181" spans="1:9">
      <c r="A1181" s="23" t="s">
        <v>1608</v>
      </c>
      <c r="B1181" s="23" t="s">
        <v>2434</v>
      </c>
      <c r="C1181" s="23"/>
      <c r="D1181" s="23">
        <v>373.75</v>
      </c>
      <c r="E1181" s="23" t="s">
        <v>632</v>
      </c>
      <c r="F1181" s="23" t="s">
        <v>2387</v>
      </c>
      <c r="G1181" s="23" t="s">
        <v>739</v>
      </c>
      <c r="H1181" s="205" t="s">
        <v>1608</v>
      </c>
      <c r="I1181" s="23" t="s">
        <v>2434</v>
      </c>
    </row>
    <row r="1182" spans="1:9">
      <c r="A1182" s="23" t="s">
        <v>1608</v>
      </c>
      <c r="B1182" s="23" t="s">
        <v>2434</v>
      </c>
      <c r="C1182" s="23"/>
      <c r="D1182" s="23">
        <v>230</v>
      </c>
      <c r="E1182" s="23" t="s">
        <v>632</v>
      </c>
      <c r="F1182" s="23" t="s">
        <v>2388</v>
      </c>
      <c r="G1182" s="23" t="s">
        <v>897</v>
      </c>
      <c r="H1182" s="205" t="s">
        <v>1608</v>
      </c>
      <c r="I1182" s="23" t="s">
        <v>2434</v>
      </c>
    </row>
    <row r="1183" spans="1:9">
      <c r="A1183" s="23" t="s">
        <v>1608</v>
      </c>
      <c r="B1183" s="23" t="s">
        <v>2434</v>
      </c>
      <c r="C1183" s="23"/>
      <c r="D1183" s="23">
        <v>143.75</v>
      </c>
      <c r="E1183" s="23" t="s">
        <v>632</v>
      </c>
      <c r="F1183" s="23" t="s">
        <v>735</v>
      </c>
      <c r="G1183" s="23" t="s">
        <v>735</v>
      </c>
      <c r="H1183" s="205" t="s">
        <v>1608</v>
      </c>
      <c r="I1183" s="23" t="s">
        <v>2434</v>
      </c>
    </row>
    <row r="1184" spans="1:9">
      <c r="A1184" s="23" t="s">
        <v>1608</v>
      </c>
      <c r="B1184" s="23" t="s">
        <v>2434</v>
      </c>
      <c r="C1184" s="23"/>
      <c r="D1184" s="23">
        <v>23</v>
      </c>
      <c r="E1184" s="23" t="s">
        <v>632</v>
      </c>
      <c r="F1184" s="23" t="s">
        <v>56</v>
      </c>
      <c r="G1184" s="23" t="s">
        <v>56</v>
      </c>
      <c r="H1184" s="205" t="s">
        <v>1608</v>
      </c>
      <c r="I1184" s="23" t="s">
        <v>2434</v>
      </c>
    </row>
    <row r="1185" spans="1:9">
      <c r="A1185" s="23" t="s">
        <v>1608</v>
      </c>
      <c r="B1185" s="23" t="s">
        <v>2434</v>
      </c>
      <c r="C1185" s="23"/>
      <c r="D1185" s="23">
        <v>373.75</v>
      </c>
      <c r="E1185" s="23" t="s">
        <v>2389</v>
      </c>
      <c r="F1185" s="23" t="s">
        <v>2387</v>
      </c>
      <c r="G1185" s="23" t="s">
        <v>739</v>
      </c>
      <c r="H1185" s="205" t="s">
        <v>1608</v>
      </c>
      <c r="I1185" s="23" t="s">
        <v>2434</v>
      </c>
    </row>
    <row r="1186" spans="1:9">
      <c r="A1186" s="23" t="s">
        <v>1608</v>
      </c>
      <c r="B1186" s="23" t="s">
        <v>2434</v>
      </c>
      <c r="C1186" s="23"/>
      <c r="D1186" s="23">
        <v>230</v>
      </c>
      <c r="E1186" s="23" t="s">
        <v>2389</v>
      </c>
      <c r="F1186" s="23" t="s">
        <v>2388</v>
      </c>
      <c r="G1186" s="23" t="s">
        <v>897</v>
      </c>
      <c r="H1186" s="205" t="s">
        <v>1608</v>
      </c>
      <c r="I1186" s="23" t="s">
        <v>2434</v>
      </c>
    </row>
    <row r="1187" spans="1:9">
      <c r="A1187" s="23" t="s">
        <v>1608</v>
      </c>
      <c r="B1187" s="23" t="s">
        <v>2434</v>
      </c>
      <c r="C1187" s="23"/>
      <c r="D1187" s="23">
        <v>143.75</v>
      </c>
      <c r="E1187" s="23" t="s">
        <v>2389</v>
      </c>
      <c r="F1187" s="23" t="s">
        <v>735</v>
      </c>
      <c r="G1187" s="23" t="s">
        <v>735</v>
      </c>
      <c r="H1187" s="205" t="s">
        <v>1608</v>
      </c>
      <c r="I1187" s="23" t="s">
        <v>2434</v>
      </c>
    </row>
    <row r="1188" spans="1:9">
      <c r="A1188" s="23" t="s">
        <v>1608</v>
      </c>
      <c r="B1188" s="23" t="s">
        <v>2434</v>
      </c>
      <c r="C1188" s="23"/>
      <c r="D1188" s="23">
        <v>23</v>
      </c>
      <c r="E1188" s="23" t="s">
        <v>2389</v>
      </c>
      <c r="F1188" s="23" t="s">
        <v>56</v>
      </c>
      <c r="G1188" s="23" t="s">
        <v>56</v>
      </c>
      <c r="H1188" s="205" t="s">
        <v>1608</v>
      </c>
      <c r="I1188" s="23" t="s">
        <v>2434</v>
      </c>
    </row>
    <row r="1189" spans="1:9">
      <c r="A1189" s="23" t="s">
        <v>1608</v>
      </c>
      <c r="B1189" s="23" t="s">
        <v>2436</v>
      </c>
      <c r="C1189" s="23"/>
      <c r="D1189" s="23">
        <v>119.60000000000001</v>
      </c>
      <c r="E1189" s="23" t="s">
        <v>2385</v>
      </c>
      <c r="F1189" s="23" t="s">
        <v>2387</v>
      </c>
      <c r="G1189" s="23" t="s">
        <v>739</v>
      </c>
      <c r="H1189" s="205" t="s">
        <v>1608</v>
      </c>
      <c r="I1189" s="23" t="s">
        <v>2436</v>
      </c>
    </row>
    <row r="1190" spans="1:9">
      <c r="A1190" s="23" t="s">
        <v>1608</v>
      </c>
      <c r="B1190" s="23" t="s">
        <v>2436</v>
      </c>
      <c r="C1190" s="23"/>
      <c r="D1190" s="23">
        <v>73.600000000000009</v>
      </c>
      <c r="E1190" s="23" t="s">
        <v>2385</v>
      </c>
      <c r="F1190" s="23" t="s">
        <v>2388</v>
      </c>
      <c r="G1190" s="23" t="s">
        <v>897</v>
      </c>
      <c r="H1190" s="205" t="s">
        <v>1608</v>
      </c>
      <c r="I1190" s="23" t="s">
        <v>2436</v>
      </c>
    </row>
    <row r="1191" spans="1:9">
      <c r="A1191" s="23" t="s">
        <v>1608</v>
      </c>
      <c r="B1191" s="23" t="s">
        <v>2436</v>
      </c>
      <c r="C1191" s="23"/>
      <c r="D1191" s="23">
        <v>46</v>
      </c>
      <c r="E1191" s="23" t="s">
        <v>2385</v>
      </c>
      <c r="F1191" s="23" t="s">
        <v>735</v>
      </c>
      <c r="G1191" s="23" t="s">
        <v>735</v>
      </c>
      <c r="H1191" s="205" t="s">
        <v>1608</v>
      </c>
      <c r="I1191" s="23" t="s">
        <v>2436</v>
      </c>
    </row>
    <row r="1192" spans="1:9">
      <c r="A1192" s="23" t="s">
        <v>1608</v>
      </c>
      <c r="B1192" s="23" t="s">
        <v>2436</v>
      </c>
      <c r="C1192" s="23"/>
      <c r="D1192" s="23">
        <v>11.5</v>
      </c>
      <c r="E1192" s="23" t="s">
        <v>2385</v>
      </c>
      <c r="F1192" s="23" t="s">
        <v>56</v>
      </c>
      <c r="G1192" s="23" t="s">
        <v>56</v>
      </c>
      <c r="H1192" s="205" t="s">
        <v>1608</v>
      </c>
      <c r="I1192" s="23" t="s">
        <v>2436</v>
      </c>
    </row>
    <row r="1193" spans="1:9">
      <c r="A1193" s="23" t="s">
        <v>1608</v>
      </c>
      <c r="B1193" s="23" t="s">
        <v>2436</v>
      </c>
      <c r="C1193" s="23"/>
      <c r="D1193" s="23">
        <v>119.60000000000001</v>
      </c>
      <c r="E1193" s="23" t="s">
        <v>632</v>
      </c>
      <c r="F1193" s="23" t="s">
        <v>2387</v>
      </c>
      <c r="G1193" s="23" t="s">
        <v>739</v>
      </c>
      <c r="H1193" s="205" t="s">
        <v>1608</v>
      </c>
      <c r="I1193" s="23" t="s">
        <v>2436</v>
      </c>
    </row>
    <row r="1194" spans="1:9">
      <c r="A1194" s="23" t="s">
        <v>1608</v>
      </c>
      <c r="B1194" s="23" t="s">
        <v>2436</v>
      </c>
      <c r="C1194" s="23"/>
      <c r="D1194" s="23">
        <v>73.600000000000009</v>
      </c>
      <c r="E1194" s="23" t="s">
        <v>632</v>
      </c>
      <c r="F1194" s="23" t="s">
        <v>2388</v>
      </c>
      <c r="G1194" s="23" t="s">
        <v>897</v>
      </c>
      <c r="H1194" s="205" t="s">
        <v>1608</v>
      </c>
      <c r="I1194" s="23" t="s">
        <v>2436</v>
      </c>
    </row>
    <row r="1195" spans="1:9">
      <c r="A1195" s="23" t="s">
        <v>1608</v>
      </c>
      <c r="B1195" s="23" t="s">
        <v>2436</v>
      </c>
      <c r="C1195" s="23"/>
      <c r="D1195" s="23">
        <v>46</v>
      </c>
      <c r="E1195" s="23" t="s">
        <v>632</v>
      </c>
      <c r="F1195" s="23" t="s">
        <v>735</v>
      </c>
      <c r="G1195" s="23" t="s">
        <v>735</v>
      </c>
      <c r="H1195" s="205" t="s">
        <v>1608</v>
      </c>
      <c r="I1195" s="23" t="s">
        <v>2436</v>
      </c>
    </row>
    <row r="1196" spans="1:9">
      <c r="A1196" s="23" t="s">
        <v>1608</v>
      </c>
      <c r="B1196" s="23" t="s">
        <v>2436</v>
      </c>
      <c r="C1196" s="23"/>
      <c r="D1196" s="23">
        <v>11.5</v>
      </c>
      <c r="E1196" s="23" t="s">
        <v>632</v>
      </c>
      <c r="F1196" s="23" t="s">
        <v>56</v>
      </c>
      <c r="G1196" s="23" t="s">
        <v>56</v>
      </c>
      <c r="H1196" s="205" t="s">
        <v>1608</v>
      </c>
      <c r="I1196" s="23" t="s">
        <v>2436</v>
      </c>
    </row>
    <row r="1197" spans="1:9">
      <c r="A1197" s="23" t="s">
        <v>1608</v>
      </c>
      <c r="B1197" s="23" t="s">
        <v>2436</v>
      </c>
      <c r="C1197" s="23"/>
      <c r="D1197" s="23">
        <v>119.60000000000001</v>
      </c>
      <c r="E1197" s="23" t="s">
        <v>2389</v>
      </c>
      <c r="F1197" s="23" t="s">
        <v>2387</v>
      </c>
      <c r="G1197" s="23" t="s">
        <v>739</v>
      </c>
      <c r="H1197" s="205" t="s">
        <v>1608</v>
      </c>
      <c r="I1197" s="23" t="s">
        <v>2436</v>
      </c>
    </row>
    <row r="1198" spans="1:9">
      <c r="A1198" s="23" t="s">
        <v>1608</v>
      </c>
      <c r="B1198" s="23" t="s">
        <v>2436</v>
      </c>
      <c r="C1198" s="23"/>
      <c r="D1198" s="23">
        <v>73.600000000000009</v>
      </c>
      <c r="E1198" s="23" t="s">
        <v>2389</v>
      </c>
      <c r="F1198" s="23" t="s">
        <v>2388</v>
      </c>
      <c r="G1198" s="23" t="s">
        <v>897</v>
      </c>
      <c r="H1198" s="205" t="s">
        <v>1608</v>
      </c>
      <c r="I1198" s="23" t="s">
        <v>2436</v>
      </c>
    </row>
    <row r="1199" spans="1:9">
      <c r="A1199" s="23" t="s">
        <v>1608</v>
      </c>
      <c r="B1199" s="23" t="s">
        <v>2436</v>
      </c>
      <c r="C1199" s="23"/>
      <c r="D1199" s="23">
        <v>46</v>
      </c>
      <c r="E1199" s="23" t="s">
        <v>2389</v>
      </c>
      <c r="F1199" s="23" t="s">
        <v>735</v>
      </c>
      <c r="G1199" s="23" t="s">
        <v>735</v>
      </c>
      <c r="H1199" s="205" t="s">
        <v>1608</v>
      </c>
      <c r="I1199" s="23" t="s">
        <v>2436</v>
      </c>
    </row>
    <row r="1200" spans="1:9">
      <c r="A1200" s="23" t="s">
        <v>1608</v>
      </c>
      <c r="B1200" s="23" t="s">
        <v>2436</v>
      </c>
      <c r="C1200" s="23"/>
      <c r="D1200" s="23">
        <v>11.5</v>
      </c>
      <c r="E1200" s="23" t="s">
        <v>2389</v>
      </c>
      <c r="F1200" s="23" t="s">
        <v>56</v>
      </c>
      <c r="G1200" s="23" t="s">
        <v>56</v>
      </c>
      <c r="H1200" s="205" t="s">
        <v>1608</v>
      </c>
      <c r="I1200" s="23" t="s">
        <v>2436</v>
      </c>
    </row>
    <row r="1201" spans="1:9">
      <c r="A1201" s="23" t="s">
        <v>1830</v>
      </c>
      <c r="B1201" s="23" t="s">
        <v>2383</v>
      </c>
      <c r="C1201" s="23"/>
      <c r="D1201" s="23">
        <v>230.8</v>
      </c>
      <c r="E1201" s="23" t="s">
        <v>2385</v>
      </c>
      <c r="F1201" s="23" t="s">
        <v>2387</v>
      </c>
      <c r="G1201" s="23" t="s">
        <v>739</v>
      </c>
      <c r="H1201" s="205" t="s">
        <v>1830</v>
      </c>
      <c r="I1201" s="23" t="s">
        <v>2383</v>
      </c>
    </row>
    <row r="1202" spans="1:9">
      <c r="A1202" s="23" t="s">
        <v>1830</v>
      </c>
      <c r="B1202" s="23" t="s">
        <v>2383</v>
      </c>
      <c r="C1202" s="23"/>
      <c r="D1202" s="23">
        <v>230.8</v>
      </c>
      <c r="E1202" s="23" t="s">
        <v>2385</v>
      </c>
      <c r="F1202" s="23" t="s">
        <v>2388</v>
      </c>
      <c r="G1202" s="23" t="s">
        <v>897</v>
      </c>
      <c r="H1202" s="205" t="s">
        <v>1830</v>
      </c>
      <c r="I1202" s="23" t="s">
        <v>2383</v>
      </c>
    </row>
    <row r="1203" spans="1:9">
      <c r="A1203" s="23" t="s">
        <v>1830</v>
      </c>
      <c r="B1203" s="23" t="s">
        <v>2383</v>
      </c>
      <c r="C1203" s="23"/>
      <c r="D1203" s="23">
        <v>115.4</v>
      </c>
      <c r="E1203" s="23" t="s">
        <v>2385</v>
      </c>
      <c r="F1203" s="23" t="s">
        <v>735</v>
      </c>
      <c r="G1203" s="23" t="s">
        <v>735</v>
      </c>
      <c r="H1203" s="205" t="s">
        <v>1830</v>
      </c>
      <c r="I1203" s="23" t="s">
        <v>2383</v>
      </c>
    </row>
    <row r="1204" spans="1:9">
      <c r="A1204" s="23" t="s">
        <v>1830</v>
      </c>
      <c r="B1204" s="23" t="s">
        <v>2383</v>
      </c>
      <c r="C1204" s="23"/>
      <c r="D1204" s="23">
        <v>17.8</v>
      </c>
      <c r="E1204" s="23" t="s">
        <v>2385</v>
      </c>
      <c r="F1204" s="23" t="s">
        <v>56</v>
      </c>
      <c r="G1204" s="23" t="s">
        <v>56</v>
      </c>
      <c r="H1204" s="205" t="s">
        <v>1830</v>
      </c>
      <c r="I1204" s="23" t="s">
        <v>2383</v>
      </c>
    </row>
    <row r="1205" spans="1:9">
      <c r="A1205" s="23" t="s">
        <v>1830</v>
      </c>
      <c r="B1205" s="23" t="s">
        <v>2383</v>
      </c>
      <c r="C1205" s="23"/>
      <c r="D1205" s="23">
        <v>238.05</v>
      </c>
      <c r="E1205" s="23" t="s">
        <v>632</v>
      </c>
      <c r="F1205" s="23" t="s">
        <v>2387</v>
      </c>
      <c r="G1205" s="23" t="s">
        <v>739</v>
      </c>
      <c r="H1205" s="205" t="s">
        <v>1830</v>
      </c>
      <c r="I1205" s="23" t="s">
        <v>2383</v>
      </c>
    </row>
    <row r="1206" spans="1:9">
      <c r="A1206" s="23" t="s">
        <v>1830</v>
      </c>
      <c r="B1206" s="23" t="s">
        <v>2383</v>
      </c>
      <c r="C1206" s="23"/>
      <c r="D1206" s="23">
        <v>238.05</v>
      </c>
      <c r="E1206" s="23" t="s">
        <v>632</v>
      </c>
      <c r="F1206" s="23" t="s">
        <v>2388</v>
      </c>
      <c r="G1206" s="23" t="s">
        <v>897</v>
      </c>
      <c r="H1206" s="205" t="s">
        <v>1830</v>
      </c>
      <c r="I1206" s="23" t="s">
        <v>2383</v>
      </c>
    </row>
    <row r="1207" spans="1:9">
      <c r="A1207" s="23" t="s">
        <v>1830</v>
      </c>
      <c r="B1207" s="23" t="s">
        <v>2383</v>
      </c>
      <c r="C1207" s="23"/>
      <c r="D1207" s="23">
        <v>119.02500000000001</v>
      </c>
      <c r="E1207" s="23" t="s">
        <v>632</v>
      </c>
      <c r="F1207" s="23" t="s">
        <v>735</v>
      </c>
      <c r="G1207" s="23" t="s">
        <v>735</v>
      </c>
      <c r="H1207" s="205" t="s">
        <v>1830</v>
      </c>
      <c r="I1207" s="23" t="s">
        <v>2383</v>
      </c>
    </row>
    <row r="1208" spans="1:9">
      <c r="A1208" s="23" t="s">
        <v>1830</v>
      </c>
      <c r="B1208" s="23" t="s">
        <v>2383</v>
      </c>
      <c r="C1208" s="23"/>
      <c r="D1208" s="23">
        <v>17.8</v>
      </c>
      <c r="E1208" s="23" t="s">
        <v>632</v>
      </c>
      <c r="F1208" s="23" t="s">
        <v>56</v>
      </c>
      <c r="G1208" s="23" t="s">
        <v>56</v>
      </c>
      <c r="H1208" s="205" t="s">
        <v>1830</v>
      </c>
      <c r="I1208" s="23" t="s">
        <v>2383</v>
      </c>
    </row>
    <row r="1209" spans="1:9">
      <c r="A1209" s="23" t="s">
        <v>1830</v>
      </c>
      <c r="B1209" s="23" t="s">
        <v>2383</v>
      </c>
      <c r="C1209" s="23"/>
      <c r="D1209" s="23">
        <v>238.05</v>
      </c>
      <c r="E1209" s="23" t="s">
        <v>2389</v>
      </c>
      <c r="F1209" s="23" t="s">
        <v>2387</v>
      </c>
      <c r="G1209" s="23" t="s">
        <v>739</v>
      </c>
      <c r="H1209" s="205" t="s">
        <v>1830</v>
      </c>
      <c r="I1209" s="23" t="s">
        <v>2383</v>
      </c>
    </row>
    <row r="1210" spans="1:9">
      <c r="A1210" s="23" t="s">
        <v>1830</v>
      </c>
      <c r="B1210" s="23" t="s">
        <v>2383</v>
      </c>
      <c r="C1210" s="23"/>
      <c r="D1210" s="23">
        <v>238.05</v>
      </c>
      <c r="E1210" s="23" t="s">
        <v>2389</v>
      </c>
      <c r="F1210" s="23" t="s">
        <v>2388</v>
      </c>
      <c r="G1210" s="23" t="s">
        <v>897</v>
      </c>
      <c r="H1210" s="205" t="s">
        <v>1830</v>
      </c>
      <c r="I1210" s="23" t="s">
        <v>2383</v>
      </c>
    </row>
    <row r="1211" spans="1:9">
      <c r="A1211" s="23" t="s">
        <v>1830</v>
      </c>
      <c r="B1211" s="23" t="s">
        <v>2383</v>
      </c>
      <c r="C1211" s="23"/>
      <c r="D1211" s="23">
        <v>119.02500000000001</v>
      </c>
      <c r="E1211" s="23" t="s">
        <v>2389</v>
      </c>
      <c r="F1211" s="23" t="s">
        <v>735</v>
      </c>
      <c r="G1211" s="23" t="s">
        <v>735</v>
      </c>
      <c r="H1211" s="205" t="s">
        <v>1830</v>
      </c>
      <c r="I1211" s="23" t="s">
        <v>2383</v>
      </c>
    </row>
    <row r="1212" spans="1:9">
      <c r="A1212" s="23" t="s">
        <v>1830</v>
      </c>
      <c r="B1212" s="23" t="s">
        <v>2383</v>
      </c>
      <c r="C1212" s="23"/>
      <c r="D1212" s="23">
        <v>17.8</v>
      </c>
      <c r="E1212" s="23" t="s">
        <v>2389</v>
      </c>
      <c r="F1212" s="23" t="s">
        <v>56</v>
      </c>
      <c r="G1212" s="23" t="s">
        <v>56</v>
      </c>
      <c r="H1212" s="205" t="s">
        <v>1830</v>
      </c>
      <c r="I1212" s="23" t="s">
        <v>2383</v>
      </c>
    </row>
    <row r="1213" spans="1:9">
      <c r="A1213" s="23" t="s">
        <v>1830</v>
      </c>
      <c r="B1213" s="23" t="s">
        <v>2390</v>
      </c>
      <c r="C1213" s="23"/>
      <c r="D1213" s="23">
        <v>122.10000000000001</v>
      </c>
      <c r="E1213" s="23" t="s">
        <v>2385</v>
      </c>
      <c r="F1213" s="23" t="s">
        <v>2387</v>
      </c>
      <c r="G1213" s="23" t="s">
        <v>739</v>
      </c>
      <c r="H1213" s="205" t="s">
        <v>1830</v>
      </c>
      <c r="I1213" s="23" t="s">
        <v>2390</v>
      </c>
    </row>
    <row r="1214" spans="1:9">
      <c r="A1214" s="23" t="s">
        <v>1830</v>
      </c>
      <c r="B1214" s="23" t="s">
        <v>2390</v>
      </c>
      <c r="C1214" s="23"/>
      <c r="D1214" s="23">
        <v>122.10000000000001</v>
      </c>
      <c r="E1214" s="23" t="s">
        <v>2385</v>
      </c>
      <c r="F1214" s="23" t="s">
        <v>2388</v>
      </c>
      <c r="G1214" s="23" t="s">
        <v>897</v>
      </c>
      <c r="H1214" s="205" t="s">
        <v>1830</v>
      </c>
      <c r="I1214" s="23" t="s">
        <v>2390</v>
      </c>
    </row>
    <row r="1215" spans="1:9">
      <c r="A1215" s="23" t="s">
        <v>1830</v>
      </c>
      <c r="B1215" s="23" t="s">
        <v>2390</v>
      </c>
      <c r="C1215" s="23"/>
      <c r="D1215" s="23">
        <v>61.050000000000004</v>
      </c>
      <c r="E1215" s="23" t="s">
        <v>2385</v>
      </c>
      <c r="F1215" s="23" t="s">
        <v>735</v>
      </c>
      <c r="G1215" s="23" t="s">
        <v>735</v>
      </c>
      <c r="H1215" s="205" t="s">
        <v>1830</v>
      </c>
      <c r="I1215" s="23" t="s">
        <v>2390</v>
      </c>
    </row>
    <row r="1216" spans="1:9">
      <c r="A1216" s="23" t="s">
        <v>1830</v>
      </c>
      <c r="B1216" s="23" t="s">
        <v>2390</v>
      </c>
      <c r="C1216" s="23"/>
      <c r="D1216" s="23">
        <v>10.65</v>
      </c>
      <c r="E1216" s="23" t="s">
        <v>2385</v>
      </c>
      <c r="F1216" s="23" t="s">
        <v>56</v>
      </c>
      <c r="G1216" s="23" t="s">
        <v>56</v>
      </c>
      <c r="H1216" s="205" t="s">
        <v>1830</v>
      </c>
      <c r="I1216" s="23" t="s">
        <v>2390</v>
      </c>
    </row>
    <row r="1217" spans="1:9">
      <c r="A1217" s="23" t="s">
        <v>1830</v>
      </c>
      <c r="B1217" s="23" t="s">
        <v>2390</v>
      </c>
      <c r="C1217" s="23"/>
      <c r="D1217" s="23">
        <v>122.10000000000001</v>
      </c>
      <c r="E1217" s="23" t="s">
        <v>632</v>
      </c>
      <c r="F1217" s="23" t="s">
        <v>2387</v>
      </c>
      <c r="G1217" s="23" t="s">
        <v>739</v>
      </c>
      <c r="H1217" s="205" t="s">
        <v>1830</v>
      </c>
      <c r="I1217" s="23" t="s">
        <v>2390</v>
      </c>
    </row>
    <row r="1218" spans="1:9">
      <c r="A1218" s="23" t="s">
        <v>1830</v>
      </c>
      <c r="B1218" s="23" t="s">
        <v>2390</v>
      </c>
      <c r="C1218" s="23"/>
      <c r="D1218" s="23">
        <v>122.10000000000001</v>
      </c>
      <c r="E1218" s="23" t="s">
        <v>632</v>
      </c>
      <c r="F1218" s="23" t="s">
        <v>2388</v>
      </c>
      <c r="G1218" s="23" t="s">
        <v>897</v>
      </c>
      <c r="H1218" s="205" t="s">
        <v>1830</v>
      </c>
      <c r="I1218" s="23" t="s">
        <v>2390</v>
      </c>
    </row>
    <row r="1219" spans="1:9">
      <c r="A1219" s="23" t="s">
        <v>1830</v>
      </c>
      <c r="B1219" s="23" t="s">
        <v>2390</v>
      </c>
      <c r="C1219" s="23"/>
      <c r="D1219" s="23">
        <v>61.050000000000004</v>
      </c>
      <c r="E1219" s="23" t="s">
        <v>632</v>
      </c>
      <c r="F1219" s="23" t="s">
        <v>735</v>
      </c>
      <c r="G1219" s="23" t="s">
        <v>735</v>
      </c>
      <c r="H1219" s="205" t="s">
        <v>1830</v>
      </c>
      <c r="I1219" s="23" t="s">
        <v>2390</v>
      </c>
    </row>
    <row r="1220" spans="1:9">
      <c r="A1220" s="23" t="s">
        <v>1830</v>
      </c>
      <c r="B1220" s="23" t="s">
        <v>2390</v>
      </c>
      <c r="C1220" s="23"/>
      <c r="D1220" s="23">
        <v>10.65</v>
      </c>
      <c r="E1220" s="23" t="s">
        <v>632</v>
      </c>
      <c r="F1220" s="23" t="s">
        <v>56</v>
      </c>
      <c r="G1220" s="23" t="s">
        <v>56</v>
      </c>
      <c r="H1220" s="205" t="s">
        <v>1830</v>
      </c>
      <c r="I1220" s="23" t="s">
        <v>2390</v>
      </c>
    </row>
    <row r="1221" spans="1:9">
      <c r="A1221" s="23" t="s">
        <v>1830</v>
      </c>
      <c r="B1221" s="23" t="s">
        <v>2390</v>
      </c>
      <c r="C1221" s="23"/>
      <c r="D1221" s="23">
        <v>185.72499999999999</v>
      </c>
      <c r="E1221" s="23" t="s">
        <v>2389</v>
      </c>
      <c r="F1221" s="23" t="s">
        <v>2387</v>
      </c>
      <c r="G1221" s="23" t="s">
        <v>739</v>
      </c>
      <c r="H1221" s="205" t="s">
        <v>1830</v>
      </c>
      <c r="I1221" s="23" t="s">
        <v>2390</v>
      </c>
    </row>
    <row r="1222" spans="1:9">
      <c r="A1222" s="23" t="s">
        <v>1830</v>
      </c>
      <c r="B1222" s="23" t="s">
        <v>2390</v>
      </c>
      <c r="C1222" s="23"/>
      <c r="D1222" s="23">
        <v>185.72499999999999</v>
      </c>
      <c r="E1222" s="23" t="s">
        <v>2389</v>
      </c>
      <c r="F1222" s="23" t="s">
        <v>2388</v>
      </c>
      <c r="G1222" s="23" t="s">
        <v>897</v>
      </c>
      <c r="H1222" s="205" t="s">
        <v>1830</v>
      </c>
      <c r="I1222" s="23" t="s">
        <v>2390</v>
      </c>
    </row>
    <row r="1223" spans="1:9">
      <c r="A1223" s="23" t="s">
        <v>1830</v>
      </c>
      <c r="B1223" s="23" t="s">
        <v>2390</v>
      </c>
      <c r="C1223" s="23"/>
      <c r="D1223" s="23">
        <v>92.862499999999997</v>
      </c>
      <c r="E1223" s="23" t="s">
        <v>2389</v>
      </c>
      <c r="F1223" s="23" t="s">
        <v>735</v>
      </c>
      <c r="G1223" s="23" t="s">
        <v>735</v>
      </c>
      <c r="H1223" s="205" t="s">
        <v>1830</v>
      </c>
      <c r="I1223" s="23" t="s">
        <v>2390</v>
      </c>
    </row>
    <row r="1224" spans="1:9">
      <c r="A1224" s="23" t="s">
        <v>1830</v>
      </c>
      <c r="B1224" s="23" t="s">
        <v>2390</v>
      </c>
      <c r="C1224" s="23"/>
      <c r="D1224" s="23">
        <v>12.4</v>
      </c>
      <c r="E1224" s="23" t="s">
        <v>2389</v>
      </c>
      <c r="F1224" s="23" t="s">
        <v>56</v>
      </c>
      <c r="G1224" s="23" t="s">
        <v>56</v>
      </c>
      <c r="H1224" s="205" t="s">
        <v>1830</v>
      </c>
      <c r="I1224" s="23" t="s">
        <v>2390</v>
      </c>
    </row>
    <row r="1225" spans="1:9">
      <c r="A1225" s="23" t="s">
        <v>1830</v>
      </c>
      <c r="B1225" s="23" t="s">
        <v>2392</v>
      </c>
      <c r="C1225" s="23"/>
      <c r="D1225" s="23">
        <v>134.55000000000001</v>
      </c>
      <c r="E1225" s="23" t="s">
        <v>2385</v>
      </c>
      <c r="F1225" s="23" t="s">
        <v>2387</v>
      </c>
      <c r="G1225" s="23" t="s">
        <v>739</v>
      </c>
      <c r="H1225" s="205" t="s">
        <v>1830</v>
      </c>
      <c r="I1225" s="23" t="s">
        <v>2392</v>
      </c>
    </row>
    <row r="1226" spans="1:9">
      <c r="A1226" s="23" t="s">
        <v>1830</v>
      </c>
      <c r="B1226" s="23" t="s">
        <v>2392</v>
      </c>
      <c r="C1226" s="23"/>
      <c r="D1226" s="23">
        <v>134.55000000000001</v>
      </c>
      <c r="E1226" s="23" t="s">
        <v>2385</v>
      </c>
      <c r="F1226" s="23" t="s">
        <v>2388</v>
      </c>
      <c r="G1226" s="23" t="s">
        <v>897</v>
      </c>
      <c r="H1226" s="205" t="s">
        <v>1830</v>
      </c>
      <c r="I1226" s="23" t="s">
        <v>2392</v>
      </c>
    </row>
    <row r="1227" spans="1:9">
      <c r="A1227" s="23" t="s">
        <v>1830</v>
      </c>
      <c r="B1227" s="23" t="s">
        <v>2392</v>
      </c>
      <c r="C1227" s="23"/>
      <c r="D1227" s="23">
        <v>67.275000000000006</v>
      </c>
      <c r="E1227" s="23" t="s">
        <v>2385</v>
      </c>
      <c r="F1227" s="23" t="s">
        <v>735</v>
      </c>
      <c r="G1227" s="23" t="s">
        <v>735</v>
      </c>
      <c r="H1227" s="205" t="s">
        <v>1830</v>
      </c>
      <c r="I1227" s="23" t="s">
        <v>2392</v>
      </c>
    </row>
    <row r="1228" spans="1:9">
      <c r="A1228" s="23" t="s">
        <v>1830</v>
      </c>
      <c r="B1228" s="23" t="s">
        <v>2392</v>
      </c>
      <c r="C1228" s="23"/>
      <c r="D1228" s="23">
        <v>7.75</v>
      </c>
      <c r="E1228" s="23" t="s">
        <v>2385</v>
      </c>
      <c r="F1228" s="23" t="s">
        <v>56</v>
      </c>
      <c r="G1228" s="23" t="s">
        <v>56</v>
      </c>
      <c r="H1228" s="205" t="s">
        <v>1830</v>
      </c>
      <c r="I1228" s="23" t="s">
        <v>2392</v>
      </c>
    </row>
    <row r="1229" spans="1:9">
      <c r="A1229" s="23" t="s">
        <v>1830</v>
      </c>
      <c r="B1229" s="23" t="s">
        <v>2392</v>
      </c>
      <c r="C1229" s="23"/>
      <c r="D1229" s="23">
        <v>134.6</v>
      </c>
      <c r="E1229" s="23" t="s">
        <v>632</v>
      </c>
      <c r="F1229" s="23" t="s">
        <v>2387</v>
      </c>
      <c r="G1229" s="23" t="s">
        <v>739</v>
      </c>
      <c r="H1229" s="205" t="s">
        <v>1830</v>
      </c>
      <c r="I1229" s="23" t="s">
        <v>2392</v>
      </c>
    </row>
    <row r="1230" spans="1:9">
      <c r="A1230" s="23" t="s">
        <v>1830</v>
      </c>
      <c r="B1230" s="23" t="s">
        <v>2392</v>
      </c>
      <c r="C1230" s="23"/>
      <c r="D1230" s="23">
        <v>134.6</v>
      </c>
      <c r="E1230" s="23" t="s">
        <v>632</v>
      </c>
      <c r="F1230" s="23" t="s">
        <v>2388</v>
      </c>
      <c r="G1230" s="23" t="s">
        <v>897</v>
      </c>
      <c r="H1230" s="205" t="s">
        <v>1830</v>
      </c>
      <c r="I1230" s="23" t="s">
        <v>2392</v>
      </c>
    </row>
    <row r="1231" spans="1:9">
      <c r="A1231" s="23" t="s">
        <v>1830</v>
      </c>
      <c r="B1231" s="23" t="s">
        <v>2392</v>
      </c>
      <c r="C1231" s="23"/>
      <c r="D1231" s="23">
        <v>67.3</v>
      </c>
      <c r="E1231" s="23" t="s">
        <v>632</v>
      </c>
      <c r="F1231" s="23" t="s">
        <v>735</v>
      </c>
      <c r="G1231" s="23" t="s">
        <v>735</v>
      </c>
      <c r="H1231" s="205" t="s">
        <v>1830</v>
      </c>
      <c r="I1231" s="23" t="s">
        <v>2392</v>
      </c>
    </row>
    <row r="1232" spans="1:9">
      <c r="A1232" s="23" t="s">
        <v>1830</v>
      </c>
      <c r="B1232" s="23" t="s">
        <v>2392</v>
      </c>
      <c r="C1232" s="23"/>
      <c r="D1232" s="23">
        <v>7.75</v>
      </c>
      <c r="E1232" s="23" t="s">
        <v>632</v>
      </c>
      <c r="F1232" s="23" t="s">
        <v>56</v>
      </c>
      <c r="G1232" s="23" t="s">
        <v>56</v>
      </c>
      <c r="H1232" s="205" t="s">
        <v>1830</v>
      </c>
      <c r="I1232" s="23" t="s">
        <v>2392</v>
      </c>
    </row>
    <row r="1233" spans="1:9">
      <c r="A1233" s="23" t="s">
        <v>1830</v>
      </c>
      <c r="B1233" s="23" t="s">
        <v>2392</v>
      </c>
      <c r="C1233" s="23"/>
      <c r="D1233" s="23">
        <v>134.6</v>
      </c>
      <c r="E1233" s="23" t="s">
        <v>2389</v>
      </c>
      <c r="F1233" s="23" t="s">
        <v>2387</v>
      </c>
      <c r="G1233" s="23" t="s">
        <v>739</v>
      </c>
      <c r="H1233" s="205" t="s">
        <v>1830</v>
      </c>
      <c r="I1233" s="23" t="s">
        <v>2392</v>
      </c>
    </row>
    <row r="1234" spans="1:9">
      <c r="A1234" s="23" t="s">
        <v>1830</v>
      </c>
      <c r="B1234" s="23" t="s">
        <v>2392</v>
      </c>
      <c r="C1234" s="23"/>
      <c r="D1234" s="23">
        <v>134.6</v>
      </c>
      <c r="E1234" s="23" t="s">
        <v>2389</v>
      </c>
      <c r="F1234" s="23" t="s">
        <v>2388</v>
      </c>
      <c r="G1234" s="23" t="s">
        <v>897</v>
      </c>
      <c r="H1234" s="205" t="s">
        <v>1830</v>
      </c>
      <c r="I1234" s="23" t="s">
        <v>2392</v>
      </c>
    </row>
    <row r="1235" spans="1:9">
      <c r="A1235" s="23" t="s">
        <v>1830</v>
      </c>
      <c r="B1235" s="23" t="s">
        <v>2392</v>
      </c>
      <c r="C1235" s="23"/>
      <c r="D1235" s="23">
        <v>67.3</v>
      </c>
      <c r="E1235" s="23" t="s">
        <v>2389</v>
      </c>
      <c r="F1235" s="23" t="s">
        <v>735</v>
      </c>
      <c r="G1235" s="23" t="s">
        <v>735</v>
      </c>
      <c r="H1235" s="205" t="s">
        <v>1830</v>
      </c>
      <c r="I1235" s="23" t="s">
        <v>2392</v>
      </c>
    </row>
    <row r="1236" spans="1:9">
      <c r="A1236" s="23" t="s">
        <v>1830</v>
      </c>
      <c r="B1236" s="23" t="s">
        <v>2392</v>
      </c>
      <c r="C1236" s="23"/>
      <c r="D1236" s="23">
        <v>7.75</v>
      </c>
      <c r="E1236" s="23" t="s">
        <v>2389</v>
      </c>
      <c r="F1236" s="23" t="s">
        <v>56</v>
      </c>
      <c r="G1236" s="23" t="s">
        <v>56</v>
      </c>
      <c r="H1236" s="205" t="s">
        <v>1830</v>
      </c>
      <c r="I1236" s="23" t="s">
        <v>2392</v>
      </c>
    </row>
    <row r="1237" spans="1:9">
      <c r="A1237" s="23" t="s">
        <v>1830</v>
      </c>
      <c r="B1237" s="23" t="s">
        <v>2394</v>
      </c>
      <c r="C1237" s="23"/>
      <c r="D1237" s="23">
        <v>48.875</v>
      </c>
      <c r="E1237" s="23" t="s">
        <v>2385</v>
      </c>
      <c r="F1237" s="23" t="s">
        <v>2387</v>
      </c>
      <c r="G1237" s="23" t="s">
        <v>739</v>
      </c>
      <c r="H1237" s="205" t="s">
        <v>1830</v>
      </c>
      <c r="I1237" s="23" t="s">
        <v>2394</v>
      </c>
    </row>
    <row r="1238" spans="1:9">
      <c r="A1238" s="23" t="s">
        <v>1830</v>
      </c>
      <c r="B1238" s="23" t="s">
        <v>2394</v>
      </c>
      <c r="C1238" s="23"/>
      <c r="D1238" s="23">
        <v>48.875</v>
      </c>
      <c r="E1238" s="23" t="s">
        <v>2385</v>
      </c>
      <c r="F1238" s="23" t="s">
        <v>2388</v>
      </c>
      <c r="G1238" s="23" t="s">
        <v>897</v>
      </c>
      <c r="H1238" s="205" t="s">
        <v>1830</v>
      </c>
      <c r="I1238" s="23" t="s">
        <v>2394</v>
      </c>
    </row>
    <row r="1239" spans="1:9">
      <c r="A1239" s="23" t="s">
        <v>1830</v>
      </c>
      <c r="B1239" s="23" t="s">
        <v>2394</v>
      </c>
      <c r="C1239" s="23"/>
      <c r="D1239" s="23">
        <v>24.4375</v>
      </c>
      <c r="E1239" s="23" t="s">
        <v>2385</v>
      </c>
      <c r="F1239" s="23" t="s">
        <v>735</v>
      </c>
      <c r="G1239" s="23" t="s">
        <v>735</v>
      </c>
      <c r="H1239" s="205" t="s">
        <v>1830</v>
      </c>
      <c r="I1239" s="23" t="s">
        <v>2394</v>
      </c>
    </row>
    <row r="1240" spans="1:9">
      <c r="A1240" s="23" t="s">
        <v>1830</v>
      </c>
      <c r="B1240" s="23" t="s">
        <v>2394</v>
      </c>
      <c r="C1240" s="23"/>
      <c r="D1240" s="23">
        <v>1.55</v>
      </c>
      <c r="E1240" s="23" t="s">
        <v>2385</v>
      </c>
      <c r="F1240" s="23" t="s">
        <v>56</v>
      </c>
      <c r="G1240" s="23" t="s">
        <v>56</v>
      </c>
      <c r="H1240" s="205" t="s">
        <v>1830</v>
      </c>
      <c r="I1240" s="23" t="s">
        <v>2394</v>
      </c>
    </row>
    <row r="1241" spans="1:9">
      <c r="A1241" s="23" t="s">
        <v>1830</v>
      </c>
      <c r="B1241" s="23" t="s">
        <v>2394</v>
      </c>
      <c r="C1241" s="23"/>
      <c r="D1241" s="23">
        <v>76.819999999999993</v>
      </c>
      <c r="E1241" s="23" t="s">
        <v>632</v>
      </c>
      <c r="F1241" s="23" t="s">
        <v>2387</v>
      </c>
      <c r="G1241" s="23" t="s">
        <v>739</v>
      </c>
      <c r="H1241" s="205" t="s">
        <v>1830</v>
      </c>
      <c r="I1241" s="23" t="s">
        <v>2394</v>
      </c>
    </row>
    <row r="1242" spans="1:9">
      <c r="A1242" s="23" t="s">
        <v>1830</v>
      </c>
      <c r="B1242" s="23" t="s">
        <v>2394</v>
      </c>
      <c r="C1242" s="23"/>
      <c r="D1242" s="23">
        <v>76.819999999999993</v>
      </c>
      <c r="E1242" s="23" t="s">
        <v>632</v>
      </c>
      <c r="F1242" s="23" t="s">
        <v>2388</v>
      </c>
      <c r="G1242" s="23" t="s">
        <v>897</v>
      </c>
      <c r="H1242" s="205" t="s">
        <v>1830</v>
      </c>
      <c r="I1242" s="23" t="s">
        <v>2394</v>
      </c>
    </row>
    <row r="1243" spans="1:9">
      <c r="A1243" s="23" t="s">
        <v>1830</v>
      </c>
      <c r="B1243" s="23" t="s">
        <v>2394</v>
      </c>
      <c r="C1243" s="23"/>
      <c r="D1243" s="23">
        <v>38.409999999999997</v>
      </c>
      <c r="E1243" s="23" t="s">
        <v>632</v>
      </c>
      <c r="F1243" s="23" t="s">
        <v>735</v>
      </c>
      <c r="G1243" s="23" t="s">
        <v>735</v>
      </c>
      <c r="H1243" s="205" t="s">
        <v>1830</v>
      </c>
      <c r="I1243" s="23" t="s">
        <v>2394</v>
      </c>
    </row>
    <row r="1244" spans="1:9">
      <c r="A1244" s="23" t="s">
        <v>1830</v>
      </c>
      <c r="B1244" s="23" t="s">
        <v>2394</v>
      </c>
      <c r="C1244" s="23"/>
      <c r="D1244" s="23">
        <v>1.55</v>
      </c>
      <c r="E1244" s="23" t="s">
        <v>632</v>
      </c>
      <c r="F1244" s="23" t="s">
        <v>56</v>
      </c>
      <c r="G1244" s="23" t="s">
        <v>56</v>
      </c>
      <c r="H1244" s="205" t="s">
        <v>1830</v>
      </c>
      <c r="I1244" s="23" t="s">
        <v>2394</v>
      </c>
    </row>
    <row r="1245" spans="1:9">
      <c r="A1245" s="23" t="s">
        <v>1830</v>
      </c>
      <c r="B1245" s="23" t="s">
        <v>2394</v>
      </c>
      <c r="C1245" s="23"/>
      <c r="D1245" s="23">
        <v>76.819999999999993</v>
      </c>
      <c r="E1245" s="23" t="s">
        <v>2389</v>
      </c>
      <c r="F1245" s="23" t="s">
        <v>2387</v>
      </c>
      <c r="G1245" s="23" t="s">
        <v>739</v>
      </c>
      <c r="H1245" s="205" t="s">
        <v>1830</v>
      </c>
      <c r="I1245" s="23" t="s">
        <v>2394</v>
      </c>
    </row>
    <row r="1246" spans="1:9">
      <c r="A1246" s="23" t="s">
        <v>1830</v>
      </c>
      <c r="B1246" s="23" t="s">
        <v>2394</v>
      </c>
      <c r="C1246" s="23"/>
      <c r="D1246" s="23">
        <v>76.819999999999993</v>
      </c>
      <c r="E1246" s="23" t="s">
        <v>2389</v>
      </c>
      <c r="F1246" s="23" t="s">
        <v>2388</v>
      </c>
      <c r="G1246" s="23" t="s">
        <v>897</v>
      </c>
      <c r="H1246" s="205" t="s">
        <v>1830</v>
      </c>
      <c r="I1246" s="23" t="s">
        <v>2394</v>
      </c>
    </row>
    <row r="1247" spans="1:9">
      <c r="A1247" s="23" t="s">
        <v>1830</v>
      </c>
      <c r="B1247" s="23" t="s">
        <v>2394</v>
      </c>
      <c r="C1247" s="23"/>
      <c r="D1247" s="23">
        <v>38.409999999999997</v>
      </c>
      <c r="E1247" s="23" t="s">
        <v>2389</v>
      </c>
      <c r="F1247" s="23" t="s">
        <v>735</v>
      </c>
      <c r="G1247" s="23" t="s">
        <v>735</v>
      </c>
      <c r="H1247" s="205" t="s">
        <v>1830</v>
      </c>
      <c r="I1247" s="23" t="s">
        <v>2394</v>
      </c>
    </row>
    <row r="1248" spans="1:9">
      <c r="A1248" s="23" t="s">
        <v>1830</v>
      </c>
      <c r="B1248" s="23" t="s">
        <v>2394</v>
      </c>
      <c r="C1248" s="23"/>
      <c r="D1248" s="23">
        <v>4.3</v>
      </c>
      <c r="E1248" s="23" t="s">
        <v>2389</v>
      </c>
      <c r="F1248" s="23" t="s">
        <v>56</v>
      </c>
      <c r="G1248" s="23" t="s">
        <v>56</v>
      </c>
      <c r="H1248" s="205" t="s">
        <v>1830</v>
      </c>
      <c r="I1248" s="23" t="s">
        <v>2394</v>
      </c>
    </row>
    <row r="1249" spans="1:9">
      <c r="A1249" s="23" t="s">
        <v>1830</v>
      </c>
      <c r="B1249" s="23" t="s">
        <v>2396</v>
      </c>
      <c r="C1249" s="23"/>
      <c r="D1249" s="23">
        <v>93.724999999999994</v>
      </c>
      <c r="E1249" s="23" t="s">
        <v>2385</v>
      </c>
      <c r="F1249" s="23" t="s">
        <v>2387</v>
      </c>
      <c r="G1249" s="23" t="s">
        <v>739</v>
      </c>
      <c r="H1249" s="205" t="s">
        <v>1830</v>
      </c>
      <c r="I1249" s="23" t="s">
        <v>2396</v>
      </c>
    </row>
    <row r="1250" spans="1:9">
      <c r="A1250" s="23" t="s">
        <v>1830</v>
      </c>
      <c r="B1250" s="23" t="s">
        <v>2396</v>
      </c>
      <c r="C1250" s="23"/>
      <c r="D1250" s="23">
        <v>93.724999999999994</v>
      </c>
      <c r="E1250" s="23" t="s">
        <v>2385</v>
      </c>
      <c r="F1250" s="23" t="s">
        <v>2388</v>
      </c>
      <c r="G1250" s="23" t="s">
        <v>897</v>
      </c>
      <c r="H1250" s="205" t="s">
        <v>1830</v>
      </c>
      <c r="I1250" s="23" t="s">
        <v>2396</v>
      </c>
    </row>
    <row r="1251" spans="1:9">
      <c r="A1251" s="23" t="s">
        <v>1830</v>
      </c>
      <c r="B1251" s="23" t="s">
        <v>2396</v>
      </c>
      <c r="C1251" s="23"/>
      <c r="D1251" s="23">
        <v>46.862499999999997</v>
      </c>
      <c r="E1251" s="23" t="s">
        <v>2385</v>
      </c>
      <c r="F1251" s="23" t="s">
        <v>735</v>
      </c>
      <c r="G1251" s="23" t="s">
        <v>735</v>
      </c>
      <c r="H1251" s="205" t="s">
        <v>1830</v>
      </c>
      <c r="I1251" s="23" t="s">
        <v>2396</v>
      </c>
    </row>
    <row r="1252" spans="1:9">
      <c r="A1252" s="23" t="s">
        <v>1830</v>
      </c>
      <c r="B1252" s="23" t="s">
        <v>2396</v>
      </c>
      <c r="C1252" s="23"/>
      <c r="D1252" s="23">
        <v>4.6500000000000004</v>
      </c>
      <c r="E1252" s="23" t="s">
        <v>2385</v>
      </c>
      <c r="F1252" s="23" t="s">
        <v>56</v>
      </c>
      <c r="G1252" s="23" t="s">
        <v>56</v>
      </c>
      <c r="H1252" s="205" t="s">
        <v>1830</v>
      </c>
      <c r="I1252" s="23" t="s">
        <v>2396</v>
      </c>
    </row>
    <row r="1253" spans="1:9">
      <c r="A1253" s="23" t="s">
        <v>1830</v>
      </c>
      <c r="B1253" s="23" t="s">
        <v>2396</v>
      </c>
      <c r="C1253" s="23"/>
      <c r="D1253" s="23">
        <v>93.7</v>
      </c>
      <c r="E1253" s="23" t="s">
        <v>632</v>
      </c>
      <c r="F1253" s="23" t="s">
        <v>2387</v>
      </c>
      <c r="G1253" s="23" t="s">
        <v>739</v>
      </c>
      <c r="H1253" s="205" t="s">
        <v>1830</v>
      </c>
      <c r="I1253" s="23" t="s">
        <v>2396</v>
      </c>
    </row>
    <row r="1254" spans="1:9">
      <c r="A1254" s="23" t="s">
        <v>1830</v>
      </c>
      <c r="B1254" s="23" t="s">
        <v>2396</v>
      </c>
      <c r="C1254" s="23"/>
      <c r="D1254" s="23">
        <v>93.7</v>
      </c>
      <c r="E1254" s="23" t="s">
        <v>632</v>
      </c>
      <c r="F1254" s="23" t="s">
        <v>2388</v>
      </c>
      <c r="G1254" s="23" t="s">
        <v>897</v>
      </c>
      <c r="H1254" s="205" t="s">
        <v>1830</v>
      </c>
      <c r="I1254" s="23" t="s">
        <v>2396</v>
      </c>
    </row>
    <row r="1255" spans="1:9">
      <c r="A1255" s="23" t="s">
        <v>1830</v>
      </c>
      <c r="B1255" s="23" t="s">
        <v>2396</v>
      </c>
      <c r="C1255" s="23"/>
      <c r="D1255" s="23">
        <v>46.85</v>
      </c>
      <c r="E1255" s="23" t="s">
        <v>632</v>
      </c>
      <c r="F1255" s="23" t="s">
        <v>735</v>
      </c>
      <c r="G1255" s="23" t="s">
        <v>735</v>
      </c>
      <c r="H1255" s="205" t="s">
        <v>1830</v>
      </c>
      <c r="I1255" s="23" t="s">
        <v>2396</v>
      </c>
    </row>
    <row r="1256" spans="1:9">
      <c r="A1256" s="23" t="s">
        <v>1830</v>
      </c>
      <c r="B1256" s="23" t="s">
        <v>2396</v>
      </c>
      <c r="C1256" s="23"/>
      <c r="D1256" s="23">
        <v>4.6500000000000004</v>
      </c>
      <c r="E1256" s="23" t="s">
        <v>632</v>
      </c>
      <c r="F1256" s="23" t="s">
        <v>56</v>
      </c>
      <c r="G1256" s="23" t="s">
        <v>56</v>
      </c>
      <c r="H1256" s="205" t="s">
        <v>1830</v>
      </c>
      <c r="I1256" s="23" t="s">
        <v>2396</v>
      </c>
    </row>
    <row r="1257" spans="1:9">
      <c r="A1257" s="23" t="s">
        <v>1830</v>
      </c>
      <c r="B1257" s="23" t="s">
        <v>2396</v>
      </c>
      <c r="C1257" s="23"/>
      <c r="D1257" s="23">
        <v>144.095</v>
      </c>
      <c r="E1257" s="23" t="s">
        <v>2389</v>
      </c>
      <c r="F1257" s="23" t="s">
        <v>2387</v>
      </c>
      <c r="G1257" s="23" t="s">
        <v>739</v>
      </c>
      <c r="H1257" s="205" t="s">
        <v>1830</v>
      </c>
      <c r="I1257" s="23" t="s">
        <v>2396</v>
      </c>
    </row>
    <row r="1258" spans="1:9">
      <c r="A1258" s="23" t="s">
        <v>1830</v>
      </c>
      <c r="B1258" s="23" t="s">
        <v>2396</v>
      </c>
      <c r="C1258" s="23"/>
      <c r="D1258" s="23">
        <v>144.095</v>
      </c>
      <c r="E1258" s="23" t="s">
        <v>2389</v>
      </c>
      <c r="F1258" s="23" t="s">
        <v>2388</v>
      </c>
      <c r="G1258" s="23" t="s">
        <v>897</v>
      </c>
      <c r="H1258" s="205" t="s">
        <v>1830</v>
      </c>
      <c r="I1258" s="23" t="s">
        <v>2396</v>
      </c>
    </row>
    <row r="1259" spans="1:9">
      <c r="A1259" s="23" t="s">
        <v>1830</v>
      </c>
      <c r="B1259" s="23" t="s">
        <v>2396</v>
      </c>
      <c r="C1259" s="23"/>
      <c r="D1259" s="23">
        <v>72.047499999999999</v>
      </c>
      <c r="E1259" s="23" t="s">
        <v>2389</v>
      </c>
      <c r="F1259" s="23" t="s">
        <v>735</v>
      </c>
      <c r="G1259" s="23" t="s">
        <v>735</v>
      </c>
      <c r="H1259" s="205" t="s">
        <v>1830</v>
      </c>
      <c r="I1259" s="23" t="s">
        <v>2396</v>
      </c>
    </row>
    <row r="1260" spans="1:9">
      <c r="A1260" s="23" t="s">
        <v>1830</v>
      </c>
      <c r="B1260" s="23" t="s">
        <v>2396</v>
      </c>
      <c r="C1260" s="23"/>
      <c r="D1260" s="23">
        <v>7.25</v>
      </c>
      <c r="E1260" s="23" t="s">
        <v>2389</v>
      </c>
      <c r="F1260" s="23" t="s">
        <v>56</v>
      </c>
      <c r="G1260" s="23" t="s">
        <v>56</v>
      </c>
      <c r="H1260" s="205" t="s">
        <v>1830</v>
      </c>
      <c r="I1260" s="23" t="s">
        <v>2396</v>
      </c>
    </row>
    <row r="1261" spans="1:9">
      <c r="A1261" s="23" t="s">
        <v>1830</v>
      </c>
      <c r="B1261" s="23" t="s">
        <v>2398</v>
      </c>
      <c r="C1261" s="23"/>
      <c r="D1261" s="23">
        <v>51.98</v>
      </c>
      <c r="E1261" s="23" t="s">
        <v>2385</v>
      </c>
      <c r="F1261" s="23" t="s">
        <v>2387</v>
      </c>
      <c r="G1261" s="23" t="s">
        <v>739</v>
      </c>
      <c r="H1261" s="205" t="s">
        <v>1830</v>
      </c>
      <c r="I1261" s="23" t="s">
        <v>2398</v>
      </c>
    </row>
    <row r="1262" spans="1:9">
      <c r="A1262" s="23" t="s">
        <v>1830</v>
      </c>
      <c r="B1262" s="23" t="s">
        <v>2398</v>
      </c>
      <c r="C1262" s="23"/>
      <c r="D1262" s="23">
        <v>51.98</v>
      </c>
      <c r="E1262" s="23" t="s">
        <v>2385</v>
      </c>
      <c r="F1262" s="23" t="s">
        <v>2388</v>
      </c>
      <c r="G1262" s="23" t="s">
        <v>897</v>
      </c>
      <c r="H1262" s="205" t="s">
        <v>1830</v>
      </c>
      <c r="I1262" s="23" t="s">
        <v>2398</v>
      </c>
    </row>
    <row r="1263" spans="1:9">
      <c r="A1263" s="23" t="s">
        <v>1830</v>
      </c>
      <c r="B1263" s="23" t="s">
        <v>2398</v>
      </c>
      <c r="C1263" s="23"/>
      <c r="D1263" s="23">
        <v>25.99</v>
      </c>
      <c r="E1263" s="23" t="s">
        <v>2385</v>
      </c>
      <c r="F1263" s="23" t="s">
        <v>735</v>
      </c>
      <c r="G1263" s="23" t="s">
        <v>735</v>
      </c>
      <c r="H1263" s="205" t="s">
        <v>1830</v>
      </c>
      <c r="I1263" s="23" t="s">
        <v>2398</v>
      </c>
    </row>
    <row r="1264" spans="1:9">
      <c r="A1264" s="23" t="s">
        <v>1830</v>
      </c>
      <c r="B1264" s="23" t="s">
        <v>2398</v>
      </c>
      <c r="C1264" s="23"/>
      <c r="D1264" s="23">
        <v>4.05</v>
      </c>
      <c r="E1264" s="23" t="s">
        <v>2385</v>
      </c>
      <c r="F1264" s="23" t="s">
        <v>56</v>
      </c>
      <c r="G1264" s="23" t="s">
        <v>56</v>
      </c>
      <c r="H1264" s="205" t="s">
        <v>1830</v>
      </c>
      <c r="I1264" s="23" t="s">
        <v>2398</v>
      </c>
    </row>
    <row r="1265" spans="1:9">
      <c r="A1265" s="23" t="s">
        <v>1830</v>
      </c>
      <c r="B1265" s="23" t="s">
        <v>2398</v>
      </c>
      <c r="C1265" s="23"/>
      <c r="D1265" s="23">
        <v>59.914999999999999</v>
      </c>
      <c r="E1265" s="23" t="s">
        <v>632</v>
      </c>
      <c r="F1265" s="23" t="s">
        <v>2387</v>
      </c>
      <c r="G1265" s="23" t="s">
        <v>739</v>
      </c>
      <c r="H1265" s="205" t="s">
        <v>1830</v>
      </c>
      <c r="I1265" s="23" t="s">
        <v>2398</v>
      </c>
    </row>
    <row r="1266" spans="1:9">
      <c r="A1266" s="23" t="s">
        <v>1830</v>
      </c>
      <c r="B1266" s="23" t="s">
        <v>2398</v>
      </c>
      <c r="C1266" s="23"/>
      <c r="D1266" s="23">
        <v>59.914999999999999</v>
      </c>
      <c r="E1266" s="23" t="s">
        <v>632</v>
      </c>
      <c r="F1266" s="23" t="s">
        <v>2388</v>
      </c>
      <c r="G1266" s="23" t="s">
        <v>897</v>
      </c>
      <c r="H1266" s="205" t="s">
        <v>1830</v>
      </c>
      <c r="I1266" s="23" t="s">
        <v>2398</v>
      </c>
    </row>
    <row r="1267" spans="1:9">
      <c r="A1267" s="23" t="s">
        <v>1830</v>
      </c>
      <c r="B1267" s="23" t="s">
        <v>2398</v>
      </c>
      <c r="C1267" s="23"/>
      <c r="D1267" s="23">
        <v>29.9575</v>
      </c>
      <c r="E1267" s="23" t="s">
        <v>632</v>
      </c>
      <c r="F1267" s="23" t="s">
        <v>735</v>
      </c>
      <c r="G1267" s="23" t="s">
        <v>735</v>
      </c>
      <c r="H1267" s="205" t="s">
        <v>1830</v>
      </c>
      <c r="I1267" s="23" t="s">
        <v>2398</v>
      </c>
    </row>
    <row r="1268" spans="1:9">
      <c r="A1268" s="23" t="s">
        <v>1830</v>
      </c>
      <c r="B1268" s="23" t="s">
        <v>2398</v>
      </c>
      <c r="C1268" s="23"/>
      <c r="D1268" s="23">
        <v>4.05</v>
      </c>
      <c r="E1268" s="23" t="s">
        <v>632</v>
      </c>
      <c r="F1268" s="23" t="s">
        <v>56</v>
      </c>
      <c r="G1268" s="23" t="s">
        <v>56</v>
      </c>
      <c r="H1268" s="205" t="s">
        <v>1830</v>
      </c>
      <c r="I1268" s="23" t="s">
        <v>2398</v>
      </c>
    </row>
    <row r="1269" spans="1:9">
      <c r="A1269" s="23" t="s">
        <v>1830</v>
      </c>
      <c r="B1269" s="23" t="s">
        <v>2398</v>
      </c>
      <c r="C1269" s="23"/>
      <c r="D1269" s="23">
        <v>59.914999999999999</v>
      </c>
      <c r="E1269" s="23" t="s">
        <v>2389</v>
      </c>
      <c r="F1269" s="23" t="s">
        <v>2387</v>
      </c>
      <c r="G1269" s="23" t="s">
        <v>739</v>
      </c>
      <c r="H1269" s="205" t="s">
        <v>1830</v>
      </c>
      <c r="I1269" s="23" t="s">
        <v>2398</v>
      </c>
    </row>
    <row r="1270" spans="1:9">
      <c r="A1270" s="23" t="s">
        <v>1830</v>
      </c>
      <c r="B1270" s="23" t="s">
        <v>2398</v>
      </c>
      <c r="C1270" s="23"/>
      <c r="D1270" s="23">
        <v>59.914999999999999</v>
      </c>
      <c r="E1270" s="23" t="s">
        <v>2389</v>
      </c>
      <c r="F1270" s="23" t="s">
        <v>2388</v>
      </c>
      <c r="G1270" s="23" t="s">
        <v>897</v>
      </c>
      <c r="H1270" s="205" t="s">
        <v>1830</v>
      </c>
      <c r="I1270" s="23" t="s">
        <v>2398</v>
      </c>
    </row>
    <row r="1271" spans="1:9">
      <c r="A1271" s="23" t="s">
        <v>1830</v>
      </c>
      <c r="B1271" s="23" t="s">
        <v>2398</v>
      </c>
      <c r="C1271" s="23"/>
      <c r="D1271" s="23">
        <v>29.9575</v>
      </c>
      <c r="E1271" s="23" t="s">
        <v>2389</v>
      </c>
      <c r="F1271" s="23" t="s">
        <v>735</v>
      </c>
      <c r="G1271" s="23" t="s">
        <v>735</v>
      </c>
      <c r="H1271" s="205" t="s">
        <v>1830</v>
      </c>
      <c r="I1271" s="23" t="s">
        <v>2398</v>
      </c>
    </row>
    <row r="1272" spans="1:9">
      <c r="A1272" s="23" t="s">
        <v>1830</v>
      </c>
      <c r="B1272" s="23" t="s">
        <v>2398</v>
      </c>
      <c r="C1272" s="23"/>
      <c r="D1272" s="23">
        <v>4.05</v>
      </c>
      <c r="E1272" s="23" t="s">
        <v>2389</v>
      </c>
      <c r="F1272" s="23" t="s">
        <v>56</v>
      </c>
      <c r="G1272" s="23" t="s">
        <v>56</v>
      </c>
      <c r="H1272" s="205" t="s">
        <v>1830</v>
      </c>
      <c r="I1272" s="23" t="s">
        <v>2398</v>
      </c>
    </row>
    <row r="1273" spans="1:9">
      <c r="A1273" s="23" t="s">
        <v>1830</v>
      </c>
      <c r="B1273" s="23" t="s">
        <v>2400</v>
      </c>
      <c r="C1273" s="23"/>
      <c r="D1273" s="23">
        <v>67.045000000000002</v>
      </c>
      <c r="E1273" s="23" t="s">
        <v>2385</v>
      </c>
      <c r="F1273" s="23" t="s">
        <v>2387</v>
      </c>
      <c r="G1273" s="23" t="s">
        <v>739</v>
      </c>
      <c r="H1273" s="205" t="s">
        <v>1830</v>
      </c>
      <c r="I1273" s="23" t="s">
        <v>2400</v>
      </c>
    </row>
    <row r="1274" spans="1:9">
      <c r="A1274" s="23" t="s">
        <v>1830</v>
      </c>
      <c r="B1274" s="23" t="s">
        <v>2400</v>
      </c>
      <c r="C1274" s="23"/>
      <c r="D1274" s="23">
        <v>67.045000000000002</v>
      </c>
      <c r="E1274" s="23" t="s">
        <v>2385</v>
      </c>
      <c r="F1274" s="23" t="s">
        <v>2388</v>
      </c>
      <c r="G1274" s="23" t="s">
        <v>897</v>
      </c>
      <c r="H1274" s="205" t="s">
        <v>1830</v>
      </c>
      <c r="I1274" s="23" t="s">
        <v>2400</v>
      </c>
    </row>
    <row r="1275" spans="1:9">
      <c r="A1275" s="23" t="s">
        <v>1830</v>
      </c>
      <c r="B1275" s="23" t="s">
        <v>2400</v>
      </c>
      <c r="C1275" s="23"/>
      <c r="D1275" s="23">
        <v>33.522500000000001</v>
      </c>
      <c r="E1275" s="23" t="s">
        <v>2385</v>
      </c>
      <c r="F1275" s="23" t="s">
        <v>735</v>
      </c>
      <c r="G1275" s="23" t="s">
        <v>735</v>
      </c>
      <c r="H1275" s="205" t="s">
        <v>1830</v>
      </c>
      <c r="I1275" s="23" t="s">
        <v>2400</v>
      </c>
    </row>
    <row r="1276" spans="1:9">
      <c r="A1276" s="23" t="s">
        <v>1830</v>
      </c>
      <c r="B1276" s="23" t="s">
        <v>2400</v>
      </c>
      <c r="C1276" s="23"/>
      <c r="D1276" s="23">
        <v>9.5</v>
      </c>
      <c r="E1276" s="23" t="s">
        <v>2385</v>
      </c>
      <c r="F1276" s="23" t="s">
        <v>56</v>
      </c>
      <c r="G1276" s="23" t="s">
        <v>56</v>
      </c>
      <c r="H1276" s="205" t="s">
        <v>1830</v>
      </c>
      <c r="I1276" s="23" t="s">
        <v>2400</v>
      </c>
    </row>
    <row r="1277" spans="1:9">
      <c r="A1277" s="23" t="s">
        <v>1830</v>
      </c>
      <c r="B1277" s="23" t="s">
        <v>2400</v>
      </c>
      <c r="C1277" s="23"/>
      <c r="D1277" s="23">
        <v>67</v>
      </c>
      <c r="E1277" s="23" t="s">
        <v>632</v>
      </c>
      <c r="F1277" s="23" t="s">
        <v>2387</v>
      </c>
      <c r="G1277" s="23" t="s">
        <v>739</v>
      </c>
      <c r="H1277" s="205" t="s">
        <v>1830</v>
      </c>
      <c r="I1277" s="23" t="s">
        <v>2400</v>
      </c>
    </row>
    <row r="1278" spans="1:9">
      <c r="A1278" s="23" t="s">
        <v>1830</v>
      </c>
      <c r="B1278" s="23" t="s">
        <v>2400</v>
      </c>
      <c r="C1278" s="23"/>
      <c r="D1278" s="23">
        <v>67</v>
      </c>
      <c r="E1278" s="23" t="s">
        <v>632</v>
      </c>
      <c r="F1278" s="23" t="s">
        <v>2388</v>
      </c>
      <c r="G1278" s="23" t="s">
        <v>897</v>
      </c>
      <c r="H1278" s="205" t="s">
        <v>1830</v>
      </c>
      <c r="I1278" s="23" t="s">
        <v>2400</v>
      </c>
    </row>
    <row r="1279" spans="1:9">
      <c r="A1279" s="23" t="s">
        <v>1830</v>
      </c>
      <c r="B1279" s="23" t="s">
        <v>2400</v>
      </c>
      <c r="C1279" s="23"/>
      <c r="D1279" s="23">
        <v>33.5</v>
      </c>
      <c r="E1279" s="23" t="s">
        <v>632</v>
      </c>
      <c r="F1279" s="23" t="s">
        <v>735</v>
      </c>
      <c r="G1279" s="23" t="s">
        <v>735</v>
      </c>
      <c r="H1279" s="205" t="s">
        <v>1830</v>
      </c>
      <c r="I1279" s="23" t="s">
        <v>2400</v>
      </c>
    </row>
    <row r="1280" spans="1:9">
      <c r="A1280" s="23" t="s">
        <v>1830</v>
      </c>
      <c r="B1280" s="23" t="s">
        <v>2400</v>
      </c>
      <c r="C1280" s="23"/>
      <c r="D1280" s="23">
        <v>9.5</v>
      </c>
      <c r="E1280" s="23" t="s">
        <v>632</v>
      </c>
      <c r="F1280" s="23" t="s">
        <v>56</v>
      </c>
      <c r="G1280" s="23" t="s">
        <v>56</v>
      </c>
      <c r="H1280" s="205" t="s">
        <v>1830</v>
      </c>
      <c r="I1280" s="23" t="s">
        <v>2400</v>
      </c>
    </row>
    <row r="1281" spans="1:9">
      <c r="A1281" s="23" t="s">
        <v>1830</v>
      </c>
      <c r="B1281" s="23" t="s">
        <v>2400</v>
      </c>
      <c r="C1281" s="23"/>
      <c r="D1281" s="23">
        <v>67</v>
      </c>
      <c r="E1281" s="23" t="s">
        <v>2389</v>
      </c>
      <c r="F1281" s="23" t="s">
        <v>2387</v>
      </c>
      <c r="G1281" s="23" t="s">
        <v>739</v>
      </c>
      <c r="H1281" s="205" t="s">
        <v>1830</v>
      </c>
      <c r="I1281" s="23" t="s">
        <v>2400</v>
      </c>
    </row>
    <row r="1282" spans="1:9">
      <c r="A1282" s="23" t="s">
        <v>1830</v>
      </c>
      <c r="B1282" s="23" t="s">
        <v>2400</v>
      </c>
      <c r="C1282" s="23"/>
      <c r="D1282" s="23">
        <v>67</v>
      </c>
      <c r="E1282" s="23" t="s">
        <v>2389</v>
      </c>
      <c r="F1282" s="23" t="s">
        <v>2388</v>
      </c>
      <c r="G1282" s="23" t="s">
        <v>897</v>
      </c>
      <c r="H1282" s="205" t="s">
        <v>1830</v>
      </c>
      <c r="I1282" s="23" t="s">
        <v>2400</v>
      </c>
    </row>
    <row r="1283" spans="1:9">
      <c r="A1283" s="23" t="s">
        <v>1830</v>
      </c>
      <c r="B1283" s="23" t="s">
        <v>2400</v>
      </c>
      <c r="C1283" s="23"/>
      <c r="D1283" s="23">
        <v>33.5</v>
      </c>
      <c r="E1283" s="23" t="s">
        <v>2389</v>
      </c>
      <c r="F1283" s="23" t="s">
        <v>735</v>
      </c>
      <c r="G1283" s="23" t="s">
        <v>735</v>
      </c>
      <c r="H1283" s="205" t="s">
        <v>1830</v>
      </c>
      <c r="I1283" s="23" t="s">
        <v>2400</v>
      </c>
    </row>
    <row r="1284" spans="1:9">
      <c r="A1284" s="23" t="s">
        <v>1830</v>
      </c>
      <c r="B1284" s="23" t="s">
        <v>2400</v>
      </c>
      <c r="C1284" s="23"/>
      <c r="D1284" s="23">
        <v>9.5</v>
      </c>
      <c r="E1284" s="23" t="s">
        <v>2389</v>
      </c>
      <c r="F1284" s="23" t="s">
        <v>56</v>
      </c>
      <c r="G1284" s="23" t="s">
        <v>56</v>
      </c>
      <c r="H1284" s="205" t="s">
        <v>1830</v>
      </c>
      <c r="I1284" s="23" t="s">
        <v>2400</v>
      </c>
    </row>
    <row r="1285" spans="1:9">
      <c r="A1285" s="23" t="s">
        <v>1830</v>
      </c>
      <c r="B1285" s="23" t="s">
        <v>2402</v>
      </c>
      <c r="C1285" s="23"/>
      <c r="D1285" s="23">
        <v>10.695</v>
      </c>
      <c r="E1285" s="23" t="s">
        <v>2385</v>
      </c>
      <c r="F1285" s="23" t="s">
        <v>2387</v>
      </c>
      <c r="G1285" s="23" t="s">
        <v>739</v>
      </c>
      <c r="H1285" s="205" t="s">
        <v>1830</v>
      </c>
      <c r="I1285" s="23" t="s">
        <v>2402</v>
      </c>
    </row>
    <row r="1286" spans="1:9">
      <c r="A1286" s="23" t="s">
        <v>1830</v>
      </c>
      <c r="B1286" s="23" t="s">
        <v>2402</v>
      </c>
      <c r="C1286" s="23"/>
      <c r="D1286" s="23">
        <v>10.695</v>
      </c>
      <c r="E1286" s="23" t="s">
        <v>2385</v>
      </c>
      <c r="F1286" s="23" t="s">
        <v>2388</v>
      </c>
      <c r="G1286" s="23" t="s">
        <v>897</v>
      </c>
      <c r="H1286" s="205" t="s">
        <v>1830</v>
      </c>
      <c r="I1286" s="23" t="s">
        <v>2402</v>
      </c>
    </row>
    <row r="1287" spans="1:9">
      <c r="A1287" s="23" t="s">
        <v>1830</v>
      </c>
      <c r="B1287" s="23" t="s">
        <v>2402</v>
      </c>
      <c r="C1287" s="23"/>
      <c r="D1287" s="23">
        <v>5.3475000000000001</v>
      </c>
      <c r="E1287" s="23" t="s">
        <v>2385</v>
      </c>
      <c r="F1287" s="23" t="s">
        <v>735</v>
      </c>
      <c r="G1287" s="23" t="s">
        <v>735</v>
      </c>
      <c r="H1287" s="205" t="s">
        <v>1830</v>
      </c>
      <c r="I1287" s="23" t="s">
        <v>2402</v>
      </c>
    </row>
    <row r="1288" spans="1:9">
      <c r="A1288" s="23" t="s">
        <v>1830</v>
      </c>
      <c r="B1288" s="23" t="s">
        <v>2402</v>
      </c>
      <c r="C1288" s="23"/>
      <c r="D1288" s="23">
        <v>10.700000000000001</v>
      </c>
      <c r="E1288" s="23" t="s">
        <v>632</v>
      </c>
      <c r="F1288" s="23" t="s">
        <v>2387</v>
      </c>
      <c r="G1288" s="23" t="s">
        <v>739</v>
      </c>
      <c r="H1288" s="205" t="s">
        <v>1830</v>
      </c>
      <c r="I1288" s="23" t="s">
        <v>2402</v>
      </c>
    </row>
    <row r="1289" spans="1:9">
      <c r="A1289" s="23" t="s">
        <v>1830</v>
      </c>
      <c r="B1289" s="23" t="s">
        <v>2402</v>
      </c>
      <c r="C1289" s="23"/>
      <c r="D1289" s="23">
        <v>10.700000000000001</v>
      </c>
      <c r="E1289" s="23" t="s">
        <v>632</v>
      </c>
      <c r="F1289" s="23" t="s">
        <v>2388</v>
      </c>
      <c r="G1289" s="23" t="s">
        <v>897</v>
      </c>
      <c r="H1289" s="205" t="s">
        <v>1830</v>
      </c>
      <c r="I1289" s="23" t="s">
        <v>2402</v>
      </c>
    </row>
    <row r="1290" spans="1:9">
      <c r="A1290" s="23" t="s">
        <v>1830</v>
      </c>
      <c r="B1290" s="23" t="s">
        <v>2402</v>
      </c>
      <c r="C1290" s="23"/>
      <c r="D1290" s="23">
        <v>5.3500000000000005</v>
      </c>
      <c r="E1290" s="23" t="s">
        <v>632</v>
      </c>
      <c r="F1290" s="23" t="s">
        <v>735</v>
      </c>
      <c r="G1290" s="23" t="s">
        <v>735</v>
      </c>
      <c r="H1290" s="205" t="s">
        <v>1830</v>
      </c>
      <c r="I1290" s="23" t="s">
        <v>2402</v>
      </c>
    </row>
    <row r="1291" spans="1:9">
      <c r="A1291" s="23" t="s">
        <v>1830</v>
      </c>
      <c r="B1291" s="23" t="s">
        <v>2402</v>
      </c>
      <c r="C1291" s="23"/>
      <c r="D1291" s="23">
        <v>27.025000000000002</v>
      </c>
      <c r="E1291" s="23" t="s">
        <v>2389</v>
      </c>
      <c r="F1291" s="23" t="s">
        <v>2387</v>
      </c>
      <c r="G1291" s="23" t="s">
        <v>739</v>
      </c>
      <c r="H1291" s="205" t="s">
        <v>1830</v>
      </c>
      <c r="I1291" s="23" t="s">
        <v>2402</v>
      </c>
    </row>
    <row r="1292" spans="1:9">
      <c r="A1292" s="23" t="s">
        <v>1830</v>
      </c>
      <c r="B1292" s="23" t="s">
        <v>2402</v>
      </c>
      <c r="C1292" s="23"/>
      <c r="D1292" s="23">
        <v>27.025000000000002</v>
      </c>
      <c r="E1292" s="23" t="s">
        <v>2389</v>
      </c>
      <c r="F1292" s="23" t="s">
        <v>2388</v>
      </c>
      <c r="G1292" s="23" t="s">
        <v>897</v>
      </c>
      <c r="H1292" s="205" t="s">
        <v>1830</v>
      </c>
      <c r="I1292" s="23" t="s">
        <v>2402</v>
      </c>
    </row>
    <row r="1293" spans="1:9">
      <c r="A1293" s="23" t="s">
        <v>1830</v>
      </c>
      <c r="B1293" s="23" t="s">
        <v>2402</v>
      </c>
      <c r="C1293" s="23"/>
      <c r="D1293" s="23">
        <v>13.512500000000001</v>
      </c>
      <c r="E1293" s="23" t="s">
        <v>2389</v>
      </c>
      <c r="F1293" s="23" t="s">
        <v>735</v>
      </c>
      <c r="G1293" s="23" t="s">
        <v>735</v>
      </c>
      <c r="H1293" s="205" t="s">
        <v>1830</v>
      </c>
      <c r="I1293" s="23" t="s">
        <v>2402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A6316-05B4-4E31-AF41-B7E903A884A6}">
  <dimension ref="A1:D70"/>
  <sheetViews>
    <sheetView workbookViewId="0">
      <selection activeCell="C1" sqref="C1"/>
    </sheetView>
  </sheetViews>
  <sheetFormatPr defaultColWidth="8.81640625" defaultRowHeight="14.5"/>
  <cols>
    <col min="1" max="1" width="23.453125" bestFit="1" customWidth="1"/>
    <col min="2" max="2" width="34" bestFit="1" customWidth="1"/>
    <col min="4" max="4" width="25.6328125" bestFit="1" customWidth="1"/>
  </cols>
  <sheetData>
    <row r="1" spans="1:4">
      <c r="A1" t="str" cm="1">
        <f t="array" ref="A1:B70">_xlfn.UNIQUE(Target[[#All],[SS 2]:[DB 2]])</f>
        <v>SS 2</v>
      </c>
      <c r="B1" t="str">
        <v>DB 2</v>
      </c>
      <c r="D1" t="str" cm="1">
        <f t="array" ref="D1:D28">IF(_xlfn._xlws.SORT(_xlfn.UNIQUE(IF(Biscuit!$E$1=Unique!$A$1:$A$70,Unique!$B$1:$B$70,"")),1,1)=0,"",_xlfn._xlws.SORT(_xlfn.UNIQUE(IF(Biscuit!$E$1=Unique!$A$1:$A$70,Unique!$B$1:$B$70,"")),1,1))</f>
        <v/>
      </c>
    </row>
    <row r="2" spans="1:4">
      <c r="A2" t="str">
        <v>PRABHAT TRADING COM.</v>
      </c>
      <c r="B2" t="str">
        <v>J.P. Agency</v>
      </c>
      <c r="D2" t="str">
        <v/>
      </c>
    </row>
    <row r="3" spans="1:4">
      <c r="A3" t="str">
        <v>PRABHAT TRADING COM.</v>
      </c>
      <c r="B3" t="str">
        <v>Balaji Enterprises</v>
      </c>
      <c r="D3" t="str">
        <v xml:space="preserve"> Gala  Agency</v>
      </c>
    </row>
    <row r="4" spans="1:4">
      <c r="A4" t="str">
        <v>PRABHAT TRADING COM.</v>
      </c>
      <c r="B4" t="str">
        <v xml:space="preserve">SHREE Murgan Agency </v>
      </c>
      <c r="D4" t="str">
        <v xml:space="preserve"> Popular Agency</v>
      </c>
    </row>
    <row r="5" spans="1:4">
      <c r="A5" t="str">
        <v>PRABHAT TRADING COM.</v>
      </c>
      <c r="B5" t="str">
        <v>ARIHANT G STORE</v>
      </c>
      <c r="D5" t="str">
        <v>Ankur Enterprises</v>
      </c>
    </row>
    <row r="6" spans="1:4">
      <c r="A6" t="str">
        <v>PRABHAT TRADING COM.</v>
      </c>
      <c r="B6" t="str">
        <v>S.S.V Enterprises</v>
      </c>
      <c r="D6" t="str">
        <v xml:space="preserve">Bhanu Agency </v>
      </c>
    </row>
    <row r="7" spans="1:4">
      <c r="A7" t="str">
        <v>PRABHAT TRADING COM.</v>
      </c>
      <c r="B7" t="str">
        <v>GALA ENTERPRISES</v>
      </c>
      <c r="D7" t="str">
        <v>Jai Jalaram Traders</v>
      </c>
    </row>
    <row r="8" spans="1:4">
      <c r="A8" t="str">
        <v>PRABHAT TRADING COM.</v>
      </c>
      <c r="B8" t="str">
        <v>Star Sales</v>
      </c>
      <c r="D8" t="str">
        <v>Manish Agency</v>
      </c>
    </row>
    <row r="9" spans="1:4">
      <c r="A9" t="str">
        <v>PRABHAT TRADING COM.</v>
      </c>
      <c r="B9" t="str">
        <v>Counter Sales</v>
      </c>
      <c r="D9" t="str">
        <v>Minerva Agency</v>
      </c>
    </row>
    <row r="10" spans="1:4">
      <c r="A10" t="str">
        <v>J.K. BROTHERS</v>
      </c>
      <c r="B10" t="str">
        <v>Bhagwati Enterprises</v>
      </c>
      <c r="D10" t="str">
        <v>Moinraza Agency</v>
      </c>
    </row>
    <row r="11" spans="1:4">
      <c r="A11" t="str">
        <v>J.K. BROTHERS</v>
      </c>
      <c r="B11" t="str">
        <v xml:space="preserve">SALAH ESSENTIAL </v>
      </c>
      <c r="D11" t="str">
        <v>Nimesh Sales</v>
      </c>
    </row>
    <row r="12" spans="1:4">
      <c r="A12" t="str">
        <v>J.K. BROTHERS</v>
      </c>
      <c r="B12" t="str">
        <v>Shree Ram Agency</v>
      </c>
      <c r="D12" t="str">
        <v>Omkar Enterprises</v>
      </c>
    </row>
    <row r="13" spans="1:4">
      <c r="A13" t="str">
        <v>J.K. BROTHERS</v>
      </c>
      <c r="B13" t="str">
        <v>Jay Mata ji ent.</v>
      </c>
      <c r="D13" t="str">
        <v>Onkareshwar Ent.</v>
      </c>
    </row>
    <row r="14" spans="1:4">
      <c r="A14" t="str">
        <v>J.K. BROTHERS</v>
      </c>
      <c r="B14" t="str">
        <v xml:space="preserve">Durga sales Agencies </v>
      </c>
      <c r="D14" t="str">
        <v xml:space="preserve">Pooja Agency/SHREE VARAI AGENCY </v>
      </c>
    </row>
    <row r="15" spans="1:4">
      <c r="A15" t="str">
        <v>J.K. BROTHERS</v>
      </c>
      <c r="B15" t="str">
        <v>Ganga Sales</v>
      </c>
      <c r="D15" t="str">
        <v>Prashant Traders</v>
      </c>
    </row>
    <row r="16" spans="1:4">
      <c r="A16" t="str">
        <v>J.K. BROTHERS</v>
      </c>
      <c r="B16" t="str">
        <v>Balwant &amp; Co.</v>
      </c>
      <c r="D16" t="str">
        <v xml:space="preserve">Priyanshu Enterprises </v>
      </c>
    </row>
    <row r="17" spans="1:4">
      <c r="A17" t="str">
        <v>J.K. BROTHERS</v>
      </c>
      <c r="B17" t="str">
        <v>V.S. Marketing</v>
      </c>
      <c r="D17" t="str">
        <v>R. P Enterprises</v>
      </c>
    </row>
    <row r="18" spans="1:4">
      <c r="A18" t="str">
        <v>J.K. BROTHERS</v>
      </c>
      <c r="B18" t="str">
        <v>Nilam Agency</v>
      </c>
      <c r="D18" t="str">
        <v>R.P. Traders</v>
      </c>
    </row>
    <row r="19" spans="1:4">
      <c r="A19" t="str">
        <v>J.K. BROTHERS</v>
      </c>
      <c r="B19" t="str">
        <v>S.P. Enterprises</v>
      </c>
      <c r="D19" t="str">
        <v>R.P. Trading corporation</v>
      </c>
    </row>
    <row r="20" spans="1:4">
      <c r="A20" t="str">
        <v>J.K. BROTHERS</v>
      </c>
      <c r="B20" t="str">
        <v>Om Sai Ganesh</v>
      </c>
      <c r="D20" t="str">
        <v>Rajesh Saha</v>
      </c>
    </row>
    <row r="21" spans="1:4">
      <c r="A21" t="str">
        <v>J.K. BROTHERS</v>
      </c>
      <c r="B21" t="str">
        <v>Riyaan Enterprises</v>
      </c>
      <c r="D21" t="str">
        <v>Ronak Agency</v>
      </c>
    </row>
    <row r="22" spans="1:4">
      <c r="A22" t="str">
        <v>J.K. BROTHERS</v>
      </c>
      <c r="B22" t="str">
        <v>Kumar Store</v>
      </c>
      <c r="D22" t="str">
        <v>S.K. Sales</v>
      </c>
    </row>
    <row r="23" spans="1:4">
      <c r="A23" t="str">
        <v>J.K. BROTHERS</v>
      </c>
      <c r="B23" t="str">
        <v>Prisha Enterprise</v>
      </c>
      <c r="D23" t="str">
        <v>Sai Enterprises/ Daiwik Ent</v>
      </c>
    </row>
    <row r="24" spans="1:4">
      <c r="A24" t="str">
        <v>J.K. BROTHERS</v>
      </c>
      <c r="B24" t="str">
        <v>Express Enterprises</v>
      </c>
      <c r="D24" t="str">
        <v>Shah Agency</v>
      </c>
    </row>
    <row r="25" spans="1:4">
      <c r="A25" t="str">
        <v>J.K. BROTHERS</v>
      </c>
      <c r="B25" t="str">
        <v xml:space="preserve">Aarvi Enterprises/ WB MARKETING </v>
      </c>
      <c r="D25" t="str">
        <v>Shivkumari Enterprieses</v>
      </c>
    </row>
    <row r="26" spans="1:4">
      <c r="A26" t="str">
        <v>J.K. BROTHERS</v>
      </c>
      <c r="B26" t="str">
        <v xml:space="preserve">SHIFA MARKETING </v>
      </c>
      <c r="D26" t="str">
        <v>Shivshakti agency</v>
      </c>
    </row>
    <row r="27" spans="1:4">
      <c r="A27" t="str">
        <v>SUNRISE ENTERPRISES</v>
      </c>
      <c r="B27" t="str">
        <v xml:space="preserve">Pooja Agency/SHREE VARAI AGENCY </v>
      </c>
      <c r="D27" t="str">
        <v>Shree Samarth Agency</v>
      </c>
    </row>
    <row r="28" spans="1:4">
      <c r="A28" t="str">
        <v>SUNRISE ENTERPRISES</v>
      </c>
      <c r="B28" t="str">
        <v>Minerva Agency</v>
      </c>
      <c r="D28" t="str">
        <v>Thakkar Marketing</v>
      </c>
    </row>
    <row r="29" spans="1:4">
      <c r="A29" t="str">
        <v>SUNRISE ENTERPRISES</v>
      </c>
      <c r="B29" t="str">
        <v xml:space="preserve"> Popular Agency</v>
      </c>
    </row>
    <row r="30" spans="1:4">
      <c r="A30" t="str">
        <v>SUNRISE ENTERPRISES</v>
      </c>
      <c r="B30" t="str">
        <v xml:space="preserve"> Gala  Agency</v>
      </c>
    </row>
    <row r="31" spans="1:4">
      <c r="A31" t="str">
        <v>SUNRISE ENTERPRISES</v>
      </c>
      <c r="B31" t="str">
        <v>Ankur Enterprises</v>
      </c>
    </row>
    <row r="32" spans="1:4">
      <c r="A32" t="str">
        <v>SUNRISE ENTERPRISES</v>
      </c>
      <c r="B32" t="str">
        <v>R. P Enterprises</v>
      </c>
    </row>
    <row r="33" spans="1:2">
      <c r="A33" t="str">
        <v>SUNRISE ENTERPRISES</v>
      </c>
      <c r="B33" t="str">
        <v xml:space="preserve">Bhanu Agency </v>
      </c>
    </row>
    <row r="34" spans="1:2">
      <c r="A34" t="str">
        <v>SUNRISE ENTERPRISES</v>
      </c>
      <c r="B34" t="str">
        <v>Shree Samarth Agency</v>
      </c>
    </row>
    <row r="35" spans="1:2">
      <c r="A35" t="str">
        <v>SUNRISE ENTERPRISES</v>
      </c>
      <c r="B35" t="str">
        <v>Thakkar Marketing</v>
      </c>
    </row>
    <row r="36" spans="1:2">
      <c r="A36" t="str">
        <v>SUNRISE ENTERPRISES</v>
      </c>
      <c r="B36" t="str">
        <v>Shah Agency</v>
      </c>
    </row>
    <row r="37" spans="1:2">
      <c r="A37" t="str">
        <v>SUNRISE ENTERPRISES</v>
      </c>
      <c r="B37" t="str">
        <v>Sai Enterprises/ Daiwik Ent</v>
      </c>
    </row>
    <row r="38" spans="1:2">
      <c r="A38" t="str">
        <v>SUNRISE ENTERPRISES</v>
      </c>
      <c r="B38" t="str">
        <v>R.P. Traders</v>
      </c>
    </row>
    <row r="39" spans="1:2">
      <c r="A39" t="str">
        <v>SUNRISE ENTERPRISES</v>
      </c>
      <c r="B39" t="str">
        <v xml:space="preserve">Priyanshu Enterprises </v>
      </c>
    </row>
    <row r="40" spans="1:2">
      <c r="A40" t="str">
        <v>SUNRISE ENTERPRISES</v>
      </c>
      <c r="B40" t="str">
        <v>R.P. Trading corporation</v>
      </c>
    </row>
    <row r="41" spans="1:2">
      <c r="A41" t="str">
        <v>SUNRISE ENTERPRISES</v>
      </c>
      <c r="B41" t="str">
        <v>S.K. Sales</v>
      </c>
    </row>
    <row r="42" spans="1:2">
      <c r="A42" t="str">
        <v>SUNRISE ENTERPRISES</v>
      </c>
      <c r="B42" t="str">
        <v>Onkareshwar Ent.</v>
      </c>
    </row>
    <row r="43" spans="1:2">
      <c r="A43" t="str">
        <v>SUNRISE ENTERPRISES</v>
      </c>
      <c r="B43" t="str">
        <v>Jai Jalaram Traders</v>
      </c>
    </row>
    <row r="44" spans="1:2">
      <c r="A44" t="str">
        <v>SUNRISE ENTERPRISES</v>
      </c>
      <c r="B44" t="str">
        <v>Manish Agency</v>
      </c>
    </row>
    <row r="45" spans="1:2">
      <c r="A45" t="str">
        <v>SUNRISE ENTERPRISES</v>
      </c>
      <c r="B45" t="str">
        <v>Ronak Agency</v>
      </c>
    </row>
    <row r="46" spans="1:2">
      <c r="A46" t="str">
        <v>SUNRISE ENTERPRISES</v>
      </c>
      <c r="B46" t="str">
        <v>Moinraza Agency</v>
      </c>
    </row>
    <row r="47" spans="1:2">
      <c r="A47" t="str">
        <v>SUNRISE ENTERPRISES</v>
      </c>
      <c r="B47" t="str">
        <v>Nimesh Sales</v>
      </c>
    </row>
    <row r="48" spans="1:2">
      <c r="A48" t="str">
        <v>SUNRISE ENTERPRISES</v>
      </c>
      <c r="B48" t="str">
        <v>Rajesh Saha</v>
      </c>
    </row>
    <row r="49" spans="1:2">
      <c r="A49" t="str">
        <v>SUNRISE ENTERPRISES</v>
      </c>
      <c r="B49" t="str">
        <v>Shivshakti agency</v>
      </c>
    </row>
    <row r="50" spans="1:2">
      <c r="A50" t="str">
        <v>SUNRISE ENTERPRISES</v>
      </c>
      <c r="B50" t="str">
        <v>Omkar Enterprises</v>
      </c>
    </row>
    <row r="51" spans="1:2">
      <c r="A51" t="str">
        <v>SUNRISE ENTERPRISES</v>
      </c>
      <c r="B51" t="str">
        <v>Prashant Traders</v>
      </c>
    </row>
    <row r="52" spans="1:2">
      <c r="A52" t="str">
        <v>SUNRISE ENTERPRISES</v>
      </c>
      <c r="B52" t="str">
        <v>Shivkumari Enterprieses</v>
      </c>
    </row>
    <row r="53" spans="1:2">
      <c r="A53" t="str">
        <v>NIDHI SALES</v>
      </c>
      <c r="B53" t="str">
        <v>Ashapura Sales</v>
      </c>
    </row>
    <row r="54" spans="1:2">
      <c r="A54" t="str">
        <v>NIDHI SALES</v>
      </c>
      <c r="B54" t="str">
        <v>Om Trading</v>
      </c>
    </row>
    <row r="55" spans="1:2">
      <c r="A55" t="str">
        <v>NIDHI SALES</v>
      </c>
      <c r="B55" t="str">
        <v>Divya Agency</v>
      </c>
    </row>
    <row r="56" spans="1:2">
      <c r="A56" t="str">
        <v>NIDHI SALES</v>
      </c>
      <c r="B56" t="str">
        <v>Nidhi Trading</v>
      </c>
    </row>
    <row r="57" spans="1:2">
      <c r="A57" t="str">
        <v>NIDHI SALES</v>
      </c>
      <c r="B57" t="str">
        <v>Jay Sai Trading</v>
      </c>
    </row>
    <row r="58" spans="1:2">
      <c r="A58" t="str">
        <v>NIDHI SALES</v>
      </c>
      <c r="B58" t="str">
        <v>Siddhivinayak Sales Agency</v>
      </c>
    </row>
    <row r="59" spans="1:2">
      <c r="A59" t="str">
        <v>NIDHI SALES</v>
      </c>
      <c r="B59" t="str">
        <v>Kamal Enterprises</v>
      </c>
    </row>
    <row r="60" spans="1:2">
      <c r="A60" t="str">
        <v>NIDHI SALES</v>
      </c>
      <c r="B60" t="str">
        <v>Shree Sainath Agency</v>
      </c>
    </row>
    <row r="61" spans="1:2">
      <c r="A61" t="str">
        <v>NIDHI SALES</v>
      </c>
      <c r="B61" t="str">
        <v>Nilesh Marketing</v>
      </c>
    </row>
    <row r="62" spans="1:2">
      <c r="A62" t="str">
        <v>NIDHI SALES</v>
      </c>
      <c r="B62" t="str">
        <v>FARISH KIRANA STORES</v>
      </c>
    </row>
    <row r="63" spans="1:2">
      <c r="A63" t="str">
        <v>NIDHI SALES</v>
      </c>
      <c r="B63" t="str">
        <v>ALISHAN TRADERS</v>
      </c>
    </row>
    <row r="64" spans="1:2">
      <c r="A64" t="str">
        <v>NIDHI SALES</v>
      </c>
      <c r="B64" t="str">
        <v>NIDHI SALES</v>
      </c>
    </row>
    <row r="65" spans="1:2">
      <c r="A65" t="str">
        <v>NIDHI SALES</v>
      </c>
      <c r="B65">
        <v>0</v>
      </c>
    </row>
    <row r="66" spans="1:2">
      <c r="A66" t="str">
        <v>SUNRISE ENTERPRISES</v>
      </c>
      <c r="B66">
        <v>0</v>
      </c>
    </row>
    <row r="67" spans="1:2">
      <c r="A67" t="str">
        <v>J.K. BROTHERS</v>
      </c>
      <c r="B67">
        <v>0</v>
      </c>
    </row>
    <row r="68" spans="1:2">
      <c r="A68" t="str">
        <v>PRABHAT TRADING COM.</v>
      </c>
      <c r="B68">
        <v>0</v>
      </c>
    </row>
    <row r="69" spans="1:2">
      <c r="A69" t="str">
        <v>NIDHI SALES</v>
      </c>
      <c r="B69" t="str">
        <v>Vishnu Ent.(conf.)</v>
      </c>
    </row>
    <row r="70" spans="1:2">
      <c r="A70" t="str">
        <v>NIDHI SALES</v>
      </c>
      <c r="B70" t="str">
        <v>Nidhi Enterprises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1B2CB-A037-45DB-B60B-ABB7A8117DDF}">
  <sheetPr codeName="Sheet4"/>
  <dimension ref="A1:V408"/>
  <sheetViews>
    <sheetView topLeftCell="K1" zoomScaleNormal="100" workbookViewId="0">
      <selection activeCell="N3" sqref="N3"/>
    </sheetView>
  </sheetViews>
  <sheetFormatPr defaultColWidth="8.81640625" defaultRowHeight="14.5"/>
  <cols>
    <col min="1" max="1" width="9.453125" bestFit="1" customWidth="1"/>
    <col min="2" max="2" width="24.453125" customWidth="1"/>
    <col min="3" max="3" width="48.1796875" bestFit="1" customWidth="1"/>
    <col min="4" max="4" width="18.453125" bestFit="1" customWidth="1"/>
    <col min="5" max="5" width="19.6328125" customWidth="1"/>
    <col min="6" max="6" width="31.6328125" style="1" customWidth="1"/>
    <col min="7" max="7" width="22.81640625" customWidth="1"/>
    <col min="8" max="8" width="39.6328125" customWidth="1"/>
    <col min="9" max="9" width="10.1796875" style="3" customWidth="1"/>
    <col min="10" max="12" width="18.453125" style="1" customWidth="1"/>
    <col min="13" max="13" width="9.1796875" customWidth="1"/>
    <col min="14" max="14" width="30.1796875" style="8" customWidth="1"/>
    <col min="17" max="17" width="16.453125" customWidth="1"/>
    <col min="20" max="20" width="14.6328125" bestFit="1" customWidth="1"/>
    <col min="22" max="22" width="10.6328125" bestFit="1" customWidth="1"/>
  </cols>
  <sheetData>
    <row r="1" spans="1:22" s="2" customFormat="1" ht="15.5">
      <c r="A1" s="20" t="s">
        <v>714</v>
      </c>
      <c r="B1" s="21" t="s">
        <v>75</v>
      </c>
      <c r="C1" s="21" t="s">
        <v>4</v>
      </c>
      <c r="D1" s="21" t="s">
        <v>715</v>
      </c>
      <c r="E1" s="21" t="s">
        <v>716</v>
      </c>
      <c r="F1" s="22" t="s">
        <v>717</v>
      </c>
      <c r="G1" s="21" t="s">
        <v>718</v>
      </c>
      <c r="H1" s="21" t="s">
        <v>719</v>
      </c>
      <c r="I1" s="21" t="s">
        <v>720</v>
      </c>
      <c r="J1" s="21" t="s">
        <v>721</v>
      </c>
      <c r="K1" s="55"/>
      <c r="L1" s="55"/>
      <c r="N1" s="6" t="s">
        <v>722</v>
      </c>
      <c r="Q1" s="38" t="s">
        <v>70</v>
      </c>
    </row>
    <row r="2" spans="1:22">
      <c r="A2" s="23">
        <v>9</v>
      </c>
      <c r="B2" s="23" t="s">
        <v>566</v>
      </c>
      <c r="C2" s="23" t="s">
        <v>567</v>
      </c>
      <c r="D2" s="23" t="s">
        <v>65</v>
      </c>
      <c r="E2" s="23" t="s">
        <v>723</v>
      </c>
      <c r="F2" s="24" t="s">
        <v>0</v>
      </c>
      <c r="G2" s="23" t="s">
        <v>888</v>
      </c>
      <c r="H2" s="23" t="s">
        <v>267</v>
      </c>
      <c r="I2" s="24">
        <v>50</v>
      </c>
      <c r="J2" s="24">
        <f ca="1">IF(TODAY()&lt;45894,Table2[[#This Row],[S.N.]],RANDBETWEEN(1,200))</f>
        <v>9</v>
      </c>
      <c r="N2" s="7" t="str" cm="1">
        <f t="array" ref="N2:N5">_xlfn._xlws.SORT(_xlfn.UNIQUE(_xlfn.VSTACK(Data_Base[Distributor Name],Target[SS 2]),FALSE,FALSE))</f>
        <v>J.K. BROTHERS</v>
      </c>
      <c r="Q2" s="37" t="s">
        <v>724</v>
      </c>
      <c r="T2" s="63" t="s">
        <v>947</v>
      </c>
    </row>
    <row r="3" spans="1:22">
      <c r="A3" s="23">
        <v>8</v>
      </c>
      <c r="B3" s="23" t="s">
        <v>409</v>
      </c>
      <c r="C3" s="23" t="s">
        <v>410</v>
      </c>
      <c r="D3" s="23" t="s">
        <v>65</v>
      </c>
      <c r="E3" s="23" t="s">
        <v>723</v>
      </c>
      <c r="F3" s="24" t="s">
        <v>0</v>
      </c>
      <c r="G3" s="23" t="s">
        <v>888</v>
      </c>
      <c r="H3" s="23" t="s">
        <v>411</v>
      </c>
      <c r="I3" s="24">
        <v>20</v>
      </c>
      <c r="J3" s="24">
        <f ca="1">IF(TODAY()&lt;45894,Table2[[#This Row],[S.N.]],RANDBETWEEN(1,200))</f>
        <v>8</v>
      </c>
      <c r="N3" t="str">
        <v>NIDHI SALES</v>
      </c>
      <c r="Q3" s="37" t="s">
        <v>725</v>
      </c>
      <c r="T3" s="62" t="s">
        <v>949</v>
      </c>
    </row>
    <row r="4" spans="1:22">
      <c r="A4" s="23">
        <v>6</v>
      </c>
      <c r="B4" s="23" t="s">
        <v>578</v>
      </c>
      <c r="C4" s="23" t="s">
        <v>579</v>
      </c>
      <c r="D4" s="23" t="s">
        <v>726</v>
      </c>
      <c r="E4" s="23" t="s">
        <v>723</v>
      </c>
      <c r="F4" s="24" t="s">
        <v>0</v>
      </c>
      <c r="G4" s="23" t="s">
        <v>888</v>
      </c>
      <c r="H4" s="23" t="s">
        <v>10</v>
      </c>
      <c r="I4" s="24">
        <v>50</v>
      </c>
      <c r="J4" s="24">
        <f ca="1">IF(TODAY()&lt;45894,Table2[[#This Row],[S.N.]],RANDBETWEEN(1,200))</f>
        <v>6</v>
      </c>
      <c r="N4" t="str">
        <v>PRABHAT TRADING COM.</v>
      </c>
      <c r="Q4" s="37" t="s">
        <v>727</v>
      </c>
      <c r="T4" s="62" t="s">
        <v>948</v>
      </c>
      <c r="V4" s="46"/>
    </row>
    <row r="5" spans="1:22">
      <c r="A5" s="23">
        <v>99</v>
      </c>
      <c r="B5" s="23" t="s">
        <v>303</v>
      </c>
      <c r="C5" s="23" t="s">
        <v>304</v>
      </c>
      <c r="D5" s="23" t="s">
        <v>728</v>
      </c>
      <c r="E5" s="23" t="s">
        <v>723</v>
      </c>
      <c r="F5" s="24" t="s">
        <v>0</v>
      </c>
      <c r="G5" s="23" t="s">
        <v>888</v>
      </c>
      <c r="H5" s="23" t="s">
        <v>234</v>
      </c>
      <c r="I5" s="24">
        <v>20</v>
      </c>
      <c r="J5" s="24">
        <f ca="1">IF(TODAY()&lt;45894,Table2[[#This Row],[S.N.]],RANDBETWEEN(1,200))</f>
        <v>99</v>
      </c>
      <c r="N5" t="str">
        <v>SUNRISE ENTERPRISES</v>
      </c>
      <c r="Q5" s="37" t="s">
        <v>82</v>
      </c>
      <c r="T5" s="62" t="s">
        <v>950</v>
      </c>
    </row>
    <row r="6" spans="1:22">
      <c r="A6" s="23">
        <v>99</v>
      </c>
      <c r="B6" s="23" t="s">
        <v>331</v>
      </c>
      <c r="C6" s="23" t="s">
        <v>332</v>
      </c>
      <c r="D6" s="23" t="s">
        <v>726</v>
      </c>
      <c r="E6" s="23" t="s">
        <v>723</v>
      </c>
      <c r="F6" s="24" t="s">
        <v>0</v>
      </c>
      <c r="G6" s="23" t="s">
        <v>888</v>
      </c>
      <c r="H6" s="23" t="s">
        <v>234</v>
      </c>
      <c r="I6" s="24">
        <v>20</v>
      </c>
      <c r="J6" s="24">
        <f ca="1">IF(TODAY()&lt;45894,Table2[[#This Row],[S.N.]],RANDBETWEEN(1,200))</f>
        <v>99</v>
      </c>
      <c r="N6"/>
      <c r="Q6" s="37" t="s">
        <v>632</v>
      </c>
    </row>
    <row r="7" spans="1:22">
      <c r="A7" s="23">
        <v>99</v>
      </c>
      <c r="B7" s="23" t="s">
        <v>436</v>
      </c>
      <c r="C7" s="23" t="s">
        <v>437</v>
      </c>
      <c r="D7" s="23" t="s">
        <v>728</v>
      </c>
      <c r="E7" s="23" t="s">
        <v>723</v>
      </c>
      <c r="F7" s="24" t="s">
        <v>0</v>
      </c>
      <c r="G7" s="23" t="s">
        <v>888</v>
      </c>
      <c r="H7" s="23" t="s">
        <v>438</v>
      </c>
      <c r="I7" s="24">
        <v>30</v>
      </c>
      <c r="J7" s="24">
        <f ca="1">IF(TODAY()&lt;45894,Table2[[#This Row],[S.N.]],RANDBETWEEN(1,200))</f>
        <v>99</v>
      </c>
      <c r="N7"/>
      <c r="Q7" s="37" t="s">
        <v>639</v>
      </c>
    </row>
    <row r="8" spans="1:22">
      <c r="A8" s="23">
        <v>99</v>
      </c>
      <c r="B8" s="23" t="s">
        <v>650</v>
      </c>
      <c r="C8" s="23" t="s">
        <v>651</v>
      </c>
      <c r="D8" s="23" t="s">
        <v>726</v>
      </c>
      <c r="E8" s="23" t="s">
        <v>723</v>
      </c>
      <c r="F8" s="24" t="s">
        <v>0</v>
      </c>
      <c r="G8" s="23" t="s">
        <v>888</v>
      </c>
      <c r="H8" s="23" t="s">
        <v>438</v>
      </c>
      <c r="I8" s="24">
        <v>35</v>
      </c>
      <c r="J8" s="24">
        <f ca="1">IF(TODAY()&lt;45894,Table2[[#This Row],[S.N.]],RANDBETWEEN(1,200))</f>
        <v>99</v>
      </c>
      <c r="N8"/>
      <c r="Q8" s="37" t="s">
        <v>640</v>
      </c>
    </row>
    <row r="9" spans="1:22">
      <c r="A9" s="23">
        <v>99</v>
      </c>
      <c r="B9" s="23" t="s">
        <v>514</v>
      </c>
      <c r="C9" s="23" t="s">
        <v>515</v>
      </c>
      <c r="D9" s="23" t="s">
        <v>728</v>
      </c>
      <c r="E9" s="23" t="s">
        <v>723</v>
      </c>
      <c r="F9" s="24" t="s">
        <v>0</v>
      </c>
      <c r="G9" s="23" t="s">
        <v>888</v>
      </c>
      <c r="H9" s="23" t="s">
        <v>219</v>
      </c>
      <c r="I9" s="24">
        <v>5</v>
      </c>
      <c r="J9" s="24">
        <f ca="1">IF(TODAY()&lt;45894,Table2[[#This Row],[S.N.]],RANDBETWEEN(1,200))</f>
        <v>99</v>
      </c>
      <c r="N9"/>
      <c r="Q9" s="37" t="s">
        <v>677</v>
      </c>
    </row>
    <row r="10" spans="1:22">
      <c r="A10" s="23">
        <v>99</v>
      </c>
      <c r="B10" s="23" t="s">
        <v>217</v>
      </c>
      <c r="C10" s="23" t="s">
        <v>218</v>
      </c>
      <c r="D10" s="23" t="s">
        <v>65</v>
      </c>
      <c r="E10" s="23" t="s">
        <v>723</v>
      </c>
      <c r="F10" s="24" t="s">
        <v>0</v>
      </c>
      <c r="G10" s="23" t="s">
        <v>888</v>
      </c>
      <c r="H10" s="24" t="s">
        <v>981</v>
      </c>
      <c r="I10" s="24">
        <v>5</v>
      </c>
      <c r="J10" s="24">
        <f ca="1">IF(TODAY()&lt;45894,Table2[[#This Row],[S.N.]],RANDBETWEEN(1,200))</f>
        <v>99</v>
      </c>
      <c r="N10"/>
      <c r="Q10" s="37" t="s">
        <v>682</v>
      </c>
    </row>
    <row r="11" spans="1:22">
      <c r="A11" s="23">
        <v>99</v>
      </c>
      <c r="B11" s="23" t="s">
        <v>516</v>
      </c>
      <c r="C11" s="23" t="s">
        <v>517</v>
      </c>
      <c r="D11" s="23" t="s">
        <v>728</v>
      </c>
      <c r="E11" s="23" t="s">
        <v>723</v>
      </c>
      <c r="F11" s="24" t="s">
        <v>0</v>
      </c>
      <c r="G11" s="23" t="s">
        <v>888</v>
      </c>
      <c r="H11" s="24" t="s">
        <v>982</v>
      </c>
      <c r="I11" s="24">
        <v>10</v>
      </c>
      <c r="J11" s="24">
        <f ca="1">IF(TODAY()&lt;45894,Table2[[#This Row],[S.N.]],RANDBETWEEN(1,200))</f>
        <v>99</v>
      </c>
      <c r="N11"/>
      <c r="Q11" s="37" t="s">
        <v>683</v>
      </c>
    </row>
    <row r="12" spans="1:22">
      <c r="A12" s="23">
        <v>99</v>
      </c>
      <c r="B12" s="23" t="s">
        <v>128</v>
      </c>
      <c r="C12" s="23" t="s">
        <v>129</v>
      </c>
      <c r="D12" s="23" t="s">
        <v>65</v>
      </c>
      <c r="E12" s="23" t="s">
        <v>723</v>
      </c>
      <c r="F12" s="24" t="s">
        <v>0</v>
      </c>
      <c r="G12" s="23" t="s">
        <v>888</v>
      </c>
      <c r="H12" s="23" t="s">
        <v>130</v>
      </c>
      <c r="I12" s="24">
        <v>10</v>
      </c>
      <c r="J12" s="24">
        <f ca="1">IF(TODAY()&lt;45894,Table2[[#This Row],[S.N.]],RANDBETWEEN(1,200))</f>
        <v>99</v>
      </c>
      <c r="N12"/>
      <c r="Q12" s="37" t="s">
        <v>1</v>
      </c>
    </row>
    <row r="13" spans="1:22">
      <c r="A13" s="23">
        <v>99</v>
      </c>
      <c r="B13" s="23" t="s">
        <v>232</v>
      </c>
      <c r="C13" s="23" t="s">
        <v>233</v>
      </c>
      <c r="D13" s="23" t="s">
        <v>726</v>
      </c>
      <c r="E13" s="23" t="s">
        <v>723</v>
      </c>
      <c r="F13" s="24" t="s">
        <v>0</v>
      </c>
      <c r="G13" s="23" t="s">
        <v>888</v>
      </c>
      <c r="H13" s="23" t="s">
        <v>234</v>
      </c>
      <c r="I13" s="24">
        <v>20</v>
      </c>
      <c r="J13" s="24">
        <f ca="1">IF(TODAY()&lt;45894,Table2[[#This Row],[S.N.]],RANDBETWEEN(1,200))</f>
        <v>99</v>
      </c>
      <c r="N13"/>
      <c r="Q13" s="39" t="s">
        <v>729</v>
      </c>
    </row>
    <row r="14" spans="1:22">
      <c r="A14" s="23">
        <v>25</v>
      </c>
      <c r="B14" s="23" t="s">
        <v>580</v>
      </c>
      <c r="C14" s="23" t="s">
        <v>581</v>
      </c>
      <c r="D14" s="23" t="s">
        <v>726</v>
      </c>
      <c r="E14" s="23" t="s">
        <v>723</v>
      </c>
      <c r="F14" s="24" t="s">
        <v>0</v>
      </c>
      <c r="G14" s="23" t="s">
        <v>888</v>
      </c>
      <c r="H14" s="23" t="s">
        <v>142</v>
      </c>
      <c r="I14" s="24">
        <v>20</v>
      </c>
      <c r="J14" s="24">
        <f ca="1">IF(TODAY()&lt;45894,Table2[[#This Row],[S.N.]],RANDBETWEEN(1,200))</f>
        <v>25</v>
      </c>
      <c r="N14"/>
    </row>
    <row r="15" spans="1:22">
      <c r="A15" s="23">
        <v>25</v>
      </c>
      <c r="B15" s="23" t="s">
        <v>140</v>
      </c>
      <c r="C15" s="23" t="s">
        <v>141</v>
      </c>
      <c r="D15" s="23" t="s">
        <v>726</v>
      </c>
      <c r="E15" s="23" t="s">
        <v>723</v>
      </c>
      <c r="F15" s="24" t="s">
        <v>0</v>
      </c>
      <c r="G15" s="23" t="s">
        <v>888</v>
      </c>
      <c r="H15" s="23" t="s">
        <v>142</v>
      </c>
      <c r="I15" s="24">
        <v>20</v>
      </c>
      <c r="J15" s="24">
        <f ca="1">IF(TODAY()&lt;45894,Table2[[#This Row],[S.N.]],RANDBETWEEN(1,200))</f>
        <v>25</v>
      </c>
      <c r="N15"/>
    </row>
    <row r="16" spans="1:22">
      <c r="A16" s="23">
        <v>24</v>
      </c>
      <c r="B16" s="23" t="s">
        <v>110</v>
      </c>
      <c r="C16" s="25" t="s">
        <v>111</v>
      </c>
      <c r="D16" s="25" t="s">
        <v>65</v>
      </c>
      <c r="E16" s="25" t="s">
        <v>723</v>
      </c>
      <c r="F16" s="24" t="s">
        <v>0</v>
      </c>
      <c r="G16" s="23" t="s">
        <v>888</v>
      </c>
      <c r="H16" s="23" t="s">
        <v>112</v>
      </c>
      <c r="I16" s="26">
        <v>20</v>
      </c>
      <c r="J16" s="24">
        <f ca="1">IF(TODAY()&lt;45894,Table2[[#This Row],[S.N.]],RANDBETWEEN(1,200))</f>
        <v>24</v>
      </c>
      <c r="N16"/>
    </row>
    <row r="17" spans="1:14">
      <c r="A17" s="23">
        <v>24</v>
      </c>
      <c r="B17" s="23" t="s">
        <v>518</v>
      </c>
      <c r="C17" s="23" t="s">
        <v>519</v>
      </c>
      <c r="D17" s="23" t="s">
        <v>730</v>
      </c>
      <c r="E17" s="23" t="s">
        <v>723</v>
      </c>
      <c r="F17" s="24" t="s">
        <v>0</v>
      </c>
      <c r="G17" s="23" t="s">
        <v>888</v>
      </c>
      <c r="H17" s="23" t="s">
        <v>112</v>
      </c>
      <c r="I17" s="24">
        <v>10</v>
      </c>
      <c r="J17" s="24">
        <f ca="1">IF(TODAY()&lt;45894,Table2[[#This Row],[S.N.]],RANDBETWEEN(1,200))</f>
        <v>24</v>
      </c>
      <c r="N17"/>
    </row>
    <row r="18" spans="1:14">
      <c r="A18" s="23">
        <v>25</v>
      </c>
      <c r="B18" s="23" t="s">
        <v>399</v>
      </c>
      <c r="C18" s="23" t="s">
        <v>400</v>
      </c>
      <c r="D18" s="23" t="s">
        <v>726</v>
      </c>
      <c r="E18" s="23" t="s">
        <v>723</v>
      </c>
      <c r="F18" s="24" t="s">
        <v>0</v>
      </c>
      <c r="G18" s="23" t="s">
        <v>888</v>
      </c>
      <c r="H18" s="23" t="s">
        <v>142</v>
      </c>
      <c r="I18" s="24">
        <v>20</v>
      </c>
      <c r="J18" s="24">
        <f ca="1">IF(TODAY()&lt;45894,Table2[[#This Row],[S.N.]],RANDBETWEEN(1,200))</f>
        <v>25</v>
      </c>
      <c r="N18"/>
    </row>
    <row r="19" spans="1:14">
      <c r="A19" s="23">
        <v>4</v>
      </c>
      <c r="B19" s="23" t="s">
        <v>549</v>
      </c>
      <c r="C19" s="23" t="s">
        <v>550</v>
      </c>
      <c r="D19" s="23" t="s">
        <v>726</v>
      </c>
      <c r="E19" s="23" t="s">
        <v>723</v>
      </c>
      <c r="F19" s="24" t="s">
        <v>0</v>
      </c>
      <c r="G19" s="23" t="s">
        <v>888</v>
      </c>
      <c r="H19" s="23" t="s">
        <v>94</v>
      </c>
      <c r="I19" s="24">
        <v>20</v>
      </c>
      <c r="J19" s="24">
        <f ca="1">IF(TODAY()&lt;45894,Table2[[#This Row],[S.N.]],RANDBETWEEN(1,200))</f>
        <v>4</v>
      </c>
      <c r="N19"/>
    </row>
    <row r="20" spans="1:14">
      <c r="A20" s="23">
        <v>4</v>
      </c>
      <c r="B20" s="23" t="s">
        <v>92</v>
      </c>
      <c r="C20" s="23" t="s">
        <v>93</v>
      </c>
      <c r="D20" s="23" t="s">
        <v>726</v>
      </c>
      <c r="E20" s="23" t="s">
        <v>723</v>
      </c>
      <c r="F20" s="24" t="s">
        <v>0</v>
      </c>
      <c r="G20" s="23" t="s">
        <v>888</v>
      </c>
      <c r="H20" s="23" t="s">
        <v>94</v>
      </c>
      <c r="I20" s="24">
        <v>20</v>
      </c>
      <c r="J20" s="24">
        <f ca="1">IF(TODAY()&lt;45894,Table2[[#This Row],[S.N.]],RANDBETWEEN(1,200))</f>
        <v>4</v>
      </c>
      <c r="N20"/>
    </row>
    <row r="21" spans="1:14">
      <c r="A21" s="23">
        <v>5</v>
      </c>
      <c r="B21" s="23" t="s">
        <v>490</v>
      </c>
      <c r="C21" s="23" t="s">
        <v>491</v>
      </c>
      <c r="D21" s="23" t="s">
        <v>726</v>
      </c>
      <c r="E21" s="23" t="s">
        <v>723</v>
      </c>
      <c r="F21" s="24" t="s">
        <v>0</v>
      </c>
      <c r="G21" s="23" t="s">
        <v>888</v>
      </c>
      <c r="H21" s="23" t="s">
        <v>492</v>
      </c>
      <c r="I21" s="24">
        <v>35</v>
      </c>
      <c r="J21" s="24">
        <f ca="1">IF(TODAY()&lt;45894,Table2[[#This Row],[S.N.]],RANDBETWEEN(1,200))</f>
        <v>5</v>
      </c>
      <c r="N21"/>
    </row>
    <row r="22" spans="1:14">
      <c r="A22" s="23">
        <v>5</v>
      </c>
      <c r="B22" s="23" t="s">
        <v>731</v>
      </c>
      <c r="C22" s="23" t="s">
        <v>732</v>
      </c>
      <c r="D22" s="23" t="s">
        <v>726</v>
      </c>
      <c r="E22" s="23" t="s">
        <v>723</v>
      </c>
      <c r="F22" s="24" t="s">
        <v>0</v>
      </c>
      <c r="G22" s="23" t="s">
        <v>888</v>
      </c>
      <c r="H22" s="23" t="s">
        <v>492</v>
      </c>
      <c r="I22" s="24">
        <v>45</v>
      </c>
      <c r="J22" s="24">
        <f ca="1">IF(TODAY()&lt;45894,Table2[[#This Row],[S.N.]],RANDBETWEEN(1,200))</f>
        <v>5</v>
      </c>
      <c r="N22"/>
    </row>
    <row r="23" spans="1:14">
      <c r="A23" s="23">
        <v>5</v>
      </c>
      <c r="B23" s="23" t="s">
        <v>733</v>
      </c>
      <c r="C23" s="23" t="s">
        <v>734</v>
      </c>
      <c r="D23" s="23" t="s">
        <v>726</v>
      </c>
      <c r="E23" s="23" t="s">
        <v>723</v>
      </c>
      <c r="F23" s="24" t="s">
        <v>0</v>
      </c>
      <c r="G23" s="23" t="s">
        <v>888</v>
      </c>
      <c r="H23" s="23" t="s">
        <v>492</v>
      </c>
      <c r="I23" s="24">
        <v>50</v>
      </c>
      <c r="J23" s="24">
        <f ca="1">IF(TODAY()&lt;45894,Table2[[#This Row],[S.N.]],RANDBETWEEN(1,200))</f>
        <v>5</v>
      </c>
      <c r="N23"/>
    </row>
    <row r="24" spans="1:14">
      <c r="A24" s="23">
        <v>2</v>
      </c>
      <c r="B24" s="23" t="s">
        <v>220</v>
      </c>
      <c r="C24" s="23" t="s">
        <v>221</v>
      </c>
      <c r="D24" s="23" t="s">
        <v>65</v>
      </c>
      <c r="E24" s="23" t="s">
        <v>723</v>
      </c>
      <c r="F24" s="24" t="s">
        <v>0</v>
      </c>
      <c r="G24" s="23" t="s">
        <v>888</v>
      </c>
      <c r="H24" s="23" t="s">
        <v>222</v>
      </c>
      <c r="I24" s="24">
        <v>5</v>
      </c>
      <c r="J24" s="24">
        <f ca="1">IF(TODAY()&lt;45894,Table2[[#This Row],[S.N.]],RANDBETWEEN(1,200))</f>
        <v>2</v>
      </c>
      <c r="N24"/>
    </row>
    <row r="25" spans="1:14">
      <c r="A25" s="23">
        <v>2</v>
      </c>
      <c r="B25" s="23" t="s">
        <v>525</v>
      </c>
      <c r="C25" s="23" t="s">
        <v>526</v>
      </c>
      <c r="D25" s="23" t="s">
        <v>735</v>
      </c>
      <c r="E25" s="23" t="s">
        <v>723</v>
      </c>
      <c r="F25" s="24" t="s">
        <v>0</v>
      </c>
      <c r="G25" s="23" t="s">
        <v>888</v>
      </c>
      <c r="H25" s="23" t="s">
        <v>222</v>
      </c>
      <c r="I25" s="24">
        <v>5</v>
      </c>
      <c r="J25" s="24">
        <f ca="1">IF(TODAY()&lt;45894,Table2[[#This Row],[S.N.]],RANDBETWEEN(1,200))</f>
        <v>2</v>
      </c>
      <c r="N25"/>
    </row>
    <row r="26" spans="1:14">
      <c r="A26" s="23">
        <v>3</v>
      </c>
      <c r="B26" s="23" t="s">
        <v>89</v>
      </c>
      <c r="C26" s="23" t="s">
        <v>90</v>
      </c>
      <c r="D26" s="23" t="s">
        <v>65</v>
      </c>
      <c r="E26" s="23" t="s">
        <v>723</v>
      </c>
      <c r="F26" s="24" t="s">
        <v>0</v>
      </c>
      <c r="G26" s="23" t="s">
        <v>888</v>
      </c>
      <c r="H26" s="23" t="s">
        <v>91</v>
      </c>
      <c r="I26" s="24">
        <v>10</v>
      </c>
      <c r="J26" s="24">
        <f ca="1">IF(TODAY()&lt;45894,Table2[[#This Row],[S.N.]],RANDBETWEEN(1,200))</f>
        <v>3</v>
      </c>
      <c r="N26"/>
    </row>
    <row r="27" spans="1:14">
      <c r="A27" s="23">
        <v>6</v>
      </c>
      <c r="B27" s="23" t="s">
        <v>263</v>
      </c>
      <c r="C27" s="23" t="s">
        <v>264</v>
      </c>
      <c r="D27" s="23" t="s">
        <v>726</v>
      </c>
      <c r="E27" s="23" t="s">
        <v>723</v>
      </c>
      <c r="F27" s="24" t="s">
        <v>0</v>
      </c>
      <c r="G27" s="23" t="s">
        <v>888</v>
      </c>
      <c r="H27" s="23" t="s">
        <v>10</v>
      </c>
      <c r="I27" s="24">
        <v>50</v>
      </c>
      <c r="J27" s="24">
        <f ca="1">IF(TODAY()&lt;45894,Table2[[#This Row],[S.N.]],RANDBETWEEN(1,200))</f>
        <v>6</v>
      </c>
      <c r="N27"/>
    </row>
    <row r="28" spans="1:14">
      <c r="A28" s="23">
        <v>6</v>
      </c>
      <c r="B28" s="23" t="s">
        <v>481</v>
      </c>
      <c r="C28" s="23" t="s">
        <v>482</v>
      </c>
      <c r="D28" s="23" t="s">
        <v>40</v>
      </c>
      <c r="E28" s="23" t="s">
        <v>723</v>
      </c>
      <c r="F28" s="24" t="s">
        <v>0</v>
      </c>
      <c r="G28" s="23" t="s">
        <v>888</v>
      </c>
      <c r="H28" s="23" t="s">
        <v>10</v>
      </c>
      <c r="I28" s="24">
        <v>45</v>
      </c>
      <c r="J28" s="24">
        <f ca="1">IF(TODAY()&lt;45894,Table2[[#This Row],[S.N.]],RANDBETWEEN(1,200))</f>
        <v>6</v>
      </c>
      <c r="N28"/>
    </row>
    <row r="29" spans="1:14">
      <c r="A29" s="23">
        <v>9</v>
      </c>
      <c r="B29" s="23" t="s">
        <v>265</v>
      </c>
      <c r="C29" s="23" t="s">
        <v>266</v>
      </c>
      <c r="D29" s="23" t="s">
        <v>726</v>
      </c>
      <c r="E29" s="23" t="s">
        <v>723</v>
      </c>
      <c r="F29" s="24" t="s">
        <v>0</v>
      </c>
      <c r="G29" s="23" t="s">
        <v>888</v>
      </c>
      <c r="H29" s="23" t="s">
        <v>267</v>
      </c>
      <c r="I29" s="24">
        <v>50</v>
      </c>
      <c r="J29" s="24">
        <f ca="1">IF(TODAY()&lt;45894,Table2[[#This Row],[S.N.]],RANDBETWEEN(1,200))</f>
        <v>9</v>
      </c>
      <c r="N29"/>
    </row>
    <row r="30" spans="1:14">
      <c r="A30" s="23">
        <v>9</v>
      </c>
      <c r="B30" s="23" t="s">
        <v>309</v>
      </c>
      <c r="C30" s="23" t="s">
        <v>310</v>
      </c>
      <c r="D30" s="23" t="s">
        <v>40</v>
      </c>
      <c r="E30" s="23" t="s">
        <v>723</v>
      </c>
      <c r="F30" s="24" t="s">
        <v>0</v>
      </c>
      <c r="G30" s="23" t="s">
        <v>888</v>
      </c>
      <c r="H30" s="23" t="s">
        <v>267</v>
      </c>
      <c r="I30" s="24">
        <v>45</v>
      </c>
      <c r="J30" s="24">
        <f ca="1">IF(TODAY()&lt;45894,Table2[[#This Row],[S.N.]],RANDBETWEEN(1,200))</f>
        <v>9</v>
      </c>
      <c r="N30"/>
    </row>
    <row r="31" spans="1:14">
      <c r="A31" s="23">
        <v>7</v>
      </c>
      <c r="B31" s="23" t="s">
        <v>389</v>
      </c>
      <c r="C31" s="23" t="s">
        <v>390</v>
      </c>
      <c r="D31" s="23" t="s">
        <v>65</v>
      </c>
      <c r="E31" s="23" t="s">
        <v>723</v>
      </c>
      <c r="F31" s="24" t="s">
        <v>0</v>
      </c>
      <c r="G31" s="23" t="s">
        <v>888</v>
      </c>
      <c r="H31" s="23" t="s">
        <v>97</v>
      </c>
      <c r="I31" s="24">
        <v>10</v>
      </c>
      <c r="J31" s="24">
        <f ca="1">IF(TODAY()&lt;45894,Table2[[#This Row],[S.N.]],RANDBETWEEN(1,200))</f>
        <v>7</v>
      </c>
      <c r="N31"/>
    </row>
    <row r="32" spans="1:14">
      <c r="A32" s="23">
        <v>7</v>
      </c>
      <c r="B32" s="23" t="s">
        <v>95</v>
      </c>
      <c r="C32" s="23" t="s">
        <v>96</v>
      </c>
      <c r="D32" s="23" t="s">
        <v>726</v>
      </c>
      <c r="E32" s="23" t="s">
        <v>723</v>
      </c>
      <c r="F32" s="24" t="s">
        <v>0</v>
      </c>
      <c r="G32" s="23" t="s">
        <v>888</v>
      </c>
      <c r="H32" s="23" t="s">
        <v>97</v>
      </c>
      <c r="I32" s="24">
        <v>10</v>
      </c>
      <c r="J32" s="24">
        <f ca="1">IF(TODAY()&lt;45894,Table2[[#This Row],[S.N.]],RANDBETWEEN(1,200))</f>
        <v>7</v>
      </c>
      <c r="N32"/>
    </row>
    <row r="33" spans="1:14">
      <c r="A33" s="23">
        <v>60</v>
      </c>
      <c r="B33" s="23" t="s">
        <v>736</v>
      </c>
      <c r="C33" s="23" t="s">
        <v>737</v>
      </c>
      <c r="D33" s="23" t="s">
        <v>738</v>
      </c>
      <c r="E33" s="23" t="s">
        <v>723</v>
      </c>
      <c r="F33" s="24" t="s">
        <v>0</v>
      </c>
      <c r="G33" s="23" t="s">
        <v>888</v>
      </c>
      <c r="H33" s="23" t="s">
        <v>643</v>
      </c>
      <c r="I33" s="24">
        <v>110</v>
      </c>
      <c r="J33" s="24">
        <f ca="1">IF(TODAY()&lt;45894,Table2[[#This Row],[S.N.]],RANDBETWEEN(1,200))</f>
        <v>60</v>
      </c>
      <c r="N33"/>
    </row>
    <row r="34" spans="1:14">
      <c r="A34" s="23">
        <v>58</v>
      </c>
      <c r="B34" s="23" t="s">
        <v>299</v>
      </c>
      <c r="C34" s="23" t="s">
        <v>300</v>
      </c>
      <c r="D34" s="23" t="s">
        <v>65</v>
      </c>
      <c r="E34" s="23" t="s">
        <v>723</v>
      </c>
      <c r="F34" s="24" t="s">
        <v>0</v>
      </c>
      <c r="G34" s="23" t="s">
        <v>888</v>
      </c>
      <c r="H34" s="23" t="s">
        <v>196</v>
      </c>
      <c r="I34" s="24">
        <v>10</v>
      </c>
      <c r="J34" s="24">
        <f ca="1">IF(TODAY()&lt;45894,Table2[[#This Row],[S.N.]],RANDBETWEEN(1,200))</f>
        <v>58</v>
      </c>
      <c r="N34"/>
    </row>
    <row r="35" spans="1:14">
      <c r="A35" s="23">
        <v>59</v>
      </c>
      <c r="B35" s="23" t="s">
        <v>373</v>
      </c>
      <c r="C35" s="23" t="s">
        <v>374</v>
      </c>
      <c r="D35" s="23" t="s">
        <v>726</v>
      </c>
      <c r="E35" s="23" t="s">
        <v>723</v>
      </c>
      <c r="F35" s="24" t="s">
        <v>0</v>
      </c>
      <c r="G35" s="23" t="s">
        <v>888</v>
      </c>
      <c r="H35" s="23" t="s">
        <v>190</v>
      </c>
      <c r="I35" s="24">
        <v>20</v>
      </c>
      <c r="J35" s="24">
        <f ca="1">IF(TODAY()&lt;45894,Table2[[#This Row],[S.N.]],RANDBETWEEN(1,200))</f>
        <v>59</v>
      </c>
      <c r="N35"/>
    </row>
    <row r="36" spans="1:14">
      <c r="A36" s="23">
        <v>59</v>
      </c>
      <c r="B36" s="23" t="s">
        <v>188</v>
      </c>
      <c r="C36" s="23" t="s">
        <v>189</v>
      </c>
      <c r="D36" s="23" t="s">
        <v>739</v>
      </c>
      <c r="E36" s="23" t="s">
        <v>723</v>
      </c>
      <c r="F36" s="24" t="s">
        <v>0</v>
      </c>
      <c r="G36" s="23" t="s">
        <v>888</v>
      </c>
      <c r="H36" s="23" t="s">
        <v>190</v>
      </c>
      <c r="I36" s="24">
        <v>20</v>
      </c>
      <c r="J36" s="24">
        <f ca="1">IF(TODAY()&lt;45894,Table2[[#This Row],[S.N.]],RANDBETWEEN(1,200))</f>
        <v>59</v>
      </c>
      <c r="N36"/>
    </row>
    <row r="37" spans="1:14">
      <c r="A37" s="23">
        <v>59</v>
      </c>
      <c r="B37" s="23" t="s">
        <v>301</v>
      </c>
      <c r="C37" s="23" t="s">
        <v>302</v>
      </c>
      <c r="D37" s="23" t="s">
        <v>726</v>
      </c>
      <c r="E37" s="23" t="s">
        <v>723</v>
      </c>
      <c r="F37" s="24" t="s">
        <v>0</v>
      </c>
      <c r="G37" s="23" t="s">
        <v>888</v>
      </c>
      <c r="H37" s="23" t="s">
        <v>190</v>
      </c>
      <c r="I37" s="24">
        <v>20</v>
      </c>
      <c r="J37" s="24">
        <f ca="1">IF(TODAY()&lt;45894,Table2[[#This Row],[S.N.]],RANDBETWEEN(1,200))</f>
        <v>59</v>
      </c>
      <c r="N37"/>
    </row>
    <row r="38" spans="1:14">
      <c r="A38" s="23">
        <v>59</v>
      </c>
      <c r="B38" s="23" t="s">
        <v>652</v>
      </c>
      <c r="C38" s="23" t="s">
        <v>653</v>
      </c>
      <c r="D38" s="23" t="s">
        <v>739</v>
      </c>
      <c r="E38" s="23" t="s">
        <v>723</v>
      </c>
      <c r="F38" s="24" t="s">
        <v>0</v>
      </c>
      <c r="G38" s="23" t="s">
        <v>888</v>
      </c>
      <c r="H38" s="23" t="s">
        <v>190</v>
      </c>
      <c r="I38" s="24">
        <v>30</v>
      </c>
      <c r="J38" s="24">
        <f ca="1">IF(TODAY()&lt;45894,Table2[[#This Row],[S.N.]],RANDBETWEEN(1,200))</f>
        <v>59</v>
      </c>
      <c r="N38"/>
    </row>
    <row r="39" spans="1:14">
      <c r="A39" s="23">
        <v>57</v>
      </c>
      <c r="B39" s="23" t="s">
        <v>572</v>
      </c>
      <c r="C39" s="23" t="s">
        <v>573</v>
      </c>
      <c r="D39" s="23" t="s">
        <v>739</v>
      </c>
      <c r="E39" s="23" t="s">
        <v>723</v>
      </c>
      <c r="F39" s="24" t="s">
        <v>0</v>
      </c>
      <c r="G39" s="23" t="s">
        <v>888</v>
      </c>
      <c r="H39" s="23" t="s">
        <v>127</v>
      </c>
      <c r="I39" s="24">
        <v>5</v>
      </c>
      <c r="J39" s="24">
        <f ca="1">IF(TODAY()&lt;45894,Table2[[#This Row],[S.N.]],RANDBETWEEN(1,200))</f>
        <v>57</v>
      </c>
      <c r="N39"/>
    </row>
    <row r="40" spans="1:14">
      <c r="A40" s="23">
        <v>57</v>
      </c>
      <c r="B40" s="23" t="s">
        <v>740</v>
      </c>
      <c r="C40" s="23" t="s">
        <v>741</v>
      </c>
      <c r="D40" s="23" t="s">
        <v>739</v>
      </c>
      <c r="E40" s="23" t="s">
        <v>723</v>
      </c>
      <c r="F40" s="24" t="s">
        <v>0</v>
      </c>
      <c r="G40" s="23" t="s">
        <v>888</v>
      </c>
      <c r="H40" s="23" t="s">
        <v>127</v>
      </c>
      <c r="I40" s="24">
        <v>5</v>
      </c>
      <c r="J40" s="24">
        <f ca="1">IF(TODAY()&lt;45894,Table2[[#This Row],[S.N.]],RANDBETWEEN(1,200))</f>
        <v>57</v>
      </c>
      <c r="N40"/>
    </row>
    <row r="41" spans="1:14">
      <c r="A41" s="23">
        <v>57</v>
      </c>
      <c r="B41" s="23" t="s">
        <v>125</v>
      </c>
      <c r="C41" s="23" t="s">
        <v>126</v>
      </c>
      <c r="D41" s="23" t="s">
        <v>65</v>
      </c>
      <c r="E41" s="23" t="s">
        <v>723</v>
      </c>
      <c r="F41" s="24" t="s">
        <v>0</v>
      </c>
      <c r="G41" s="23" t="s">
        <v>888</v>
      </c>
      <c r="H41" s="23" t="s">
        <v>127</v>
      </c>
      <c r="I41" s="24">
        <v>5</v>
      </c>
      <c r="J41" s="24">
        <f ca="1">IF(TODAY()&lt;45894,Table2[[#This Row],[S.N.]],RANDBETWEEN(1,200))</f>
        <v>57</v>
      </c>
      <c r="N41"/>
    </row>
    <row r="42" spans="1:14">
      <c r="A42" s="23">
        <v>57</v>
      </c>
      <c r="B42" s="23" t="s">
        <v>297</v>
      </c>
      <c r="C42" s="23" t="s">
        <v>298</v>
      </c>
      <c r="D42" s="23" t="s">
        <v>65</v>
      </c>
      <c r="E42" s="23" t="s">
        <v>723</v>
      </c>
      <c r="F42" s="24" t="s">
        <v>0</v>
      </c>
      <c r="G42" s="23" t="s">
        <v>888</v>
      </c>
      <c r="H42" s="23" t="s">
        <v>127</v>
      </c>
      <c r="I42" s="24">
        <v>5</v>
      </c>
      <c r="J42" s="24">
        <f ca="1">IF(TODAY()&lt;45894,Table2[[#This Row],[S.N.]],RANDBETWEEN(1,200))</f>
        <v>57</v>
      </c>
      <c r="N42"/>
    </row>
    <row r="43" spans="1:14">
      <c r="A43" s="23">
        <v>58</v>
      </c>
      <c r="B43" s="23" t="s">
        <v>551</v>
      </c>
      <c r="C43" s="23" t="s">
        <v>552</v>
      </c>
      <c r="D43" s="23" t="s">
        <v>65</v>
      </c>
      <c r="E43" s="23" t="s">
        <v>723</v>
      </c>
      <c r="F43" s="24" t="s">
        <v>0</v>
      </c>
      <c r="G43" s="23" t="s">
        <v>888</v>
      </c>
      <c r="H43" s="23" t="s">
        <v>196</v>
      </c>
      <c r="I43" s="24">
        <v>10</v>
      </c>
      <c r="J43" s="24">
        <f ca="1">IF(TODAY()&lt;45894,Table2[[#This Row],[S.N.]],RANDBETWEEN(1,200))</f>
        <v>58</v>
      </c>
      <c r="N43"/>
    </row>
    <row r="44" spans="1:14">
      <c r="A44" s="23">
        <v>58</v>
      </c>
      <c r="B44" s="23" t="s">
        <v>395</v>
      </c>
      <c r="C44" s="23" t="s">
        <v>396</v>
      </c>
      <c r="D44" s="23" t="s">
        <v>739</v>
      </c>
      <c r="E44" s="23" t="s">
        <v>723</v>
      </c>
      <c r="F44" s="24" t="s">
        <v>0</v>
      </c>
      <c r="G44" s="23" t="s">
        <v>888</v>
      </c>
      <c r="H44" s="23" t="s">
        <v>196</v>
      </c>
      <c r="I44" s="24">
        <v>10</v>
      </c>
      <c r="J44" s="24">
        <f ca="1">IF(TODAY()&lt;45894,Table2[[#This Row],[S.N.]],RANDBETWEEN(1,200))</f>
        <v>58</v>
      </c>
      <c r="N44"/>
    </row>
    <row r="45" spans="1:14">
      <c r="A45" s="23">
        <v>58</v>
      </c>
      <c r="B45" s="23" t="s">
        <v>574</v>
      </c>
      <c r="C45" s="23" t="s">
        <v>575</v>
      </c>
      <c r="D45" s="23" t="s">
        <v>739</v>
      </c>
      <c r="E45" s="23" t="s">
        <v>723</v>
      </c>
      <c r="F45" s="24" t="s">
        <v>0</v>
      </c>
      <c r="G45" s="23" t="s">
        <v>888</v>
      </c>
      <c r="H45" s="23" t="s">
        <v>196</v>
      </c>
      <c r="I45" s="24">
        <v>10</v>
      </c>
      <c r="J45" s="24">
        <f ca="1">IF(TODAY()&lt;45894,Table2[[#This Row],[S.N.]],RANDBETWEEN(1,200))</f>
        <v>58</v>
      </c>
      <c r="N45"/>
    </row>
    <row r="46" spans="1:14">
      <c r="A46" s="23">
        <v>58</v>
      </c>
      <c r="B46" s="23" t="s">
        <v>371</v>
      </c>
      <c r="C46" s="23" t="s">
        <v>372</v>
      </c>
      <c r="D46" s="23" t="s">
        <v>65</v>
      </c>
      <c r="E46" s="23" t="s">
        <v>723</v>
      </c>
      <c r="F46" s="24" t="s">
        <v>0</v>
      </c>
      <c r="G46" s="23" t="s">
        <v>888</v>
      </c>
      <c r="H46" s="23" t="s">
        <v>196</v>
      </c>
      <c r="I46" s="24">
        <v>10</v>
      </c>
      <c r="J46" s="24">
        <f ca="1">IF(TODAY()&lt;45894,Table2[[#This Row],[S.N.]],RANDBETWEEN(1,200))</f>
        <v>58</v>
      </c>
      <c r="N46"/>
    </row>
    <row r="47" spans="1:14">
      <c r="A47" s="23">
        <v>58</v>
      </c>
      <c r="B47" s="23" t="s">
        <v>194</v>
      </c>
      <c r="C47" s="23" t="s">
        <v>195</v>
      </c>
      <c r="D47" s="23" t="s">
        <v>739</v>
      </c>
      <c r="E47" s="23" t="s">
        <v>723</v>
      </c>
      <c r="F47" s="24" t="s">
        <v>0</v>
      </c>
      <c r="G47" s="23" t="s">
        <v>888</v>
      </c>
      <c r="H47" s="23" t="s">
        <v>196</v>
      </c>
      <c r="I47" s="24">
        <v>10</v>
      </c>
      <c r="J47" s="24">
        <f ca="1">IF(TODAY()&lt;45894,Table2[[#This Row],[S.N.]],RANDBETWEEN(1,200))</f>
        <v>58</v>
      </c>
      <c r="N47"/>
    </row>
    <row r="48" spans="1:14">
      <c r="A48" s="23">
        <v>60</v>
      </c>
      <c r="B48" s="23" t="s">
        <v>641</v>
      </c>
      <c r="C48" s="23" t="s">
        <v>642</v>
      </c>
      <c r="D48" s="23" t="s">
        <v>726</v>
      </c>
      <c r="E48" s="23" t="s">
        <v>723</v>
      </c>
      <c r="F48" s="24" t="s">
        <v>0</v>
      </c>
      <c r="G48" s="23" t="s">
        <v>888</v>
      </c>
      <c r="H48" s="23" t="s">
        <v>643</v>
      </c>
      <c r="I48" s="24">
        <v>35</v>
      </c>
      <c r="J48" s="24">
        <f ca="1">IF(TODAY()&lt;45894,Table2[[#This Row],[S.N.]],RANDBETWEEN(1,200))</f>
        <v>60</v>
      </c>
      <c r="N48"/>
    </row>
    <row r="49" spans="1:14">
      <c r="A49" s="23">
        <v>12</v>
      </c>
      <c r="B49" s="23" t="s">
        <v>620</v>
      </c>
      <c r="C49" s="23" t="s">
        <v>742</v>
      </c>
      <c r="D49" s="23" t="s">
        <v>743</v>
      </c>
      <c r="E49" s="23" t="s">
        <v>723</v>
      </c>
      <c r="F49" s="24" t="s">
        <v>0</v>
      </c>
      <c r="G49" s="23" t="s">
        <v>888</v>
      </c>
      <c r="H49" s="23" t="s">
        <v>313</v>
      </c>
      <c r="I49" s="24">
        <v>20</v>
      </c>
      <c r="J49" s="24">
        <f ca="1">IF(TODAY()&lt;45894,Table2[[#This Row],[S.N.]],RANDBETWEEN(1,200))</f>
        <v>12</v>
      </c>
      <c r="N49"/>
    </row>
    <row r="50" spans="1:14">
      <c r="A50" s="23">
        <v>59</v>
      </c>
      <c r="B50" s="23" t="s">
        <v>744</v>
      </c>
      <c r="C50" s="23" t="s">
        <v>745</v>
      </c>
      <c r="D50" s="23" t="s">
        <v>743</v>
      </c>
      <c r="E50" s="23" t="s">
        <v>723</v>
      </c>
      <c r="F50" s="24" t="s">
        <v>0</v>
      </c>
      <c r="G50" s="23" t="s">
        <v>888</v>
      </c>
      <c r="H50" s="23" t="s">
        <v>190</v>
      </c>
      <c r="I50" s="24">
        <v>20</v>
      </c>
      <c r="J50" s="24">
        <f ca="1">IF(TODAY()&lt;45894,Table2[[#This Row],[S.N.]],RANDBETWEEN(1,200))</f>
        <v>59</v>
      </c>
    </row>
    <row r="51" spans="1:14">
      <c r="A51" s="23">
        <v>12</v>
      </c>
      <c r="B51" s="23" t="s">
        <v>311</v>
      </c>
      <c r="C51" s="23" t="s">
        <v>312</v>
      </c>
      <c r="D51" s="23" t="s">
        <v>726</v>
      </c>
      <c r="E51" s="23" t="s">
        <v>723</v>
      </c>
      <c r="F51" s="24" t="s">
        <v>0</v>
      </c>
      <c r="G51" s="23" t="s">
        <v>888</v>
      </c>
      <c r="H51" s="23" t="s">
        <v>313</v>
      </c>
      <c r="I51" s="24">
        <v>20</v>
      </c>
      <c r="J51" s="24">
        <f ca="1">IF(TODAY()&lt;45894,Table2[[#This Row],[S.N.]],RANDBETWEEN(1,200))</f>
        <v>12</v>
      </c>
    </row>
    <row r="52" spans="1:14">
      <c r="A52" s="23">
        <v>10</v>
      </c>
      <c r="B52" s="23" t="s">
        <v>712</v>
      </c>
      <c r="C52" s="23" t="s">
        <v>713</v>
      </c>
      <c r="D52" s="23" t="s">
        <v>743</v>
      </c>
      <c r="E52" s="23" t="s">
        <v>723</v>
      </c>
      <c r="F52" s="24" t="s">
        <v>0</v>
      </c>
      <c r="G52" s="23" t="s">
        <v>888</v>
      </c>
      <c r="H52" s="23" t="s">
        <v>100</v>
      </c>
      <c r="I52" s="24">
        <v>5</v>
      </c>
      <c r="J52" s="24">
        <f ca="1">IF(TODAY()&lt;45894,Table2[[#This Row],[S.N.]],RANDBETWEEN(1,200))</f>
        <v>10</v>
      </c>
    </row>
    <row r="53" spans="1:14">
      <c r="A53" s="23">
        <v>10</v>
      </c>
      <c r="B53" s="23" t="s">
        <v>98</v>
      </c>
      <c r="C53" s="23" t="s">
        <v>99</v>
      </c>
      <c r="D53" s="23" t="s">
        <v>65</v>
      </c>
      <c r="E53" s="23" t="s">
        <v>723</v>
      </c>
      <c r="F53" s="24" t="s">
        <v>0</v>
      </c>
      <c r="G53" s="23" t="s">
        <v>888</v>
      </c>
      <c r="H53" s="23" t="s">
        <v>100</v>
      </c>
      <c r="I53" s="24">
        <v>5</v>
      </c>
      <c r="J53" s="24">
        <f ca="1">IF(TODAY()&lt;45894,Table2[[#This Row],[S.N.]],RANDBETWEEN(1,200))</f>
        <v>10</v>
      </c>
    </row>
    <row r="54" spans="1:14">
      <c r="A54" s="23">
        <v>10</v>
      </c>
      <c r="B54" s="23" t="s">
        <v>560</v>
      </c>
      <c r="C54" s="23" t="s">
        <v>561</v>
      </c>
      <c r="D54" s="23" t="s">
        <v>65</v>
      </c>
      <c r="E54" s="23" t="s">
        <v>723</v>
      </c>
      <c r="F54" s="24" t="s">
        <v>0</v>
      </c>
      <c r="G54" s="23" t="s">
        <v>888</v>
      </c>
      <c r="H54" s="23" t="s">
        <v>100</v>
      </c>
      <c r="I54" s="24">
        <v>5</v>
      </c>
      <c r="J54" s="24">
        <f ca="1">IF(TODAY()&lt;45894,Table2[[#This Row],[S.N.]],RANDBETWEEN(1,200))</f>
        <v>10</v>
      </c>
    </row>
    <row r="55" spans="1:14">
      <c r="A55" s="23">
        <v>10</v>
      </c>
      <c r="B55" s="23" t="s">
        <v>622</v>
      </c>
      <c r="C55" s="23" t="s">
        <v>623</v>
      </c>
      <c r="D55" s="23" t="s">
        <v>743</v>
      </c>
      <c r="E55" s="23" t="s">
        <v>723</v>
      </c>
      <c r="F55" s="24" t="s">
        <v>0</v>
      </c>
      <c r="G55" s="23" t="s">
        <v>888</v>
      </c>
      <c r="H55" s="23" t="s">
        <v>100</v>
      </c>
      <c r="I55" s="24">
        <v>5</v>
      </c>
      <c r="J55" s="24">
        <f ca="1">IF(TODAY()&lt;45894,Table2[[#This Row],[S.N.]],RANDBETWEEN(1,200))</f>
        <v>10</v>
      </c>
    </row>
    <row r="56" spans="1:14">
      <c r="A56" s="23">
        <v>11</v>
      </c>
      <c r="B56" s="23" t="s">
        <v>746</v>
      </c>
      <c r="C56" s="23" t="s">
        <v>747</v>
      </c>
      <c r="D56" s="23" t="s">
        <v>65</v>
      </c>
      <c r="E56" s="23" t="s">
        <v>723</v>
      </c>
      <c r="F56" s="24" t="s">
        <v>0</v>
      </c>
      <c r="G56" s="23" t="s">
        <v>888</v>
      </c>
      <c r="H56" s="23" t="s">
        <v>103</v>
      </c>
      <c r="I56" s="24">
        <v>20</v>
      </c>
      <c r="J56" s="24">
        <f ca="1">IF(TODAY()&lt;45894,Table2[[#This Row],[S.N.]],RANDBETWEEN(1,200))</f>
        <v>11</v>
      </c>
    </row>
    <row r="57" spans="1:14">
      <c r="A57" s="23">
        <v>11</v>
      </c>
      <c r="B57" s="23" t="s">
        <v>101</v>
      </c>
      <c r="C57" s="23" t="s">
        <v>102</v>
      </c>
      <c r="D57" s="23" t="s">
        <v>65</v>
      </c>
      <c r="E57" s="23" t="s">
        <v>723</v>
      </c>
      <c r="F57" s="24" t="s">
        <v>0</v>
      </c>
      <c r="G57" s="23" t="s">
        <v>888</v>
      </c>
      <c r="H57" s="23" t="s">
        <v>103</v>
      </c>
      <c r="I57" s="24">
        <v>10</v>
      </c>
      <c r="J57" s="24">
        <f ca="1">IF(TODAY()&lt;45894,Table2[[#This Row],[S.N.]],RANDBETWEEN(1,200))</f>
        <v>11</v>
      </c>
    </row>
    <row r="58" spans="1:14">
      <c r="A58" s="23">
        <v>11</v>
      </c>
      <c r="B58" s="23" t="s">
        <v>656</v>
      </c>
      <c r="C58" s="23" t="s">
        <v>657</v>
      </c>
      <c r="D58" s="23" t="s">
        <v>743</v>
      </c>
      <c r="E58" s="23" t="s">
        <v>723</v>
      </c>
      <c r="F58" s="24" t="s">
        <v>0</v>
      </c>
      <c r="G58" s="23" t="s">
        <v>888</v>
      </c>
      <c r="H58" s="23" t="s">
        <v>103</v>
      </c>
      <c r="I58" s="24">
        <v>10</v>
      </c>
      <c r="J58" s="24">
        <f ca="1">IF(TODAY()&lt;45894,Table2[[#This Row],[S.N.]],RANDBETWEEN(1,200))</f>
        <v>11</v>
      </c>
    </row>
    <row r="59" spans="1:14">
      <c r="A59" s="23">
        <v>28</v>
      </c>
      <c r="B59" s="23" t="s">
        <v>143</v>
      </c>
      <c r="C59" s="23" t="s">
        <v>144</v>
      </c>
      <c r="D59" s="23" t="s">
        <v>726</v>
      </c>
      <c r="E59" s="23" t="s">
        <v>723</v>
      </c>
      <c r="F59" s="24" t="s">
        <v>0</v>
      </c>
      <c r="G59" s="23" t="s">
        <v>888</v>
      </c>
      <c r="H59" s="23" t="s">
        <v>145</v>
      </c>
      <c r="I59" s="24">
        <v>20</v>
      </c>
      <c r="J59" s="24">
        <f ca="1">IF(TODAY()&lt;45894,Table2[[#This Row],[S.N.]],RANDBETWEEN(1,200))</f>
        <v>28</v>
      </c>
    </row>
    <row r="60" spans="1:14">
      <c r="A60" s="23">
        <v>51</v>
      </c>
      <c r="B60" s="23" t="s">
        <v>585</v>
      </c>
      <c r="C60" s="23" t="s">
        <v>586</v>
      </c>
      <c r="D60" s="23" t="s">
        <v>65</v>
      </c>
      <c r="E60" s="23" t="s">
        <v>723</v>
      </c>
      <c r="F60" s="24" t="s">
        <v>0</v>
      </c>
      <c r="G60" s="23" t="s">
        <v>888</v>
      </c>
      <c r="H60" s="23" t="s">
        <v>193</v>
      </c>
      <c r="I60" s="24">
        <v>10</v>
      </c>
      <c r="J60" s="24">
        <f ca="1">IF(TODAY()&lt;45894,Table2[[#This Row],[S.N.]],RANDBETWEEN(1,200))</f>
        <v>51</v>
      </c>
    </row>
    <row r="61" spans="1:14">
      <c r="A61" s="23">
        <v>50</v>
      </c>
      <c r="B61" s="23" t="s">
        <v>673</v>
      </c>
      <c r="C61" s="23" t="s">
        <v>674</v>
      </c>
      <c r="D61" s="23" t="s">
        <v>748</v>
      </c>
      <c r="E61" s="23" t="s">
        <v>723</v>
      </c>
      <c r="F61" s="24" t="s">
        <v>0</v>
      </c>
      <c r="G61" s="23" t="s">
        <v>888</v>
      </c>
      <c r="H61" s="23" t="s">
        <v>148</v>
      </c>
      <c r="I61" s="24">
        <v>5</v>
      </c>
      <c r="J61" s="24">
        <f ca="1">IF(TODAY()&lt;45894,Table2[[#This Row],[S.N.]],RANDBETWEEN(1,200))</f>
        <v>50</v>
      </c>
    </row>
    <row r="62" spans="1:14">
      <c r="A62" s="23">
        <v>50</v>
      </c>
      <c r="B62" s="23" t="s">
        <v>702</v>
      </c>
      <c r="C62" s="23" t="s">
        <v>703</v>
      </c>
      <c r="D62" s="23" t="s">
        <v>748</v>
      </c>
      <c r="E62" s="23" t="s">
        <v>723</v>
      </c>
      <c r="F62" s="24" t="s">
        <v>0</v>
      </c>
      <c r="G62" s="23" t="s">
        <v>888</v>
      </c>
      <c r="H62" s="23" t="s">
        <v>148</v>
      </c>
      <c r="I62" s="24">
        <v>5</v>
      </c>
      <c r="J62" s="24">
        <f ca="1">IF(TODAY()&lt;45894,Table2[[#This Row],[S.N.]],RANDBETWEEN(1,200))</f>
        <v>50</v>
      </c>
    </row>
    <row r="63" spans="1:14">
      <c r="A63" s="23">
        <v>50</v>
      </c>
      <c r="B63" s="23" t="s">
        <v>215</v>
      </c>
      <c r="C63" s="23" t="s">
        <v>216</v>
      </c>
      <c r="D63" s="23" t="s">
        <v>748</v>
      </c>
      <c r="E63" s="23" t="s">
        <v>723</v>
      </c>
      <c r="F63" s="24" t="s">
        <v>0</v>
      </c>
      <c r="G63" s="23" t="s">
        <v>888</v>
      </c>
      <c r="H63" s="23" t="s">
        <v>148</v>
      </c>
      <c r="I63" s="24">
        <v>5</v>
      </c>
      <c r="J63" s="24">
        <f ca="1">IF(TODAY()&lt;45894,Table2[[#This Row],[S.N.]],RANDBETWEEN(1,200))</f>
        <v>50</v>
      </c>
    </row>
    <row r="64" spans="1:14">
      <c r="A64" s="23">
        <v>52</v>
      </c>
      <c r="B64" s="23" t="s">
        <v>692</v>
      </c>
      <c r="C64" s="23" t="s">
        <v>693</v>
      </c>
      <c r="D64" s="23" t="s">
        <v>738</v>
      </c>
      <c r="E64" s="23" t="s">
        <v>723</v>
      </c>
      <c r="F64" s="24" t="s">
        <v>0</v>
      </c>
      <c r="G64" s="23" t="s">
        <v>888</v>
      </c>
      <c r="H64" s="23" t="s">
        <v>348</v>
      </c>
      <c r="I64" s="24">
        <v>110</v>
      </c>
      <c r="J64" s="24">
        <f ca="1">IF(TODAY()&lt;45894,Table2[[#This Row],[S.N.]],RANDBETWEEN(1,200))</f>
        <v>52</v>
      </c>
    </row>
    <row r="65" spans="1:10">
      <c r="A65" s="23">
        <v>50</v>
      </c>
      <c r="B65" s="23" t="s">
        <v>453</v>
      </c>
      <c r="C65" s="23" t="s">
        <v>454</v>
      </c>
      <c r="D65" s="23" t="s">
        <v>65</v>
      </c>
      <c r="E65" s="23" t="s">
        <v>723</v>
      </c>
      <c r="F65" s="24" t="s">
        <v>0</v>
      </c>
      <c r="G65" s="23" t="s">
        <v>888</v>
      </c>
      <c r="H65" s="23" t="s">
        <v>148</v>
      </c>
      <c r="I65" s="24">
        <v>5</v>
      </c>
      <c r="J65" s="24">
        <f ca="1">IF(TODAY()&lt;45894,Table2[[#This Row],[S.N.]],RANDBETWEEN(1,200))</f>
        <v>50</v>
      </c>
    </row>
    <row r="66" spans="1:10">
      <c r="A66" s="23">
        <v>50</v>
      </c>
      <c r="B66" s="23" t="s">
        <v>305</v>
      </c>
      <c r="C66" s="23" t="s">
        <v>306</v>
      </c>
      <c r="D66" s="23" t="s">
        <v>748</v>
      </c>
      <c r="E66" s="23" t="s">
        <v>723</v>
      </c>
      <c r="F66" s="24" t="s">
        <v>0</v>
      </c>
      <c r="G66" s="23" t="s">
        <v>888</v>
      </c>
      <c r="H66" s="23" t="s">
        <v>148</v>
      </c>
      <c r="I66" s="24">
        <v>5</v>
      </c>
      <c r="J66" s="24">
        <f ca="1">IF(TODAY()&lt;45894,Table2[[#This Row],[S.N.]],RANDBETWEEN(1,200))</f>
        <v>50</v>
      </c>
    </row>
    <row r="67" spans="1:10">
      <c r="A67" s="23">
        <v>50</v>
      </c>
      <c r="B67" s="23" t="s">
        <v>351</v>
      </c>
      <c r="C67" s="23" t="s">
        <v>352</v>
      </c>
      <c r="D67" s="23" t="s">
        <v>65</v>
      </c>
      <c r="E67" s="23" t="s">
        <v>723</v>
      </c>
      <c r="F67" s="24" t="s">
        <v>0</v>
      </c>
      <c r="G67" s="23" t="s">
        <v>888</v>
      </c>
      <c r="H67" s="23" t="s">
        <v>148</v>
      </c>
      <c r="I67" s="24">
        <v>5</v>
      </c>
      <c r="J67" s="24">
        <f ca="1">IF(TODAY()&lt;45894,Table2[[#This Row],[S.N.]],RANDBETWEEN(1,200))</f>
        <v>50</v>
      </c>
    </row>
    <row r="68" spans="1:10">
      <c r="A68" s="23">
        <v>50</v>
      </c>
      <c r="B68" s="23" t="s">
        <v>146</v>
      </c>
      <c r="C68" s="23" t="s">
        <v>147</v>
      </c>
      <c r="D68" s="23" t="s">
        <v>65</v>
      </c>
      <c r="E68" s="23" t="s">
        <v>723</v>
      </c>
      <c r="F68" s="24" t="s">
        <v>0</v>
      </c>
      <c r="G68" s="23" t="s">
        <v>888</v>
      </c>
      <c r="H68" s="23" t="s">
        <v>148</v>
      </c>
      <c r="I68" s="24">
        <v>5</v>
      </c>
      <c r="J68" s="24">
        <f ca="1">IF(TODAY()&lt;45894,Table2[[#This Row],[S.N.]],RANDBETWEEN(1,200))</f>
        <v>50</v>
      </c>
    </row>
    <row r="69" spans="1:10">
      <c r="A69" s="23">
        <v>51</v>
      </c>
      <c r="B69" s="23" t="s">
        <v>749</v>
      </c>
      <c r="C69" s="23" t="s">
        <v>750</v>
      </c>
      <c r="D69" s="23" t="s">
        <v>65</v>
      </c>
      <c r="E69" s="23" t="s">
        <v>723</v>
      </c>
      <c r="F69" s="24" t="s">
        <v>0</v>
      </c>
      <c r="G69" s="23" t="s">
        <v>888</v>
      </c>
      <c r="H69" s="23" t="s">
        <v>193</v>
      </c>
      <c r="I69" s="24">
        <v>10</v>
      </c>
      <c r="J69" s="24">
        <f ca="1">IF(TODAY()&lt;45894,Table2[[#This Row],[S.N.]],RANDBETWEEN(1,200))</f>
        <v>51</v>
      </c>
    </row>
    <row r="70" spans="1:10">
      <c r="A70" s="23">
        <v>51</v>
      </c>
      <c r="B70" s="23" t="s">
        <v>587</v>
      </c>
      <c r="C70" s="23" t="s">
        <v>588</v>
      </c>
      <c r="D70" s="23" t="s">
        <v>65</v>
      </c>
      <c r="E70" s="23" t="s">
        <v>723</v>
      </c>
      <c r="F70" s="24" t="s">
        <v>0</v>
      </c>
      <c r="G70" s="23" t="s">
        <v>888</v>
      </c>
      <c r="H70" s="23" t="s">
        <v>193</v>
      </c>
      <c r="I70" s="24">
        <v>10</v>
      </c>
      <c r="J70" s="24">
        <f ca="1">IF(TODAY()&lt;45894,Table2[[#This Row],[S.N.]],RANDBETWEEN(1,200))</f>
        <v>51</v>
      </c>
    </row>
    <row r="71" spans="1:10">
      <c r="A71" s="23">
        <v>51</v>
      </c>
      <c r="B71" s="23" t="s">
        <v>383</v>
      </c>
      <c r="C71" s="23" t="s">
        <v>384</v>
      </c>
      <c r="D71" s="23" t="s">
        <v>726</v>
      </c>
      <c r="E71" s="23" t="s">
        <v>723</v>
      </c>
      <c r="F71" s="24" t="s">
        <v>0</v>
      </c>
      <c r="G71" s="23" t="s">
        <v>888</v>
      </c>
      <c r="H71" s="23" t="s">
        <v>193</v>
      </c>
      <c r="I71" s="24">
        <v>10</v>
      </c>
      <c r="J71" s="24">
        <f ca="1">IF(TODAY()&lt;45894,Table2[[#This Row],[S.N.]],RANDBETWEEN(1,200))</f>
        <v>51</v>
      </c>
    </row>
    <row r="72" spans="1:10">
      <c r="A72" s="23">
        <v>51</v>
      </c>
      <c r="B72" s="23" t="s">
        <v>191</v>
      </c>
      <c r="C72" s="23" t="s">
        <v>192</v>
      </c>
      <c r="D72" s="23" t="s">
        <v>748</v>
      </c>
      <c r="E72" s="23" t="s">
        <v>723</v>
      </c>
      <c r="F72" s="24" t="s">
        <v>0</v>
      </c>
      <c r="G72" s="23" t="s">
        <v>888</v>
      </c>
      <c r="H72" s="23" t="s">
        <v>193</v>
      </c>
      <c r="I72" s="24">
        <v>10</v>
      </c>
      <c r="J72" s="24">
        <f ca="1">IF(TODAY()&lt;45894,Table2[[#This Row],[S.N.]],RANDBETWEEN(1,200))</f>
        <v>51</v>
      </c>
    </row>
    <row r="73" spans="1:10">
      <c r="A73" s="23">
        <v>51</v>
      </c>
      <c r="B73" s="23" t="s">
        <v>612</v>
      </c>
      <c r="C73" s="23" t="s">
        <v>613</v>
      </c>
      <c r="D73" s="23" t="s">
        <v>748</v>
      </c>
      <c r="E73" s="23" t="s">
        <v>723</v>
      </c>
      <c r="F73" s="24" t="s">
        <v>0</v>
      </c>
      <c r="G73" s="23" t="s">
        <v>888</v>
      </c>
      <c r="H73" s="23" t="s">
        <v>193</v>
      </c>
      <c r="I73" s="24">
        <v>10</v>
      </c>
      <c r="J73" s="24">
        <f ca="1">IF(TODAY()&lt;45894,Table2[[#This Row],[S.N.]],RANDBETWEEN(1,200))</f>
        <v>51</v>
      </c>
    </row>
    <row r="74" spans="1:10">
      <c r="A74" s="23">
        <v>67</v>
      </c>
      <c r="B74" s="23" t="s">
        <v>268</v>
      </c>
      <c r="C74" s="23" t="s">
        <v>269</v>
      </c>
      <c r="D74" s="23" t="s">
        <v>751</v>
      </c>
      <c r="E74" s="23" t="s">
        <v>723</v>
      </c>
      <c r="F74" s="24" t="s">
        <v>0</v>
      </c>
      <c r="G74" s="23" t="s">
        <v>888</v>
      </c>
      <c r="H74" s="23" t="s">
        <v>941</v>
      </c>
      <c r="I74" s="24">
        <v>50</v>
      </c>
      <c r="J74" s="24">
        <f ca="1">IF(TODAY()&lt;45894,Table2[[#This Row],[S.N.]],RANDBETWEEN(1,200))</f>
        <v>67</v>
      </c>
    </row>
    <row r="75" spans="1:10">
      <c r="A75" s="23">
        <v>69</v>
      </c>
      <c r="B75" s="23" t="s">
        <v>270</v>
      </c>
      <c r="C75" s="23" t="s">
        <v>271</v>
      </c>
      <c r="D75" s="23" t="s">
        <v>751</v>
      </c>
      <c r="E75" s="23" t="s">
        <v>723</v>
      </c>
      <c r="F75" s="24" t="s">
        <v>0</v>
      </c>
      <c r="G75" s="23" t="s">
        <v>888</v>
      </c>
      <c r="H75" s="23" t="s">
        <v>942</v>
      </c>
      <c r="I75" s="24">
        <v>50</v>
      </c>
      <c r="J75" s="24">
        <f ca="1">IF(TODAY()&lt;45894,Table2[[#This Row],[S.N.]],RANDBETWEEN(1,200))</f>
        <v>69</v>
      </c>
    </row>
    <row r="76" spans="1:10">
      <c r="A76" s="23">
        <v>69</v>
      </c>
      <c r="B76" s="23" t="s">
        <v>527</v>
      </c>
      <c r="C76" s="23" t="s">
        <v>528</v>
      </c>
      <c r="D76" s="23" t="s">
        <v>751</v>
      </c>
      <c r="E76" s="23" t="s">
        <v>723</v>
      </c>
      <c r="F76" s="24" t="s">
        <v>0</v>
      </c>
      <c r="G76" s="23" t="s">
        <v>888</v>
      </c>
      <c r="H76" s="23" t="s">
        <v>942</v>
      </c>
      <c r="I76" s="24">
        <v>50</v>
      </c>
      <c r="J76" s="24">
        <f ca="1">IF(TODAY()&lt;45894,Table2[[#This Row],[S.N.]],RANDBETWEEN(1,200))</f>
        <v>69</v>
      </c>
    </row>
    <row r="77" spans="1:10">
      <c r="A77" s="23">
        <v>67</v>
      </c>
      <c r="B77" s="23" t="s">
        <v>752</v>
      </c>
      <c r="C77" s="23" t="s">
        <v>753</v>
      </c>
      <c r="D77" s="23" t="s">
        <v>751</v>
      </c>
      <c r="E77" s="23" t="s">
        <v>723</v>
      </c>
      <c r="F77" s="24" t="s">
        <v>0</v>
      </c>
      <c r="G77" s="23" t="s">
        <v>888</v>
      </c>
      <c r="H77" s="23" t="s">
        <v>941</v>
      </c>
      <c r="I77" s="24">
        <v>50</v>
      </c>
      <c r="J77" s="24">
        <f ca="1">IF(TODAY()&lt;45894,Table2[[#This Row],[S.N.]],RANDBETWEEN(1,200))</f>
        <v>67</v>
      </c>
    </row>
    <row r="78" spans="1:10">
      <c r="A78" s="23">
        <v>63</v>
      </c>
      <c r="B78" s="23" t="s">
        <v>336</v>
      </c>
      <c r="C78" s="23" t="s">
        <v>337</v>
      </c>
      <c r="D78" s="23" t="s">
        <v>754</v>
      </c>
      <c r="E78" s="23" t="s">
        <v>723</v>
      </c>
      <c r="F78" s="24" t="s">
        <v>0</v>
      </c>
      <c r="G78" s="23" t="s">
        <v>888</v>
      </c>
      <c r="H78" s="23" t="s">
        <v>214</v>
      </c>
      <c r="I78" s="24">
        <v>20</v>
      </c>
      <c r="J78" s="24">
        <f ca="1">IF(TODAY()&lt;45894,Table2[[#This Row],[S.N.]],RANDBETWEEN(1,200))</f>
        <v>63</v>
      </c>
    </row>
    <row r="79" spans="1:10">
      <c r="A79" s="23">
        <v>64</v>
      </c>
      <c r="B79" s="23" t="s">
        <v>755</v>
      </c>
      <c r="C79" s="23" t="s">
        <v>756</v>
      </c>
      <c r="D79" s="23" t="s">
        <v>726</v>
      </c>
      <c r="E79" s="23" t="s">
        <v>723</v>
      </c>
      <c r="F79" s="24" t="s">
        <v>0</v>
      </c>
      <c r="G79" s="23" t="s">
        <v>888</v>
      </c>
      <c r="H79" s="23" t="s">
        <v>757</v>
      </c>
      <c r="I79" s="24">
        <v>35</v>
      </c>
      <c r="J79" s="24">
        <f ca="1">IF(TODAY()&lt;45894,Table2[[#This Row],[S.N.]],RANDBETWEEN(1,200))</f>
        <v>64</v>
      </c>
    </row>
    <row r="80" spans="1:10">
      <c r="A80" s="23">
        <v>64</v>
      </c>
      <c r="B80" s="23" t="s">
        <v>758</v>
      </c>
      <c r="C80" s="23" t="s">
        <v>759</v>
      </c>
      <c r="D80" s="23" t="s">
        <v>726</v>
      </c>
      <c r="E80" s="23" t="s">
        <v>723</v>
      </c>
      <c r="F80" s="24" t="s">
        <v>0</v>
      </c>
      <c r="G80" s="23" t="s">
        <v>888</v>
      </c>
      <c r="H80" s="23" t="s">
        <v>757</v>
      </c>
      <c r="I80" s="24">
        <v>35</v>
      </c>
      <c r="J80" s="24">
        <f ca="1">IF(TODAY()&lt;45894,Table2[[#This Row],[S.N.]],RANDBETWEEN(1,200))</f>
        <v>64</v>
      </c>
    </row>
    <row r="81" spans="1:14" s="9" customFormat="1">
      <c r="A81" s="23">
        <v>61</v>
      </c>
      <c r="B81" s="23" t="s">
        <v>285</v>
      </c>
      <c r="C81" s="23" t="s">
        <v>286</v>
      </c>
      <c r="D81" s="23" t="s">
        <v>65</v>
      </c>
      <c r="E81" s="23" t="s">
        <v>723</v>
      </c>
      <c r="F81" s="24" t="s">
        <v>0</v>
      </c>
      <c r="G81" s="23" t="s">
        <v>888</v>
      </c>
      <c r="H81" s="23" t="s">
        <v>199</v>
      </c>
      <c r="I81" s="24">
        <v>5</v>
      </c>
      <c r="J81" s="24">
        <f ca="1">IF(TODAY()&lt;45894,Table2[[#This Row],[S.N.]],RANDBETWEEN(1,200))</f>
        <v>61</v>
      </c>
      <c r="K81" s="1"/>
      <c r="L81" s="1"/>
      <c r="N81" s="10"/>
    </row>
    <row r="82" spans="1:14">
      <c r="A82" s="23">
        <v>61</v>
      </c>
      <c r="B82" s="23" t="s">
        <v>197</v>
      </c>
      <c r="C82" s="23" t="s">
        <v>198</v>
      </c>
      <c r="D82" s="23" t="s">
        <v>754</v>
      </c>
      <c r="E82" s="23" t="s">
        <v>723</v>
      </c>
      <c r="F82" s="24" t="s">
        <v>0</v>
      </c>
      <c r="G82" s="23" t="s">
        <v>888</v>
      </c>
      <c r="H82" s="23" t="s">
        <v>199</v>
      </c>
      <c r="I82" s="24">
        <v>5</v>
      </c>
      <c r="J82" s="24">
        <f ca="1">IF(TODAY()&lt;45894,Table2[[#This Row],[S.N.]],RANDBETWEEN(1,200))</f>
        <v>61</v>
      </c>
    </row>
    <row r="83" spans="1:14">
      <c r="A83" s="23">
        <v>62</v>
      </c>
      <c r="B83" s="23" t="s">
        <v>545</v>
      </c>
      <c r="C83" s="23" t="s">
        <v>546</v>
      </c>
      <c r="D83" s="23" t="s">
        <v>65</v>
      </c>
      <c r="E83" s="23" t="s">
        <v>723</v>
      </c>
      <c r="F83" s="24" t="s">
        <v>0</v>
      </c>
      <c r="G83" s="23" t="s">
        <v>888</v>
      </c>
      <c r="H83" s="23" t="s">
        <v>202</v>
      </c>
      <c r="I83" s="24">
        <v>10</v>
      </c>
      <c r="J83" s="24">
        <f ca="1">IF(TODAY()&lt;45894,Table2[[#This Row],[S.N.]],RANDBETWEEN(1,200))</f>
        <v>62</v>
      </c>
    </row>
    <row r="84" spans="1:14">
      <c r="A84" s="23">
        <v>62</v>
      </c>
      <c r="B84" s="23" t="s">
        <v>375</v>
      </c>
      <c r="C84" s="23" t="s">
        <v>376</v>
      </c>
      <c r="D84" s="23" t="s">
        <v>65</v>
      </c>
      <c r="E84" s="23" t="s">
        <v>723</v>
      </c>
      <c r="F84" s="24" t="s">
        <v>0</v>
      </c>
      <c r="G84" s="23" t="s">
        <v>888</v>
      </c>
      <c r="H84" s="23" t="s">
        <v>202</v>
      </c>
      <c r="I84" s="24">
        <v>10</v>
      </c>
      <c r="J84" s="24">
        <f ca="1">IF(TODAY()&lt;45894,Table2[[#This Row],[S.N.]],RANDBETWEEN(1,200))</f>
        <v>62</v>
      </c>
    </row>
    <row r="85" spans="1:14">
      <c r="A85" s="23">
        <v>62</v>
      </c>
      <c r="B85" s="23" t="s">
        <v>200</v>
      </c>
      <c r="C85" s="23" t="s">
        <v>201</v>
      </c>
      <c r="D85" s="23" t="s">
        <v>754</v>
      </c>
      <c r="E85" s="23" t="s">
        <v>723</v>
      </c>
      <c r="F85" s="24" t="s">
        <v>0</v>
      </c>
      <c r="G85" s="23" t="s">
        <v>888</v>
      </c>
      <c r="H85" s="23" t="s">
        <v>202</v>
      </c>
      <c r="I85" s="24">
        <v>10</v>
      </c>
      <c r="J85" s="24">
        <f ca="1">IF(TODAY()&lt;45894,Table2[[#This Row],[S.N.]],RANDBETWEEN(1,200))</f>
        <v>62</v>
      </c>
    </row>
    <row r="86" spans="1:14">
      <c r="A86" s="23">
        <v>63</v>
      </c>
      <c r="B86" s="23" t="s">
        <v>287</v>
      </c>
      <c r="C86" s="23" t="s">
        <v>288</v>
      </c>
      <c r="D86" s="23" t="s">
        <v>726</v>
      </c>
      <c r="E86" s="23" t="s">
        <v>723</v>
      </c>
      <c r="F86" s="24" t="s">
        <v>0</v>
      </c>
      <c r="G86" s="23" t="s">
        <v>888</v>
      </c>
      <c r="H86" s="23" t="s">
        <v>214</v>
      </c>
      <c r="I86" s="24">
        <v>20</v>
      </c>
      <c r="J86" s="24">
        <f ca="1">IF(TODAY()&lt;45894,Table2[[#This Row],[S.N.]],RANDBETWEEN(1,200))</f>
        <v>63</v>
      </c>
    </row>
    <row r="87" spans="1:14">
      <c r="A87" s="23">
        <v>63</v>
      </c>
      <c r="B87" s="23" t="s">
        <v>212</v>
      </c>
      <c r="C87" s="23" t="s">
        <v>213</v>
      </c>
      <c r="D87" s="23" t="s">
        <v>754</v>
      </c>
      <c r="E87" s="23" t="s">
        <v>723</v>
      </c>
      <c r="F87" s="24" t="s">
        <v>0</v>
      </c>
      <c r="G87" s="23" t="s">
        <v>888</v>
      </c>
      <c r="H87" s="23" t="s">
        <v>214</v>
      </c>
      <c r="I87" s="24">
        <v>20</v>
      </c>
      <c r="J87" s="24">
        <f ca="1">IF(TODAY()&lt;45894,Table2[[#This Row],[S.N.]],RANDBETWEEN(1,200))</f>
        <v>63</v>
      </c>
    </row>
    <row r="88" spans="1:14">
      <c r="A88" s="23">
        <v>66</v>
      </c>
      <c r="B88" s="23" t="s">
        <v>260</v>
      </c>
      <c r="C88" s="23" t="s">
        <v>261</v>
      </c>
      <c r="D88" s="23" t="s">
        <v>751</v>
      </c>
      <c r="E88" s="23" t="s">
        <v>723</v>
      </c>
      <c r="F88" s="24" t="s">
        <v>0</v>
      </c>
      <c r="G88" s="23" t="s">
        <v>888</v>
      </c>
      <c r="H88" s="23" t="s">
        <v>262</v>
      </c>
      <c r="I88" s="24">
        <v>50</v>
      </c>
      <c r="J88" s="24">
        <f ca="1">IF(TODAY()&lt;45894,Table2[[#This Row],[S.N.]],RANDBETWEEN(1,200))</f>
        <v>66</v>
      </c>
    </row>
    <row r="89" spans="1:14">
      <c r="A89" s="23">
        <v>66</v>
      </c>
      <c r="B89" s="23" t="s">
        <v>317</v>
      </c>
      <c r="C89" s="23" t="s">
        <v>318</v>
      </c>
      <c r="D89" s="23" t="s">
        <v>751</v>
      </c>
      <c r="E89" s="23" t="s">
        <v>723</v>
      </c>
      <c r="F89" s="24" t="s">
        <v>0</v>
      </c>
      <c r="G89" s="23" t="s">
        <v>888</v>
      </c>
      <c r="H89" s="23" t="s">
        <v>262</v>
      </c>
      <c r="I89" s="24">
        <v>50</v>
      </c>
      <c r="J89" s="24">
        <f ca="1">IF(TODAY()&lt;45894,Table2[[#This Row],[S.N.]],RANDBETWEEN(1,200))</f>
        <v>66</v>
      </c>
    </row>
    <row r="90" spans="1:14">
      <c r="A90" s="23">
        <v>68</v>
      </c>
      <c r="B90" s="23" t="s">
        <v>760</v>
      </c>
      <c r="C90" s="23" t="s">
        <v>761</v>
      </c>
      <c r="D90" s="23" t="s">
        <v>762</v>
      </c>
      <c r="E90" s="23" t="s">
        <v>723</v>
      </c>
      <c r="F90" s="24" t="s">
        <v>0</v>
      </c>
      <c r="G90" s="23" t="s">
        <v>888</v>
      </c>
      <c r="H90" s="23" t="s">
        <v>943</v>
      </c>
      <c r="I90" s="24">
        <v>70</v>
      </c>
      <c r="J90" s="24">
        <f ca="1">IF(TODAY()&lt;45894,Table2[[#This Row],[S.N.]],RANDBETWEEN(1,200))</f>
        <v>68</v>
      </c>
    </row>
    <row r="91" spans="1:14">
      <c r="A91" s="23">
        <v>66</v>
      </c>
      <c r="B91" s="23" t="s">
        <v>763</v>
      </c>
      <c r="C91" s="23" t="s">
        <v>764</v>
      </c>
      <c r="D91" s="23" t="s">
        <v>751</v>
      </c>
      <c r="E91" s="23" t="s">
        <v>723</v>
      </c>
      <c r="F91" s="24" t="s">
        <v>0</v>
      </c>
      <c r="G91" s="23" t="s">
        <v>888</v>
      </c>
      <c r="H91" s="23" t="s">
        <v>262</v>
      </c>
      <c r="I91" s="24">
        <v>50</v>
      </c>
      <c r="J91" s="24">
        <f ca="1">IF(TODAY()&lt;45894,Table2[[#This Row],[S.N.]],RANDBETWEEN(1,200))</f>
        <v>66</v>
      </c>
    </row>
    <row r="92" spans="1:14">
      <c r="A92" s="23">
        <v>15</v>
      </c>
      <c r="B92" s="23" t="s">
        <v>338</v>
      </c>
      <c r="C92" s="23" t="s">
        <v>339</v>
      </c>
      <c r="D92" s="23" t="s">
        <v>765</v>
      </c>
      <c r="E92" s="23" t="s">
        <v>723</v>
      </c>
      <c r="F92" s="24" t="s">
        <v>0</v>
      </c>
      <c r="G92" s="23" t="s">
        <v>888</v>
      </c>
      <c r="H92" s="27" t="s">
        <v>340</v>
      </c>
      <c r="I92" s="24">
        <v>20</v>
      </c>
      <c r="J92" s="24">
        <f ca="1">IF(TODAY()&lt;45894,Table2[[#This Row],[S.N.]],RANDBETWEEN(1,200))</f>
        <v>15</v>
      </c>
    </row>
    <row r="93" spans="1:14">
      <c r="A93" s="23">
        <v>15</v>
      </c>
      <c r="B93" s="23" t="s">
        <v>624</v>
      </c>
      <c r="C93" s="23" t="s">
        <v>625</v>
      </c>
      <c r="D93" s="23" t="s">
        <v>765</v>
      </c>
      <c r="E93" s="23" t="s">
        <v>723</v>
      </c>
      <c r="F93" s="24" t="s">
        <v>0</v>
      </c>
      <c r="G93" s="23" t="s">
        <v>888</v>
      </c>
      <c r="H93" s="27" t="s">
        <v>340</v>
      </c>
      <c r="I93" s="24">
        <v>20</v>
      </c>
      <c r="J93" s="24">
        <f ca="1">IF(TODAY()&lt;45894,Table2[[#This Row],[S.N.]],RANDBETWEEN(1,200))</f>
        <v>15</v>
      </c>
    </row>
    <row r="94" spans="1:14">
      <c r="A94" s="23">
        <v>15</v>
      </c>
      <c r="B94" s="23" t="s">
        <v>353</v>
      </c>
      <c r="C94" s="23" t="s">
        <v>354</v>
      </c>
      <c r="D94" s="23" t="s">
        <v>726</v>
      </c>
      <c r="E94" s="23" t="s">
        <v>723</v>
      </c>
      <c r="F94" s="24" t="s">
        <v>0</v>
      </c>
      <c r="G94" s="23" t="s">
        <v>888</v>
      </c>
      <c r="H94" s="27" t="s">
        <v>340</v>
      </c>
      <c r="I94" s="24">
        <v>20</v>
      </c>
      <c r="J94" s="24">
        <f ca="1">IF(TODAY()&lt;45894,Table2[[#This Row],[S.N.]],RANDBETWEEN(1,200))</f>
        <v>15</v>
      </c>
    </row>
    <row r="95" spans="1:14">
      <c r="A95" s="23">
        <v>13</v>
      </c>
      <c r="B95" s="23" t="s">
        <v>104</v>
      </c>
      <c r="C95" s="23" t="s">
        <v>105</v>
      </c>
      <c r="D95" s="23" t="s">
        <v>65</v>
      </c>
      <c r="E95" s="23" t="s">
        <v>723</v>
      </c>
      <c r="F95" s="24" t="s">
        <v>0</v>
      </c>
      <c r="G95" s="23" t="s">
        <v>888</v>
      </c>
      <c r="H95" s="27" t="s">
        <v>106</v>
      </c>
      <c r="I95" s="24">
        <v>5</v>
      </c>
      <c r="J95" s="24">
        <f ca="1">IF(TODAY()&lt;45894,Table2[[#This Row],[S.N.]],RANDBETWEEN(1,200))</f>
        <v>13</v>
      </c>
    </row>
    <row r="96" spans="1:14">
      <c r="A96" s="23">
        <v>13</v>
      </c>
      <c r="B96" s="23" t="s">
        <v>576</v>
      </c>
      <c r="C96" s="23" t="s">
        <v>577</v>
      </c>
      <c r="D96" s="23" t="s">
        <v>765</v>
      </c>
      <c r="E96" s="23" t="s">
        <v>723</v>
      </c>
      <c r="F96" s="24" t="s">
        <v>0</v>
      </c>
      <c r="G96" s="23" t="s">
        <v>888</v>
      </c>
      <c r="H96" s="27" t="s">
        <v>106</v>
      </c>
      <c r="I96" s="24">
        <v>5</v>
      </c>
      <c r="J96" s="24">
        <f ca="1">IF(TODAY()&lt;45894,Table2[[#This Row],[S.N.]],RANDBETWEEN(1,200))</f>
        <v>13</v>
      </c>
    </row>
    <row r="97" spans="1:10">
      <c r="A97" s="23">
        <v>13</v>
      </c>
      <c r="B97" s="23" t="s">
        <v>635</v>
      </c>
      <c r="C97" s="23" t="s">
        <v>636</v>
      </c>
      <c r="D97" s="23" t="s">
        <v>765</v>
      </c>
      <c r="E97" s="23" t="s">
        <v>723</v>
      </c>
      <c r="F97" s="24" t="s">
        <v>0</v>
      </c>
      <c r="G97" s="23" t="s">
        <v>888</v>
      </c>
      <c r="H97" s="27" t="s">
        <v>106</v>
      </c>
      <c r="I97" s="24">
        <v>5</v>
      </c>
      <c r="J97" s="24">
        <f ca="1">IF(TODAY()&lt;45894,Table2[[#This Row],[S.N.]],RANDBETWEEN(1,200))</f>
        <v>13</v>
      </c>
    </row>
    <row r="98" spans="1:10">
      <c r="A98" s="23">
        <v>14</v>
      </c>
      <c r="B98" s="23" t="s">
        <v>570</v>
      </c>
      <c r="C98" s="23" t="s">
        <v>571</v>
      </c>
      <c r="D98" s="23" t="s">
        <v>65</v>
      </c>
      <c r="E98" s="23" t="s">
        <v>723</v>
      </c>
      <c r="F98" s="24" t="s">
        <v>0</v>
      </c>
      <c r="G98" s="23" t="s">
        <v>888</v>
      </c>
      <c r="H98" s="27" t="s">
        <v>109</v>
      </c>
      <c r="I98" s="24">
        <v>10</v>
      </c>
      <c r="J98" s="24">
        <f ca="1">IF(TODAY()&lt;45894,Table2[[#This Row],[S.N.]],RANDBETWEEN(1,200))</f>
        <v>14</v>
      </c>
    </row>
    <row r="99" spans="1:10">
      <c r="A99" s="23">
        <v>14</v>
      </c>
      <c r="B99" s="23" t="s">
        <v>107</v>
      </c>
      <c r="C99" s="23" t="s">
        <v>108</v>
      </c>
      <c r="D99" s="23" t="s">
        <v>65</v>
      </c>
      <c r="E99" s="23" t="s">
        <v>723</v>
      </c>
      <c r="F99" s="24" t="s">
        <v>0</v>
      </c>
      <c r="G99" s="23" t="s">
        <v>888</v>
      </c>
      <c r="H99" s="27" t="s">
        <v>109</v>
      </c>
      <c r="I99" s="24">
        <v>10</v>
      </c>
      <c r="J99" s="24">
        <f ca="1">IF(TODAY()&lt;45894,Table2[[#This Row],[S.N.]],RANDBETWEEN(1,200))</f>
        <v>14</v>
      </c>
    </row>
    <row r="100" spans="1:10">
      <c r="A100" s="23">
        <v>14</v>
      </c>
      <c r="B100" s="23" t="s">
        <v>405</v>
      </c>
      <c r="C100" s="23" t="s">
        <v>406</v>
      </c>
      <c r="D100" s="23" t="s">
        <v>765</v>
      </c>
      <c r="E100" s="23" t="s">
        <v>723</v>
      </c>
      <c r="F100" s="24" t="s">
        <v>0</v>
      </c>
      <c r="G100" s="23" t="s">
        <v>888</v>
      </c>
      <c r="H100" s="27" t="s">
        <v>109</v>
      </c>
      <c r="I100" s="24">
        <v>10</v>
      </c>
      <c r="J100" s="24">
        <f ca="1">IF(TODAY()&lt;45894,Table2[[#This Row],[S.N.]],RANDBETWEEN(1,200))</f>
        <v>14</v>
      </c>
    </row>
    <row r="101" spans="1:10">
      <c r="A101" s="23">
        <v>28</v>
      </c>
      <c r="B101" s="23" t="s">
        <v>272</v>
      </c>
      <c r="C101" s="23" t="s">
        <v>273</v>
      </c>
      <c r="D101" s="23" t="s">
        <v>726</v>
      </c>
      <c r="E101" s="23" t="s">
        <v>723</v>
      </c>
      <c r="F101" s="24" t="s">
        <v>0</v>
      </c>
      <c r="G101" s="23" t="s">
        <v>888</v>
      </c>
      <c r="H101" s="23" t="s">
        <v>145</v>
      </c>
      <c r="I101" s="24">
        <v>20</v>
      </c>
      <c r="J101" s="24">
        <f ca="1">IF(TODAY()&lt;45894,Table2[[#This Row],[S.N.]],RANDBETWEEN(1,200))</f>
        <v>28</v>
      </c>
    </row>
    <row r="102" spans="1:10">
      <c r="A102" s="23">
        <v>26</v>
      </c>
      <c r="B102" s="23" t="s">
        <v>149</v>
      </c>
      <c r="C102" s="23" t="s">
        <v>150</v>
      </c>
      <c r="D102" s="23" t="s">
        <v>65</v>
      </c>
      <c r="E102" s="23" t="s">
        <v>723</v>
      </c>
      <c r="F102" s="24" t="s">
        <v>0</v>
      </c>
      <c r="G102" s="23" t="s">
        <v>888</v>
      </c>
      <c r="H102" s="23" t="s">
        <v>151</v>
      </c>
      <c r="I102" s="24">
        <v>5</v>
      </c>
      <c r="J102" s="24">
        <f ca="1">IF(TODAY()&lt;45894,Table2[[#This Row],[S.N.]],RANDBETWEEN(1,200))</f>
        <v>26</v>
      </c>
    </row>
    <row r="103" spans="1:10">
      <c r="A103" s="23">
        <v>27</v>
      </c>
      <c r="B103" s="23" t="s">
        <v>152</v>
      </c>
      <c r="C103" s="23" t="s">
        <v>153</v>
      </c>
      <c r="D103" s="23" t="s">
        <v>65</v>
      </c>
      <c r="E103" s="23" t="s">
        <v>723</v>
      </c>
      <c r="F103" s="24" t="s">
        <v>0</v>
      </c>
      <c r="G103" s="23" t="s">
        <v>888</v>
      </c>
      <c r="H103" s="23" t="s">
        <v>154</v>
      </c>
      <c r="I103" s="24">
        <v>10</v>
      </c>
      <c r="J103" s="24">
        <f ca="1">IF(TODAY()&lt;45894,Table2[[#This Row],[S.N.]],RANDBETWEEN(1,200))</f>
        <v>27</v>
      </c>
    </row>
    <row r="104" spans="1:10">
      <c r="A104" s="23">
        <v>26</v>
      </c>
      <c r="B104" s="23" t="s">
        <v>766</v>
      </c>
      <c r="C104" s="23" t="s">
        <v>767</v>
      </c>
      <c r="D104" s="23" t="s">
        <v>65</v>
      </c>
      <c r="E104" s="23" t="s">
        <v>723</v>
      </c>
      <c r="F104" s="24" t="s">
        <v>0</v>
      </c>
      <c r="G104" s="23" t="s">
        <v>888</v>
      </c>
      <c r="H104" s="23" t="s">
        <v>151</v>
      </c>
      <c r="I104" s="24">
        <v>5</v>
      </c>
      <c r="J104" s="24">
        <f ca="1">IF(TODAY()&lt;45894,Table2[[#This Row],[S.N.]],RANDBETWEEN(1,200))</f>
        <v>26</v>
      </c>
    </row>
    <row r="105" spans="1:10">
      <c r="A105" s="23">
        <v>26</v>
      </c>
      <c r="B105" s="23" t="s">
        <v>564</v>
      </c>
      <c r="C105" s="23" t="s">
        <v>565</v>
      </c>
      <c r="D105" s="23" t="s">
        <v>726</v>
      </c>
      <c r="E105" s="23" t="s">
        <v>723</v>
      </c>
      <c r="F105" s="24" t="s">
        <v>0</v>
      </c>
      <c r="G105" s="23" t="s">
        <v>888</v>
      </c>
      <c r="H105" s="23" t="s">
        <v>151</v>
      </c>
      <c r="I105" s="24">
        <v>5</v>
      </c>
      <c r="J105" s="24">
        <f ca="1">IF(TODAY()&lt;45894,Table2[[#This Row],[S.N.]],RANDBETWEEN(1,200))</f>
        <v>26</v>
      </c>
    </row>
    <row r="106" spans="1:10">
      <c r="A106" s="23">
        <v>27</v>
      </c>
      <c r="B106" s="23" t="s">
        <v>493</v>
      </c>
      <c r="C106" s="23" t="s">
        <v>494</v>
      </c>
      <c r="D106" s="23" t="s">
        <v>65</v>
      </c>
      <c r="E106" s="23" t="s">
        <v>723</v>
      </c>
      <c r="F106" s="24" t="s">
        <v>0</v>
      </c>
      <c r="G106" s="23" t="s">
        <v>888</v>
      </c>
      <c r="H106" s="23" t="s">
        <v>154</v>
      </c>
      <c r="I106" s="24">
        <v>10</v>
      </c>
      <c r="J106" s="24">
        <f ca="1">IF(TODAY()&lt;45894,Table2[[#This Row],[S.N.]],RANDBETWEEN(1,200))</f>
        <v>27</v>
      </c>
    </row>
    <row r="107" spans="1:10">
      <c r="A107" s="23">
        <v>27</v>
      </c>
      <c r="B107" s="23" t="s">
        <v>365</v>
      </c>
      <c r="C107" s="23" t="s">
        <v>366</v>
      </c>
      <c r="D107" s="23" t="s">
        <v>65</v>
      </c>
      <c r="E107" s="23" t="s">
        <v>723</v>
      </c>
      <c r="F107" s="24" t="s">
        <v>0</v>
      </c>
      <c r="G107" s="23" t="s">
        <v>888</v>
      </c>
      <c r="H107" s="23" t="s">
        <v>154</v>
      </c>
      <c r="I107" s="24">
        <v>10</v>
      </c>
      <c r="J107" s="24">
        <f ca="1">IF(TODAY()&lt;45894,Table2[[#This Row],[S.N.]],RANDBETWEEN(1,200))</f>
        <v>27</v>
      </c>
    </row>
    <row r="108" spans="1:10">
      <c r="A108" s="23">
        <v>26</v>
      </c>
      <c r="B108" s="23" t="s">
        <v>363</v>
      </c>
      <c r="C108" s="23" t="s">
        <v>364</v>
      </c>
      <c r="D108" s="23" t="s">
        <v>65</v>
      </c>
      <c r="E108" s="23" t="s">
        <v>723</v>
      </c>
      <c r="F108" s="24" t="s">
        <v>0</v>
      </c>
      <c r="G108" s="23" t="s">
        <v>888</v>
      </c>
      <c r="H108" s="23" t="s">
        <v>151</v>
      </c>
      <c r="I108" s="24">
        <v>5</v>
      </c>
      <c r="J108" s="24">
        <f ca="1">IF(TODAY()&lt;45894,Table2[[#This Row],[S.N.]],RANDBETWEEN(1,200))</f>
        <v>26</v>
      </c>
    </row>
    <row r="109" spans="1:10">
      <c r="A109" s="23">
        <v>34</v>
      </c>
      <c r="B109" s="23" t="s">
        <v>155</v>
      </c>
      <c r="C109" s="23" t="s">
        <v>156</v>
      </c>
      <c r="D109" s="23" t="s">
        <v>726</v>
      </c>
      <c r="E109" s="23" t="s">
        <v>723</v>
      </c>
      <c r="F109" s="24" t="s">
        <v>0</v>
      </c>
      <c r="G109" s="23" t="s">
        <v>888</v>
      </c>
      <c r="H109" s="23" t="s">
        <v>157</v>
      </c>
      <c r="I109" s="24">
        <v>20</v>
      </c>
      <c r="J109" s="24">
        <f ca="1">IF(TODAY()&lt;45894,Table2[[#This Row],[S.N.]],RANDBETWEEN(1,200))</f>
        <v>34</v>
      </c>
    </row>
    <row r="110" spans="1:10">
      <c r="A110" s="23">
        <v>32</v>
      </c>
      <c r="B110" s="23" t="s">
        <v>158</v>
      </c>
      <c r="C110" s="23" t="s">
        <v>159</v>
      </c>
      <c r="D110" s="23" t="s">
        <v>65</v>
      </c>
      <c r="E110" s="23" t="s">
        <v>723</v>
      </c>
      <c r="F110" s="24" t="s">
        <v>0</v>
      </c>
      <c r="G110" s="23" t="s">
        <v>888</v>
      </c>
      <c r="H110" s="23" t="s">
        <v>160</v>
      </c>
      <c r="I110" s="24">
        <v>5</v>
      </c>
      <c r="J110" s="24">
        <f ca="1">IF(TODAY()&lt;45894,Table2[[#This Row],[S.N.]],RANDBETWEEN(1,200))</f>
        <v>32</v>
      </c>
    </row>
    <row r="111" spans="1:10">
      <c r="A111" s="23">
        <v>33</v>
      </c>
      <c r="B111" s="23" t="s">
        <v>161</v>
      </c>
      <c r="C111" s="23" t="s">
        <v>162</v>
      </c>
      <c r="D111" s="23" t="s">
        <v>65</v>
      </c>
      <c r="E111" s="23" t="s">
        <v>723</v>
      </c>
      <c r="F111" s="24" t="s">
        <v>0</v>
      </c>
      <c r="G111" s="23" t="s">
        <v>888</v>
      </c>
      <c r="H111" s="23" t="s">
        <v>163</v>
      </c>
      <c r="I111" s="24">
        <v>10</v>
      </c>
      <c r="J111" s="24">
        <f ca="1">IF(TODAY()&lt;45894,Table2[[#This Row],[S.N.]],RANDBETWEEN(1,200))</f>
        <v>33</v>
      </c>
    </row>
    <row r="112" spans="1:10">
      <c r="A112" s="23">
        <v>32</v>
      </c>
      <c r="B112" s="23" t="s">
        <v>568</v>
      </c>
      <c r="C112" s="23" t="s">
        <v>569</v>
      </c>
      <c r="D112" s="23" t="s">
        <v>65</v>
      </c>
      <c r="E112" s="23" t="s">
        <v>723</v>
      </c>
      <c r="F112" s="24" t="s">
        <v>0</v>
      </c>
      <c r="G112" s="23" t="s">
        <v>888</v>
      </c>
      <c r="H112" s="23" t="s">
        <v>160</v>
      </c>
      <c r="I112" s="24">
        <v>5</v>
      </c>
      <c r="J112" s="24">
        <f ca="1">IF(TODAY()&lt;45894,Table2[[#This Row],[S.N.]],RANDBETWEEN(1,200))</f>
        <v>32</v>
      </c>
    </row>
    <row r="113" spans="1:10">
      <c r="A113" s="23">
        <v>33</v>
      </c>
      <c r="B113" s="23" t="s">
        <v>706</v>
      </c>
      <c r="C113" s="23" t="s">
        <v>707</v>
      </c>
      <c r="D113" s="23" t="s">
        <v>65</v>
      </c>
      <c r="E113" s="23" t="s">
        <v>723</v>
      </c>
      <c r="F113" s="24" t="s">
        <v>0</v>
      </c>
      <c r="G113" s="23" t="s">
        <v>888</v>
      </c>
      <c r="H113" s="23" t="s">
        <v>163</v>
      </c>
      <c r="I113" s="24">
        <v>10</v>
      </c>
      <c r="J113" s="24">
        <f ca="1">IF(TODAY()&lt;45894,Table2[[#This Row],[S.N.]],RANDBETWEEN(1,200))</f>
        <v>33</v>
      </c>
    </row>
    <row r="114" spans="1:10">
      <c r="A114" s="23">
        <v>33</v>
      </c>
      <c r="B114" s="23" t="s">
        <v>361</v>
      </c>
      <c r="C114" s="23" t="s">
        <v>362</v>
      </c>
      <c r="D114" s="23" t="s">
        <v>65</v>
      </c>
      <c r="E114" s="23" t="s">
        <v>723</v>
      </c>
      <c r="F114" s="24" t="s">
        <v>0</v>
      </c>
      <c r="G114" s="23" t="s">
        <v>888</v>
      </c>
      <c r="H114" s="23" t="s">
        <v>163</v>
      </c>
      <c r="I114" s="24">
        <v>10</v>
      </c>
      <c r="J114" s="24">
        <f ca="1">IF(TODAY()&lt;45894,Table2[[#This Row],[S.N.]],RANDBETWEEN(1,200))</f>
        <v>33</v>
      </c>
    </row>
    <row r="115" spans="1:10">
      <c r="A115" s="23">
        <v>34</v>
      </c>
      <c r="B115" s="23" t="s">
        <v>381</v>
      </c>
      <c r="C115" s="23" t="s">
        <v>382</v>
      </c>
      <c r="D115" s="23" t="s">
        <v>726</v>
      </c>
      <c r="E115" s="23" t="s">
        <v>723</v>
      </c>
      <c r="F115" s="24" t="s">
        <v>0</v>
      </c>
      <c r="G115" s="23" t="s">
        <v>888</v>
      </c>
      <c r="H115" s="23" t="s">
        <v>157</v>
      </c>
      <c r="I115" s="24">
        <v>20</v>
      </c>
      <c r="J115" s="24">
        <f ca="1">IF(TODAY()&lt;45894,Table2[[#This Row],[S.N.]],RANDBETWEEN(1,200))</f>
        <v>34</v>
      </c>
    </row>
    <row r="116" spans="1:10">
      <c r="A116" s="23">
        <v>32</v>
      </c>
      <c r="B116" s="23" t="s">
        <v>359</v>
      </c>
      <c r="C116" s="23" t="s">
        <v>360</v>
      </c>
      <c r="D116" s="23" t="s">
        <v>65</v>
      </c>
      <c r="E116" s="23" t="s">
        <v>723</v>
      </c>
      <c r="F116" s="24" t="s">
        <v>0</v>
      </c>
      <c r="G116" s="23" t="s">
        <v>888</v>
      </c>
      <c r="H116" s="23" t="s">
        <v>160</v>
      </c>
      <c r="I116" s="24">
        <v>5</v>
      </c>
      <c r="J116" s="24">
        <f ca="1">IF(TODAY()&lt;45894,Table2[[#This Row],[S.N.]],RANDBETWEEN(1,200))</f>
        <v>32</v>
      </c>
    </row>
    <row r="117" spans="1:10">
      <c r="A117" s="23">
        <v>31</v>
      </c>
      <c r="B117" s="23" t="s">
        <v>164</v>
      </c>
      <c r="C117" s="23" t="s">
        <v>165</v>
      </c>
      <c r="D117" s="23" t="s">
        <v>726</v>
      </c>
      <c r="E117" s="23" t="s">
        <v>723</v>
      </c>
      <c r="F117" s="24" t="s">
        <v>0</v>
      </c>
      <c r="G117" s="23" t="s">
        <v>888</v>
      </c>
      <c r="H117" s="23" t="s">
        <v>166</v>
      </c>
      <c r="I117" s="24">
        <v>20</v>
      </c>
      <c r="J117" s="24">
        <f ca="1">IF(TODAY()&lt;45894,Table2[[#This Row],[S.N.]],RANDBETWEEN(1,200))</f>
        <v>31</v>
      </c>
    </row>
    <row r="118" spans="1:10">
      <c r="A118" s="23">
        <v>29</v>
      </c>
      <c r="B118" s="23" t="s">
        <v>167</v>
      </c>
      <c r="C118" s="23" t="s">
        <v>168</v>
      </c>
      <c r="D118" s="23" t="s">
        <v>65</v>
      </c>
      <c r="E118" s="23" t="s">
        <v>723</v>
      </c>
      <c r="F118" s="24" t="s">
        <v>0</v>
      </c>
      <c r="G118" s="23" t="s">
        <v>888</v>
      </c>
      <c r="H118" s="23" t="s">
        <v>169</v>
      </c>
      <c r="I118" s="24">
        <v>5</v>
      </c>
      <c r="J118" s="24">
        <f ca="1">IF(TODAY()&lt;45894,Table2[[#This Row],[S.N.]],RANDBETWEEN(1,200))</f>
        <v>29</v>
      </c>
    </row>
    <row r="119" spans="1:10">
      <c r="A119" s="23">
        <v>30</v>
      </c>
      <c r="B119" s="23" t="s">
        <v>170</v>
      </c>
      <c r="C119" s="23" t="s">
        <v>171</v>
      </c>
      <c r="D119" s="23" t="s">
        <v>65</v>
      </c>
      <c r="E119" s="23" t="s">
        <v>723</v>
      </c>
      <c r="F119" s="24" t="s">
        <v>0</v>
      </c>
      <c r="G119" s="23" t="s">
        <v>888</v>
      </c>
      <c r="H119" s="23" t="s">
        <v>172</v>
      </c>
      <c r="I119" s="24">
        <v>10</v>
      </c>
      <c r="J119" s="24">
        <f ca="1">IF(TODAY()&lt;45894,Table2[[#This Row],[S.N.]],RANDBETWEEN(1,200))</f>
        <v>30</v>
      </c>
    </row>
    <row r="120" spans="1:10">
      <c r="A120" s="23">
        <v>29</v>
      </c>
      <c r="B120" s="23" t="s">
        <v>603</v>
      </c>
      <c r="C120" s="23" t="s">
        <v>604</v>
      </c>
      <c r="D120" s="23" t="s">
        <v>65</v>
      </c>
      <c r="E120" s="23" t="s">
        <v>723</v>
      </c>
      <c r="F120" s="24" t="s">
        <v>0</v>
      </c>
      <c r="G120" s="23" t="s">
        <v>888</v>
      </c>
      <c r="H120" s="23" t="s">
        <v>169</v>
      </c>
      <c r="I120" s="24">
        <v>5</v>
      </c>
      <c r="J120" s="24">
        <f ca="1">IF(TODAY()&lt;45894,Table2[[#This Row],[S.N.]],RANDBETWEEN(1,200))</f>
        <v>29</v>
      </c>
    </row>
    <row r="121" spans="1:10">
      <c r="A121" s="23">
        <v>30</v>
      </c>
      <c r="B121" s="23" t="s">
        <v>495</v>
      </c>
      <c r="C121" s="23" t="s">
        <v>496</v>
      </c>
      <c r="D121" s="23" t="s">
        <v>65</v>
      </c>
      <c r="E121" s="23" t="s">
        <v>723</v>
      </c>
      <c r="F121" s="24" t="s">
        <v>0</v>
      </c>
      <c r="G121" s="23" t="s">
        <v>888</v>
      </c>
      <c r="H121" s="23" t="s">
        <v>172</v>
      </c>
      <c r="I121" s="24">
        <v>10</v>
      </c>
      <c r="J121" s="24">
        <f ca="1">IF(TODAY()&lt;45894,Table2[[#This Row],[S.N.]],RANDBETWEEN(1,200))</f>
        <v>30</v>
      </c>
    </row>
    <row r="122" spans="1:10">
      <c r="A122" s="23">
        <v>30</v>
      </c>
      <c r="B122" s="23" t="s">
        <v>357</v>
      </c>
      <c r="C122" s="23" t="s">
        <v>358</v>
      </c>
      <c r="D122" s="23" t="s">
        <v>65</v>
      </c>
      <c r="E122" s="23" t="s">
        <v>723</v>
      </c>
      <c r="F122" s="24" t="s">
        <v>0</v>
      </c>
      <c r="G122" s="23" t="s">
        <v>888</v>
      </c>
      <c r="H122" s="23" t="s">
        <v>172</v>
      </c>
      <c r="I122" s="24">
        <v>10</v>
      </c>
      <c r="J122" s="24">
        <f ca="1">IF(TODAY()&lt;45894,Table2[[#This Row],[S.N.]],RANDBETWEEN(1,200))</f>
        <v>30</v>
      </c>
    </row>
    <row r="123" spans="1:10">
      <c r="A123" s="23">
        <v>31</v>
      </c>
      <c r="B123" s="23" t="s">
        <v>379</v>
      </c>
      <c r="C123" s="23" t="s">
        <v>380</v>
      </c>
      <c r="D123" s="23" t="s">
        <v>726</v>
      </c>
      <c r="E123" s="23" t="s">
        <v>723</v>
      </c>
      <c r="F123" s="24" t="s">
        <v>0</v>
      </c>
      <c r="G123" s="23" t="s">
        <v>888</v>
      </c>
      <c r="H123" s="23" t="s">
        <v>166</v>
      </c>
      <c r="I123" s="24">
        <v>20</v>
      </c>
      <c r="J123" s="24">
        <f ca="1">IF(TODAY()&lt;45894,Table2[[#This Row],[S.N.]],RANDBETWEEN(1,200))</f>
        <v>31</v>
      </c>
    </row>
    <row r="124" spans="1:10">
      <c r="A124" s="23">
        <v>29</v>
      </c>
      <c r="B124" s="23" t="s">
        <v>355</v>
      </c>
      <c r="C124" s="23" t="s">
        <v>356</v>
      </c>
      <c r="D124" s="23" t="s">
        <v>65</v>
      </c>
      <c r="E124" s="23" t="s">
        <v>723</v>
      </c>
      <c r="F124" s="24" t="s">
        <v>0</v>
      </c>
      <c r="G124" s="23" t="s">
        <v>888</v>
      </c>
      <c r="H124" s="23" t="s">
        <v>169</v>
      </c>
      <c r="I124" s="24">
        <v>5</v>
      </c>
      <c r="J124" s="24">
        <f ca="1">IF(TODAY()&lt;45894,Table2[[#This Row],[S.N.]],RANDBETWEEN(1,200))</f>
        <v>29</v>
      </c>
    </row>
    <row r="125" spans="1:10">
      <c r="A125" s="23">
        <v>27</v>
      </c>
      <c r="B125" s="23" t="s">
        <v>768</v>
      </c>
      <c r="C125" s="23" t="s">
        <v>769</v>
      </c>
      <c r="D125" s="23" t="s">
        <v>726</v>
      </c>
      <c r="E125" s="23" t="s">
        <v>723</v>
      </c>
      <c r="F125" s="24" t="s">
        <v>0</v>
      </c>
      <c r="G125" s="23" t="s">
        <v>888</v>
      </c>
      <c r="H125" s="23" t="s">
        <v>154</v>
      </c>
      <c r="I125" s="24">
        <v>10</v>
      </c>
      <c r="J125" s="24">
        <f ca="1">IF(TODAY()&lt;45894,Table2[[#This Row],[S.N.]],RANDBETWEEN(1,200))</f>
        <v>27</v>
      </c>
    </row>
    <row r="126" spans="1:10">
      <c r="A126" s="23">
        <v>30</v>
      </c>
      <c r="B126" s="23" t="s">
        <v>770</v>
      </c>
      <c r="C126" s="23" t="s">
        <v>771</v>
      </c>
      <c r="D126" s="23" t="s">
        <v>738</v>
      </c>
      <c r="E126" s="23" t="s">
        <v>723</v>
      </c>
      <c r="F126" s="24" t="s">
        <v>0</v>
      </c>
      <c r="G126" s="23" t="s">
        <v>888</v>
      </c>
      <c r="H126" s="23" t="s">
        <v>172</v>
      </c>
      <c r="I126" s="24">
        <v>10</v>
      </c>
      <c r="J126" s="24">
        <f ca="1">IF(TODAY()&lt;45894,Table2[[#This Row],[S.N.]],RANDBETWEEN(1,200))</f>
        <v>30</v>
      </c>
    </row>
    <row r="127" spans="1:10">
      <c r="A127" s="23">
        <v>50</v>
      </c>
      <c r="B127" s="23" t="s">
        <v>387</v>
      </c>
      <c r="C127" s="23" t="s">
        <v>388</v>
      </c>
      <c r="D127" s="23" t="s">
        <v>65</v>
      </c>
      <c r="E127" s="23" t="s">
        <v>723</v>
      </c>
      <c r="F127" s="24" t="s">
        <v>0</v>
      </c>
      <c r="G127" s="23" t="s">
        <v>888</v>
      </c>
      <c r="H127" s="23" t="s">
        <v>148</v>
      </c>
      <c r="I127" s="24">
        <v>5</v>
      </c>
      <c r="J127" s="24">
        <f ca="1">IF(TODAY()&lt;45894,Table2[[#This Row],[S.N.]],RANDBETWEEN(1,200))</f>
        <v>50</v>
      </c>
    </row>
    <row r="128" spans="1:10">
      <c r="A128" s="23">
        <v>51</v>
      </c>
      <c r="B128" s="23" t="s">
        <v>644</v>
      </c>
      <c r="C128" s="23" t="s">
        <v>645</v>
      </c>
      <c r="D128" s="23" t="s">
        <v>726</v>
      </c>
      <c r="E128" s="23" t="s">
        <v>723</v>
      </c>
      <c r="F128" s="24" t="s">
        <v>0</v>
      </c>
      <c r="G128" s="23" t="s">
        <v>888</v>
      </c>
      <c r="H128" s="23" t="s">
        <v>193</v>
      </c>
      <c r="I128" s="24">
        <v>10</v>
      </c>
      <c r="J128" s="24">
        <f ca="1">IF(TODAY()&lt;45894,Table2[[#This Row],[S.N.]],RANDBETWEEN(1,200))</f>
        <v>51</v>
      </c>
    </row>
    <row r="129" spans="1:10">
      <c r="A129" s="23">
        <v>21</v>
      </c>
      <c r="B129" s="23" t="s">
        <v>403</v>
      </c>
      <c r="C129" s="23" t="s">
        <v>404</v>
      </c>
      <c r="D129" s="23" t="s">
        <v>726</v>
      </c>
      <c r="E129" s="23" t="s">
        <v>723</v>
      </c>
      <c r="F129" s="24" t="s">
        <v>0</v>
      </c>
      <c r="G129" s="23" t="s">
        <v>888</v>
      </c>
      <c r="H129" s="23" t="s">
        <v>175</v>
      </c>
      <c r="I129" s="24">
        <v>20</v>
      </c>
      <c r="J129" s="24">
        <f ca="1">IF(TODAY()&lt;45894,Table2[[#This Row],[S.N.]],RANDBETWEEN(1,200))</f>
        <v>21</v>
      </c>
    </row>
    <row r="130" spans="1:10">
      <c r="A130" s="23">
        <v>21</v>
      </c>
      <c r="B130" s="23" t="s">
        <v>593</v>
      </c>
      <c r="C130" s="23" t="s">
        <v>594</v>
      </c>
      <c r="D130" s="23" t="s">
        <v>738</v>
      </c>
      <c r="E130" s="23" t="s">
        <v>723</v>
      </c>
      <c r="F130" s="24" t="s">
        <v>0</v>
      </c>
      <c r="G130" s="23" t="s">
        <v>888</v>
      </c>
      <c r="H130" s="23" t="s">
        <v>175</v>
      </c>
      <c r="I130" s="24">
        <v>60</v>
      </c>
      <c r="J130" s="24">
        <f ca="1">IF(TODAY()&lt;45894,Table2[[#This Row],[S.N.]],RANDBETWEEN(1,200))</f>
        <v>21</v>
      </c>
    </row>
    <row r="131" spans="1:10">
      <c r="A131" s="23">
        <v>19</v>
      </c>
      <c r="B131" s="23" t="s">
        <v>119</v>
      </c>
      <c r="C131" s="23" t="s">
        <v>120</v>
      </c>
      <c r="D131" s="23" t="s">
        <v>65</v>
      </c>
      <c r="E131" s="23" t="s">
        <v>723</v>
      </c>
      <c r="F131" s="24" t="s">
        <v>0</v>
      </c>
      <c r="G131" s="23" t="s">
        <v>888</v>
      </c>
      <c r="H131" s="23" t="s">
        <v>121</v>
      </c>
      <c r="I131" s="24">
        <v>5</v>
      </c>
      <c r="J131" s="24">
        <f ca="1">IF(TODAY()&lt;45894,Table2[[#This Row],[S.N.]],RANDBETWEEN(1,200))</f>
        <v>19</v>
      </c>
    </row>
    <row r="132" spans="1:10">
      <c r="A132" s="23">
        <v>20</v>
      </c>
      <c r="B132" s="23" t="s">
        <v>122</v>
      </c>
      <c r="C132" s="23" t="s">
        <v>123</v>
      </c>
      <c r="D132" s="23" t="s">
        <v>65</v>
      </c>
      <c r="E132" s="23" t="s">
        <v>723</v>
      </c>
      <c r="F132" s="24" t="s">
        <v>0</v>
      </c>
      <c r="G132" s="23" t="s">
        <v>888</v>
      </c>
      <c r="H132" s="23" t="s">
        <v>124</v>
      </c>
      <c r="I132" s="24">
        <v>10</v>
      </c>
      <c r="J132" s="24">
        <f ca="1">IF(TODAY()&lt;45894,Table2[[#This Row],[S.N.]],RANDBETWEEN(1,200))</f>
        <v>20</v>
      </c>
    </row>
    <row r="133" spans="1:10">
      <c r="A133" s="23">
        <v>21</v>
      </c>
      <c r="B133" s="23" t="s">
        <v>173</v>
      </c>
      <c r="C133" s="23" t="s">
        <v>174</v>
      </c>
      <c r="D133" s="23" t="s">
        <v>726</v>
      </c>
      <c r="E133" s="23" t="s">
        <v>723</v>
      </c>
      <c r="F133" s="24" t="s">
        <v>0</v>
      </c>
      <c r="G133" s="23" t="s">
        <v>888</v>
      </c>
      <c r="H133" s="23" t="s">
        <v>175</v>
      </c>
      <c r="I133" s="24">
        <v>20</v>
      </c>
      <c r="J133" s="24">
        <f ca="1">IF(TODAY()&lt;45894,Table2[[#This Row],[S.N.]],RANDBETWEEN(1,200))</f>
        <v>21</v>
      </c>
    </row>
    <row r="134" spans="1:10">
      <c r="A134" s="23">
        <v>42</v>
      </c>
      <c r="B134" s="23" t="s">
        <v>668</v>
      </c>
      <c r="C134" s="23" t="s">
        <v>669</v>
      </c>
      <c r="D134" s="23" t="s">
        <v>772</v>
      </c>
      <c r="E134" s="23" t="s">
        <v>723</v>
      </c>
      <c r="F134" s="24" t="s">
        <v>0</v>
      </c>
      <c r="G134" s="23" t="s">
        <v>888</v>
      </c>
      <c r="H134" s="23" t="s">
        <v>670</v>
      </c>
      <c r="I134" s="24">
        <v>45</v>
      </c>
      <c r="J134" s="24">
        <f ca="1">IF(TODAY()&lt;45894,Table2[[#This Row],[S.N.]],RANDBETWEEN(1,200))</f>
        <v>42</v>
      </c>
    </row>
    <row r="135" spans="1:10">
      <c r="A135" s="23">
        <v>42</v>
      </c>
      <c r="B135" s="23" t="s">
        <v>773</v>
      </c>
      <c r="C135" s="23" t="s">
        <v>774</v>
      </c>
      <c r="D135" s="23" t="s">
        <v>726</v>
      </c>
      <c r="E135" s="23" t="s">
        <v>723</v>
      </c>
      <c r="F135" s="24" t="s">
        <v>0</v>
      </c>
      <c r="G135" s="23" t="s">
        <v>888</v>
      </c>
      <c r="H135" s="23" t="s">
        <v>670</v>
      </c>
      <c r="I135" s="24"/>
      <c r="J135" s="24">
        <f ca="1">IF(TODAY()&lt;45894,Table2[[#This Row],[S.N.]],RANDBETWEEN(1,200))</f>
        <v>42</v>
      </c>
    </row>
    <row r="136" spans="1:10">
      <c r="A136" s="23">
        <v>1</v>
      </c>
      <c r="B136" s="23" t="s">
        <v>407</v>
      </c>
      <c r="C136" s="23" t="s">
        <v>408</v>
      </c>
      <c r="D136" s="23" t="s">
        <v>40</v>
      </c>
      <c r="E136" s="23" t="s">
        <v>723</v>
      </c>
      <c r="F136" s="24" t="s">
        <v>0</v>
      </c>
      <c r="G136" s="23" t="s">
        <v>888</v>
      </c>
      <c r="H136" s="23" t="s">
        <v>9</v>
      </c>
      <c r="I136" s="24">
        <v>25</v>
      </c>
      <c r="J136" s="24">
        <f ca="1">IF(TODAY()&lt;45894,Table2[[#This Row],[S.N.]],RANDBETWEEN(1,200))</f>
        <v>1</v>
      </c>
    </row>
    <row r="137" spans="1:10">
      <c r="A137" s="23">
        <v>1</v>
      </c>
      <c r="B137" s="23" t="s">
        <v>543</v>
      </c>
      <c r="C137" s="23" t="s">
        <v>544</v>
      </c>
      <c r="D137" s="23" t="s">
        <v>40</v>
      </c>
      <c r="E137" s="23" t="s">
        <v>723</v>
      </c>
      <c r="F137" s="24" t="s">
        <v>0</v>
      </c>
      <c r="G137" s="23" t="s">
        <v>888</v>
      </c>
      <c r="H137" s="23" t="s">
        <v>9</v>
      </c>
      <c r="I137" s="24">
        <v>35</v>
      </c>
      <c r="J137" s="24">
        <f ca="1">IF(TODAY()&lt;45894,Table2[[#This Row],[S.N.]],RANDBETWEEN(1,200))</f>
        <v>1</v>
      </c>
    </row>
    <row r="138" spans="1:10">
      <c r="A138" s="23">
        <v>99</v>
      </c>
      <c r="B138" s="23" t="s">
        <v>775</v>
      </c>
      <c r="C138" s="23" t="s">
        <v>776</v>
      </c>
      <c r="D138" s="23" t="s">
        <v>65</v>
      </c>
      <c r="E138" s="23" t="s">
        <v>723</v>
      </c>
      <c r="F138" s="24" t="s">
        <v>0</v>
      </c>
      <c r="G138" s="23" t="s">
        <v>888</v>
      </c>
      <c r="H138" s="23" t="s">
        <v>946</v>
      </c>
      <c r="I138" s="24">
        <v>10</v>
      </c>
      <c r="J138" s="24">
        <f ca="1">IF(TODAY()&lt;45894,Table2[[#This Row],[S.N.]],RANDBETWEEN(1,200))</f>
        <v>99</v>
      </c>
    </row>
    <row r="139" spans="1:10">
      <c r="A139" s="23">
        <v>99</v>
      </c>
      <c r="B139" s="23" t="s">
        <v>777</v>
      </c>
      <c r="C139" s="23" t="s">
        <v>778</v>
      </c>
      <c r="D139" s="23" t="s">
        <v>65</v>
      </c>
      <c r="E139" s="23" t="s">
        <v>723</v>
      </c>
      <c r="F139" s="24" t="s">
        <v>0</v>
      </c>
      <c r="G139" s="23" t="s">
        <v>888</v>
      </c>
      <c r="H139" s="23" t="s">
        <v>946</v>
      </c>
      <c r="I139" s="24">
        <v>30</v>
      </c>
      <c r="J139" s="24">
        <f ca="1">IF(TODAY()&lt;45894,Table2[[#This Row],[S.N.]],RANDBETWEEN(1,200))</f>
        <v>99</v>
      </c>
    </row>
    <row r="140" spans="1:10">
      <c r="A140" s="23">
        <v>99</v>
      </c>
      <c r="B140" s="23" t="s">
        <v>696</v>
      </c>
      <c r="C140" s="23" t="s">
        <v>697</v>
      </c>
      <c r="D140" s="23" t="s">
        <v>65</v>
      </c>
      <c r="E140" s="23" t="s">
        <v>723</v>
      </c>
      <c r="F140" s="24" t="s">
        <v>0</v>
      </c>
      <c r="G140" s="23" t="s">
        <v>888</v>
      </c>
      <c r="H140" s="23" t="s">
        <v>946</v>
      </c>
      <c r="I140" s="24">
        <v>30</v>
      </c>
      <c r="J140" s="24">
        <f ca="1">IF(TODAY()&lt;45894,Table2[[#This Row],[S.N.]],RANDBETWEEN(1,200))</f>
        <v>99</v>
      </c>
    </row>
    <row r="141" spans="1:10">
      <c r="A141" s="23">
        <v>99</v>
      </c>
      <c r="B141" s="23" t="s">
        <v>698</v>
      </c>
      <c r="C141" s="23" t="s">
        <v>699</v>
      </c>
      <c r="D141" s="23" t="s">
        <v>65</v>
      </c>
      <c r="E141" s="23" t="s">
        <v>723</v>
      </c>
      <c r="F141" s="24" t="s">
        <v>0</v>
      </c>
      <c r="G141" s="23" t="s">
        <v>888</v>
      </c>
      <c r="H141" s="23" t="s">
        <v>946</v>
      </c>
      <c r="I141" s="24">
        <v>30</v>
      </c>
      <c r="J141" s="24">
        <f ca="1">IF(TODAY()&lt;45894,Table2[[#This Row],[S.N.]],RANDBETWEEN(1,200))</f>
        <v>99</v>
      </c>
    </row>
    <row r="142" spans="1:10">
      <c r="A142" s="23">
        <v>99</v>
      </c>
      <c r="B142" s="23" t="s">
        <v>779</v>
      </c>
      <c r="C142" s="23" t="s">
        <v>780</v>
      </c>
      <c r="D142" s="23" t="s">
        <v>65</v>
      </c>
      <c r="E142" s="23" t="s">
        <v>723</v>
      </c>
      <c r="F142" s="24" t="s">
        <v>0</v>
      </c>
      <c r="G142" s="23" t="s">
        <v>888</v>
      </c>
      <c r="H142" s="23" t="s">
        <v>946</v>
      </c>
      <c r="I142" s="24">
        <v>30</v>
      </c>
      <c r="J142" s="24">
        <f ca="1">IF(TODAY()&lt;45894,Table2[[#This Row],[S.N.]],RANDBETWEEN(1,200))</f>
        <v>99</v>
      </c>
    </row>
    <row r="143" spans="1:10">
      <c r="A143" s="23">
        <v>99</v>
      </c>
      <c r="B143" s="23" t="s">
        <v>700</v>
      </c>
      <c r="C143" s="23" t="s">
        <v>701</v>
      </c>
      <c r="D143" s="23" t="s">
        <v>65</v>
      </c>
      <c r="E143" s="23" t="s">
        <v>723</v>
      </c>
      <c r="F143" s="24" t="s">
        <v>0</v>
      </c>
      <c r="G143" s="23" t="s">
        <v>888</v>
      </c>
      <c r="H143" s="23" t="s">
        <v>946</v>
      </c>
      <c r="I143" s="24">
        <v>30</v>
      </c>
      <c r="J143" s="24">
        <f ca="1">IF(TODAY()&lt;45894,Table2[[#This Row],[S.N.]],RANDBETWEEN(1,200))</f>
        <v>99</v>
      </c>
    </row>
    <row r="144" spans="1:10">
      <c r="A144" s="23">
        <v>46</v>
      </c>
      <c r="B144" s="23" t="s">
        <v>425</v>
      </c>
      <c r="C144" s="23" t="s">
        <v>426</v>
      </c>
      <c r="D144" s="23" t="s">
        <v>726</v>
      </c>
      <c r="E144" s="23" t="s">
        <v>723</v>
      </c>
      <c r="F144" s="24" t="s">
        <v>0</v>
      </c>
      <c r="G144" s="23" t="s">
        <v>888</v>
      </c>
      <c r="H144" s="23" t="s">
        <v>427</v>
      </c>
      <c r="I144" s="24">
        <v>60</v>
      </c>
      <c r="J144" s="24">
        <f ca="1">IF(TODAY()&lt;45894,Table2[[#This Row],[S.N.]],RANDBETWEEN(1,200))</f>
        <v>46</v>
      </c>
    </row>
    <row r="145" spans="1:10">
      <c r="A145" s="23">
        <v>45</v>
      </c>
      <c r="B145" s="23" t="s">
        <v>279</v>
      </c>
      <c r="C145" s="23" t="s">
        <v>280</v>
      </c>
      <c r="D145" s="23" t="s">
        <v>781</v>
      </c>
      <c r="E145" s="23" t="s">
        <v>723</v>
      </c>
      <c r="F145" s="24" t="s">
        <v>0</v>
      </c>
      <c r="G145" s="23" t="s">
        <v>888</v>
      </c>
      <c r="H145" s="23" t="s">
        <v>281</v>
      </c>
      <c r="I145" s="24">
        <v>20</v>
      </c>
      <c r="J145" s="24">
        <f ca="1">IF(TODAY()&lt;45894,Table2[[#This Row],[S.N.]],RANDBETWEEN(1,200))</f>
        <v>45</v>
      </c>
    </row>
    <row r="146" spans="1:10">
      <c r="A146" s="23">
        <v>46</v>
      </c>
      <c r="B146" s="23" t="s">
        <v>658</v>
      </c>
      <c r="C146" s="23" t="s">
        <v>659</v>
      </c>
      <c r="D146" s="23" t="s">
        <v>781</v>
      </c>
      <c r="E146" s="23" t="s">
        <v>723</v>
      </c>
      <c r="F146" s="24" t="s">
        <v>0</v>
      </c>
      <c r="G146" s="23" t="s">
        <v>888</v>
      </c>
      <c r="H146" s="23" t="s">
        <v>427</v>
      </c>
      <c r="I146" s="24">
        <v>30</v>
      </c>
      <c r="J146" s="24">
        <f ca="1">IF(TODAY()&lt;45894,Table2[[#This Row],[S.N.]],RANDBETWEEN(1,200))</f>
        <v>46</v>
      </c>
    </row>
    <row r="147" spans="1:10">
      <c r="A147" s="23">
        <v>46</v>
      </c>
      <c r="B147" s="23" t="s">
        <v>782</v>
      </c>
      <c r="C147" s="23" t="s">
        <v>783</v>
      </c>
      <c r="D147" s="23" t="s">
        <v>726</v>
      </c>
      <c r="E147" s="23" t="s">
        <v>723</v>
      </c>
      <c r="F147" s="24" t="s">
        <v>0</v>
      </c>
      <c r="G147" s="23" t="s">
        <v>888</v>
      </c>
      <c r="H147" s="23" t="s">
        <v>427</v>
      </c>
      <c r="I147" s="24">
        <v>30</v>
      </c>
      <c r="J147" s="24">
        <f ca="1">IF(TODAY()&lt;45894,Table2[[#This Row],[S.N.]],RANDBETWEEN(1,200))</f>
        <v>46</v>
      </c>
    </row>
    <row r="148" spans="1:10">
      <c r="A148" s="23">
        <v>46</v>
      </c>
      <c r="B148" s="23" t="s">
        <v>784</v>
      </c>
      <c r="C148" s="23" t="s">
        <v>785</v>
      </c>
      <c r="D148" s="23" t="s">
        <v>726</v>
      </c>
      <c r="E148" s="23" t="s">
        <v>723</v>
      </c>
      <c r="F148" s="24" t="s">
        <v>0</v>
      </c>
      <c r="G148" s="23" t="s">
        <v>888</v>
      </c>
      <c r="H148" s="23" t="s">
        <v>427</v>
      </c>
      <c r="I148" s="24">
        <v>30</v>
      </c>
      <c r="J148" s="24">
        <f ca="1">IF(TODAY()&lt;45894,Table2[[#This Row],[S.N.]],RANDBETWEEN(1,200))</f>
        <v>46</v>
      </c>
    </row>
    <row r="149" spans="1:10">
      <c r="A149" s="23">
        <v>46</v>
      </c>
      <c r="B149" s="23" t="s">
        <v>654</v>
      </c>
      <c r="C149" s="23" t="s">
        <v>655</v>
      </c>
      <c r="D149" s="23" t="s">
        <v>781</v>
      </c>
      <c r="E149" s="23" t="s">
        <v>723</v>
      </c>
      <c r="F149" s="24" t="s">
        <v>0</v>
      </c>
      <c r="G149" s="23" t="s">
        <v>888</v>
      </c>
      <c r="H149" s="23" t="s">
        <v>427</v>
      </c>
      <c r="I149" s="24">
        <v>40</v>
      </c>
      <c r="J149" s="24">
        <f ca="1">IF(TODAY()&lt;45894,Table2[[#This Row],[S.N.]],RANDBETWEEN(1,200))</f>
        <v>46</v>
      </c>
    </row>
    <row r="150" spans="1:10">
      <c r="A150" s="23">
        <v>46</v>
      </c>
      <c r="B150" s="23" t="s">
        <v>786</v>
      </c>
      <c r="C150" s="23" t="s">
        <v>787</v>
      </c>
      <c r="D150" s="23" t="s">
        <v>726</v>
      </c>
      <c r="E150" s="23" t="s">
        <v>723</v>
      </c>
      <c r="F150" s="24" t="s">
        <v>0</v>
      </c>
      <c r="G150" s="23" t="s">
        <v>888</v>
      </c>
      <c r="H150" s="23" t="s">
        <v>427</v>
      </c>
      <c r="I150" s="24">
        <v>60</v>
      </c>
      <c r="J150" s="24">
        <f ca="1">IF(TODAY()&lt;45894,Table2[[#This Row],[S.N.]],RANDBETWEEN(1,200))</f>
        <v>46</v>
      </c>
    </row>
    <row r="151" spans="1:10">
      <c r="A151" s="23">
        <v>43</v>
      </c>
      <c r="B151" s="23" t="s">
        <v>633</v>
      </c>
      <c r="C151" s="23" t="s">
        <v>634</v>
      </c>
      <c r="D151" s="23" t="s">
        <v>781</v>
      </c>
      <c r="E151" s="23" t="s">
        <v>723</v>
      </c>
      <c r="F151" s="24" t="s">
        <v>0</v>
      </c>
      <c r="G151" s="23" t="s">
        <v>888</v>
      </c>
      <c r="H151" s="23" t="s">
        <v>205</v>
      </c>
      <c r="I151" s="24">
        <v>5</v>
      </c>
      <c r="J151" s="24">
        <f ca="1">IF(TODAY()&lt;45894,Table2[[#This Row],[S.N.]],RANDBETWEEN(1,200))</f>
        <v>43</v>
      </c>
    </row>
    <row r="152" spans="1:10">
      <c r="A152" s="23">
        <v>43</v>
      </c>
      <c r="B152" s="23" t="s">
        <v>203</v>
      </c>
      <c r="C152" s="23" t="s">
        <v>204</v>
      </c>
      <c r="D152" s="23" t="s">
        <v>781</v>
      </c>
      <c r="E152" s="23" t="s">
        <v>723</v>
      </c>
      <c r="F152" s="24" t="s">
        <v>0</v>
      </c>
      <c r="G152" s="23" t="s">
        <v>888</v>
      </c>
      <c r="H152" s="23" t="s">
        <v>205</v>
      </c>
      <c r="I152" s="24">
        <v>5</v>
      </c>
      <c r="J152" s="24">
        <f ca="1">IF(TODAY()&lt;45894,Table2[[#This Row],[S.N.]],RANDBETWEEN(1,200))</f>
        <v>43</v>
      </c>
    </row>
    <row r="153" spans="1:10">
      <c r="A153" s="23">
        <v>44</v>
      </c>
      <c r="B153" s="23" t="s">
        <v>462</v>
      </c>
      <c r="C153" s="23" t="s">
        <v>463</v>
      </c>
      <c r="D153" s="23" t="s">
        <v>781</v>
      </c>
      <c r="E153" s="23" t="s">
        <v>723</v>
      </c>
      <c r="F153" s="24" t="s">
        <v>0</v>
      </c>
      <c r="G153" s="23" t="s">
        <v>888</v>
      </c>
      <c r="H153" s="23" t="s">
        <v>208</v>
      </c>
      <c r="I153" s="24">
        <v>10</v>
      </c>
      <c r="J153" s="24">
        <f ca="1">IF(TODAY()&lt;45894,Table2[[#This Row],[S.N.]],RANDBETWEEN(1,200))</f>
        <v>44</v>
      </c>
    </row>
    <row r="154" spans="1:10">
      <c r="A154" s="23">
        <v>44</v>
      </c>
      <c r="B154" s="23" t="s">
        <v>206</v>
      </c>
      <c r="C154" s="23" t="s">
        <v>207</v>
      </c>
      <c r="D154" s="23" t="s">
        <v>781</v>
      </c>
      <c r="E154" s="23" t="s">
        <v>723</v>
      </c>
      <c r="F154" s="24" t="s">
        <v>0</v>
      </c>
      <c r="G154" s="23" t="s">
        <v>888</v>
      </c>
      <c r="H154" s="23" t="s">
        <v>208</v>
      </c>
      <c r="I154" s="24">
        <v>10</v>
      </c>
      <c r="J154" s="24">
        <f ca="1">IF(TODAY()&lt;45894,Table2[[#This Row],[S.N.]],RANDBETWEEN(1,200))</f>
        <v>44</v>
      </c>
    </row>
    <row r="155" spans="1:10">
      <c r="A155" s="23">
        <v>43</v>
      </c>
      <c r="B155" s="23" t="s">
        <v>367</v>
      </c>
      <c r="C155" s="23" t="s">
        <v>368</v>
      </c>
      <c r="D155" s="23" t="s">
        <v>65</v>
      </c>
      <c r="E155" s="23" t="s">
        <v>723</v>
      </c>
      <c r="F155" s="24" t="s">
        <v>0</v>
      </c>
      <c r="G155" s="23" t="s">
        <v>888</v>
      </c>
      <c r="H155" s="23" t="s">
        <v>205</v>
      </c>
      <c r="I155" s="24">
        <v>5</v>
      </c>
      <c r="J155" s="24">
        <f ca="1">IF(TODAY()&lt;45894,Table2[[#This Row],[S.N.]],RANDBETWEEN(1,200))</f>
        <v>43</v>
      </c>
    </row>
    <row r="156" spans="1:10">
      <c r="A156" s="23">
        <v>44</v>
      </c>
      <c r="B156" s="23" t="s">
        <v>369</v>
      </c>
      <c r="C156" s="23" t="s">
        <v>370</v>
      </c>
      <c r="D156" s="23" t="s">
        <v>65</v>
      </c>
      <c r="E156" s="23" t="s">
        <v>723</v>
      </c>
      <c r="F156" s="24" t="s">
        <v>0</v>
      </c>
      <c r="G156" s="23" t="s">
        <v>888</v>
      </c>
      <c r="H156" s="23" t="s">
        <v>208</v>
      </c>
      <c r="I156" s="24">
        <v>10</v>
      </c>
      <c r="J156" s="24">
        <f ca="1">IF(TODAY()&lt;45894,Table2[[#This Row],[S.N.]],RANDBETWEEN(1,200))</f>
        <v>44</v>
      </c>
    </row>
    <row r="157" spans="1:10">
      <c r="A157" s="23">
        <v>45</v>
      </c>
      <c r="B157" s="23" t="s">
        <v>401</v>
      </c>
      <c r="C157" s="23" t="s">
        <v>402</v>
      </c>
      <c r="D157" s="23" t="s">
        <v>726</v>
      </c>
      <c r="E157" s="23" t="s">
        <v>723</v>
      </c>
      <c r="F157" s="24" t="s">
        <v>0</v>
      </c>
      <c r="G157" s="23" t="s">
        <v>888</v>
      </c>
      <c r="H157" s="23" t="s">
        <v>281</v>
      </c>
      <c r="I157" s="24">
        <v>20</v>
      </c>
      <c r="J157" s="24">
        <f ca="1">IF(TODAY()&lt;45894,Table2[[#This Row],[S.N.]],RANDBETWEEN(1,200))</f>
        <v>45</v>
      </c>
    </row>
    <row r="158" spans="1:10">
      <c r="A158" s="23">
        <v>46</v>
      </c>
      <c r="B158" s="23" t="s">
        <v>788</v>
      </c>
      <c r="C158" s="23" t="s">
        <v>789</v>
      </c>
      <c r="D158" s="23" t="s">
        <v>726</v>
      </c>
      <c r="E158" s="23" t="s">
        <v>723</v>
      </c>
      <c r="F158" s="24" t="s">
        <v>0</v>
      </c>
      <c r="G158" s="23" t="s">
        <v>888</v>
      </c>
      <c r="H158" s="23" t="s">
        <v>427</v>
      </c>
      <c r="I158" s="24">
        <v>35</v>
      </c>
      <c r="J158" s="24">
        <f ca="1">IF(TODAY()&lt;45894,Table2[[#This Row],[S.N.]],RANDBETWEEN(1,200))</f>
        <v>46</v>
      </c>
    </row>
    <row r="159" spans="1:10">
      <c r="A159" s="23">
        <v>46</v>
      </c>
      <c r="B159" s="23" t="s">
        <v>790</v>
      </c>
      <c r="C159" s="23" t="s">
        <v>791</v>
      </c>
      <c r="D159" s="23" t="s">
        <v>726</v>
      </c>
      <c r="E159" s="23" t="s">
        <v>723</v>
      </c>
      <c r="F159" s="24" t="s">
        <v>0</v>
      </c>
      <c r="G159" s="23" t="s">
        <v>888</v>
      </c>
      <c r="H159" s="23" t="s">
        <v>427</v>
      </c>
      <c r="I159" s="24">
        <v>45</v>
      </c>
      <c r="J159" s="24">
        <f ca="1">IF(TODAY()&lt;45894,Table2[[#This Row],[S.N.]],RANDBETWEEN(1,200))</f>
        <v>46</v>
      </c>
    </row>
    <row r="160" spans="1:10">
      <c r="A160" s="23">
        <v>35</v>
      </c>
      <c r="B160" s="23" t="s">
        <v>503</v>
      </c>
      <c r="C160" s="23" t="s">
        <v>504</v>
      </c>
      <c r="D160" s="23" t="s">
        <v>65</v>
      </c>
      <c r="E160" s="23" t="s">
        <v>723</v>
      </c>
      <c r="F160" s="24" t="s">
        <v>0</v>
      </c>
      <c r="G160" s="23" t="s">
        <v>888</v>
      </c>
      <c r="H160" s="23" t="s">
        <v>115</v>
      </c>
      <c r="I160" s="24">
        <v>5</v>
      </c>
      <c r="J160" s="24">
        <f ca="1">IF(TODAY()&lt;45894,Table2[[#This Row],[S.N.]],RANDBETWEEN(1,200))</f>
        <v>35</v>
      </c>
    </row>
    <row r="161" spans="1:10">
      <c r="A161" s="23">
        <v>35</v>
      </c>
      <c r="B161" s="23" t="s">
        <v>792</v>
      </c>
      <c r="C161" s="23" t="s">
        <v>793</v>
      </c>
      <c r="D161" s="23" t="s">
        <v>65</v>
      </c>
      <c r="E161" s="23" t="s">
        <v>723</v>
      </c>
      <c r="F161" s="24" t="s">
        <v>0</v>
      </c>
      <c r="G161" s="23" t="s">
        <v>888</v>
      </c>
      <c r="H161" s="23" t="s">
        <v>115</v>
      </c>
      <c r="I161" s="24">
        <v>5</v>
      </c>
      <c r="J161" s="24">
        <f ca="1">IF(TODAY()&lt;45894,Table2[[#This Row],[S.N.]],RANDBETWEEN(1,200))</f>
        <v>35</v>
      </c>
    </row>
    <row r="162" spans="1:10">
      <c r="A162" s="23">
        <v>35</v>
      </c>
      <c r="B162" s="23" t="s">
        <v>113</v>
      </c>
      <c r="C162" s="23" t="s">
        <v>114</v>
      </c>
      <c r="D162" s="23" t="s">
        <v>65</v>
      </c>
      <c r="E162" s="23" t="s">
        <v>723</v>
      </c>
      <c r="F162" s="24" t="s">
        <v>0</v>
      </c>
      <c r="G162" s="23" t="s">
        <v>888</v>
      </c>
      <c r="H162" s="23" t="s">
        <v>115</v>
      </c>
      <c r="I162" s="24">
        <v>5</v>
      </c>
      <c r="J162" s="24">
        <f ca="1">IF(TODAY()&lt;45894,Table2[[#This Row],[S.N.]],RANDBETWEEN(1,200))</f>
        <v>35</v>
      </c>
    </row>
    <row r="163" spans="1:10">
      <c r="A163" s="23">
        <v>35</v>
      </c>
      <c r="B163" s="23" t="s">
        <v>660</v>
      </c>
      <c r="C163" s="23" t="s">
        <v>661</v>
      </c>
      <c r="D163" s="23" t="s">
        <v>794</v>
      </c>
      <c r="E163" s="23" t="s">
        <v>723</v>
      </c>
      <c r="F163" s="24" t="s">
        <v>0</v>
      </c>
      <c r="G163" s="23" t="s">
        <v>888</v>
      </c>
      <c r="H163" s="23" t="s">
        <v>115</v>
      </c>
      <c r="I163" s="24">
        <v>5</v>
      </c>
      <c r="J163" s="24">
        <f ca="1">IF(TODAY()&lt;45894,Table2[[#This Row],[S.N.]],RANDBETWEEN(1,200))</f>
        <v>35</v>
      </c>
    </row>
    <row r="164" spans="1:10">
      <c r="A164" s="23">
        <v>36</v>
      </c>
      <c r="B164" s="23" t="s">
        <v>795</v>
      </c>
      <c r="C164" s="28" t="s">
        <v>796</v>
      </c>
      <c r="D164" s="23" t="s">
        <v>65</v>
      </c>
      <c r="E164" s="23" t="s">
        <v>723</v>
      </c>
      <c r="F164" s="24" t="s">
        <v>0</v>
      </c>
      <c r="G164" s="23" t="s">
        <v>888</v>
      </c>
      <c r="H164" s="23" t="s">
        <v>225</v>
      </c>
      <c r="I164" s="24">
        <v>10</v>
      </c>
      <c r="J164" s="24">
        <f ca="1">IF(TODAY()&lt;45894,Table2[[#This Row],[S.N.]],RANDBETWEEN(1,200))</f>
        <v>36</v>
      </c>
    </row>
    <row r="165" spans="1:10">
      <c r="A165" s="23">
        <v>36</v>
      </c>
      <c r="B165" s="23" t="s">
        <v>605</v>
      </c>
      <c r="C165" s="28" t="s">
        <v>606</v>
      </c>
      <c r="D165" s="23" t="s">
        <v>65</v>
      </c>
      <c r="E165" s="23" t="s">
        <v>723</v>
      </c>
      <c r="F165" s="24" t="s">
        <v>0</v>
      </c>
      <c r="G165" s="23" t="s">
        <v>888</v>
      </c>
      <c r="H165" s="23" t="s">
        <v>225</v>
      </c>
      <c r="I165" s="24">
        <v>10</v>
      </c>
      <c r="J165" s="24">
        <f ca="1">IF(TODAY()&lt;45894,Table2[[#This Row],[S.N.]],RANDBETWEEN(1,200))</f>
        <v>36</v>
      </c>
    </row>
    <row r="166" spans="1:10">
      <c r="A166" s="23">
        <v>36</v>
      </c>
      <c r="B166" s="23" t="s">
        <v>223</v>
      </c>
      <c r="C166" s="28" t="s">
        <v>224</v>
      </c>
      <c r="D166" s="23" t="s">
        <v>726</v>
      </c>
      <c r="E166" s="23" t="s">
        <v>723</v>
      </c>
      <c r="F166" s="24" t="s">
        <v>0</v>
      </c>
      <c r="G166" s="23" t="s">
        <v>888</v>
      </c>
      <c r="H166" s="23" t="s">
        <v>225</v>
      </c>
      <c r="I166" s="24">
        <v>10</v>
      </c>
      <c r="J166" s="24">
        <f ca="1">IF(TODAY()&lt;45894,Table2[[#This Row],[S.N.]],RANDBETWEEN(1,200))</f>
        <v>36</v>
      </c>
    </row>
    <row r="167" spans="1:10">
      <c r="A167" s="23">
        <v>37</v>
      </c>
      <c r="B167" s="23" t="s">
        <v>505</v>
      </c>
      <c r="C167" s="23" t="s">
        <v>506</v>
      </c>
      <c r="D167" s="23" t="s">
        <v>65</v>
      </c>
      <c r="E167" s="23" t="s">
        <v>723</v>
      </c>
      <c r="F167" s="24" t="s">
        <v>0</v>
      </c>
      <c r="G167" s="23" t="s">
        <v>888</v>
      </c>
      <c r="H167" s="23" t="s">
        <v>118</v>
      </c>
      <c r="I167" s="24">
        <v>5</v>
      </c>
      <c r="J167" s="24">
        <f ca="1">IF(TODAY()&lt;45894,Table2[[#This Row],[S.N.]],RANDBETWEEN(1,200))</f>
        <v>37</v>
      </c>
    </row>
    <row r="168" spans="1:10">
      <c r="A168" s="23">
        <v>37</v>
      </c>
      <c r="B168" s="23" t="s">
        <v>116</v>
      </c>
      <c r="C168" s="23" t="s">
        <v>117</v>
      </c>
      <c r="D168" s="23" t="s">
        <v>65</v>
      </c>
      <c r="E168" s="23" t="s">
        <v>723</v>
      </c>
      <c r="F168" s="24" t="s">
        <v>0</v>
      </c>
      <c r="G168" s="23" t="s">
        <v>888</v>
      </c>
      <c r="H168" s="23" t="s">
        <v>118</v>
      </c>
      <c r="I168" s="24">
        <v>5</v>
      </c>
      <c r="J168" s="24">
        <f ca="1">IF(TODAY()&lt;45894,Table2[[#This Row],[S.N.]],RANDBETWEEN(1,200))</f>
        <v>37</v>
      </c>
    </row>
    <row r="169" spans="1:10">
      <c r="A169" s="23">
        <v>37</v>
      </c>
      <c r="B169" s="23" t="s">
        <v>662</v>
      </c>
      <c r="C169" s="23" t="s">
        <v>663</v>
      </c>
      <c r="D169" s="23" t="s">
        <v>794</v>
      </c>
      <c r="E169" s="23" t="s">
        <v>723</v>
      </c>
      <c r="F169" s="24" t="s">
        <v>0</v>
      </c>
      <c r="G169" s="23" t="s">
        <v>888</v>
      </c>
      <c r="H169" s="23" t="s">
        <v>118</v>
      </c>
      <c r="I169" s="24">
        <v>5</v>
      </c>
      <c r="J169" s="24">
        <f ca="1">IF(TODAY()&lt;45894,Table2[[#This Row],[S.N.]],RANDBETWEEN(1,200))</f>
        <v>37</v>
      </c>
    </row>
    <row r="170" spans="1:10">
      <c r="A170" s="23">
        <v>38</v>
      </c>
      <c r="B170" s="23" t="s">
        <v>555</v>
      </c>
      <c r="C170" s="23" t="s">
        <v>556</v>
      </c>
      <c r="D170" s="23" t="s">
        <v>65</v>
      </c>
      <c r="E170" s="23" t="s">
        <v>723</v>
      </c>
      <c r="F170" s="24" t="s">
        <v>0</v>
      </c>
      <c r="G170" s="23" t="s">
        <v>888</v>
      </c>
      <c r="H170" s="23" t="s">
        <v>228</v>
      </c>
      <c r="I170" s="24">
        <v>10</v>
      </c>
      <c r="J170" s="24">
        <f ca="1">IF(TODAY()&lt;45894,Table2[[#This Row],[S.N.]],RANDBETWEEN(1,200))</f>
        <v>38</v>
      </c>
    </row>
    <row r="171" spans="1:10">
      <c r="A171" s="23">
        <v>38</v>
      </c>
      <c r="B171" s="23" t="s">
        <v>507</v>
      </c>
      <c r="C171" s="23" t="s">
        <v>508</v>
      </c>
      <c r="D171" s="23" t="s">
        <v>65</v>
      </c>
      <c r="E171" s="23" t="s">
        <v>723</v>
      </c>
      <c r="F171" s="24" t="s">
        <v>0</v>
      </c>
      <c r="G171" s="23" t="s">
        <v>888</v>
      </c>
      <c r="H171" s="23" t="s">
        <v>228</v>
      </c>
      <c r="I171" s="24">
        <v>10</v>
      </c>
      <c r="J171" s="24">
        <f ca="1">IF(TODAY()&lt;45894,Table2[[#This Row],[S.N.]],RANDBETWEEN(1,200))</f>
        <v>38</v>
      </c>
    </row>
    <row r="172" spans="1:10">
      <c r="A172" s="23">
        <v>38</v>
      </c>
      <c r="B172" s="23" t="s">
        <v>226</v>
      </c>
      <c r="C172" s="23" t="s">
        <v>227</v>
      </c>
      <c r="D172" s="23" t="s">
        <v>726</v>
      </c>
      <c r="E172" s="23" t="s">
        <v>723</v>
      </c>
      <c r="F172" s="24" t="s">
        <v>0</v>
      </c>
      <c r="G172" s="23" t="s">
        <v>888</v>
      </c>
      <c r="H172" s="23" t="s">
        <v>228</v>
      </c>
      <c r="I172" s="24">
        <v>10</v>
      </c>
      <c r="J172" s="24">
        <f ca="1">IF(TODAY()&lt;45894,Table2[[#This Row],[S.N.]],RANDBETWEEN(1,200))</f>
        <v>38</v>
      </c>
    </row>
    <row r="173" spans="1:10">
      <c r="A173" s="23">
        <v>39</v>
      </c>
      <c r="B173" s="23" t="s">
        <v>607</v>
      </c>
      <c r="C173" s="23" t="s">
        <v>608</v>
      </c>
      <c r="D173" s="23" t="s">
        <v>65</v>
      </c>
      <c r="E173" s="23" t="s">
        <v>723</v>
      </c>
      <c r="F173" s="24" t="s">
        <v>0</v>
      </c>
      <c r="G173" s="23" t="s">
        <v>888</v>
      </c>
      <c r="H173" s="23" t="s">
        <v>85</v>
      </c>
      <c r="I173" s="24">
        <v>5</v>
      </c>
      <c r="J173" s="24">
        <f ca="1">IF(TODAY()&lt;45894,Table2[[#This Row],[S.N.]],RANDBETWEEN(1,200))</f>
        <v>39</v>
      </c>
    </row>
    <row r="174" spans="1:10">
      <c r="A174" s="23">
        <v>39</v>
      </c>
      <c r="B174" s="23" t="s">
        <v>671</v>
      </c>
      <c r="C174" s="23" t="s">
        <v>672</v>
      </c>
      <c r="D174" s="23" t="s">
        <v>794</v>
      </c>
      <c r="E174" s="23" t="s">
        <v>723</v>
      </c>
      <c r="F174" s="24" t="s">
        <v>0</v>
      </c>
      <c r="G174" s="23" t="s">
        <v>888</v>
      </c>
      <c r="H174" s="23" t="s">
        <v>85</v>
      </c>
      <c r="I174" s="24">
        <v>5</v>
      </c>
      <c r="J174" s="24">
        <f ca="1">IF(TODAY()&lt;45894,Table2[[#This Row],[S.N.]],RANDBETWEEN(1,200))</f>
        <v>39</v>
      </c>
    </row>
    <row r="175" spans="1:10">
      <c r="A175" s="23">
        <v>39</v>
      </c>
      <c r="B175" s="23" t="s">
        <v>83</v>
      </c>
      <c r="C175" s="23" t="s">
        <v>84</v>
      </c>
      <c r="D175" s="23" t="s">
        <v>65</v>
      </c>
      <c r="E175" s="23" t="s">
        <v>723</v>
      </c>
      <c r="F175" s="24" t="s">
        <v>0</v>
      </c>
      <c r="G175" s="23" t="s">
        <v>888</v>
      </c>
      <c r="H175" s="23" t="s">
        <v>85</v>
      </c>
      <c r="I175" s="24">
        <v>5</v>
      </c>
      <c r="J175" s="24">
        <f ca="1">IF(TODAY()&lt;45894,Table2[[#This Row],[S.N.]],RANDBETWEEN(1,200))</f>
        <v>39</v>
      </c>
    </row>
    <row r="176" spans="1:10">
      <c r="A176" s="23">
        <v>40</v>
      </c>
      <c r="B176" s="23" t="s">
        <v>601</v>
      </c>
      <c r="C176" s="23" t="s">
        <v>602</v>
      </c>
      <c r="D176" s="23" t="s">
        <v>65</v>
      </c>
      <c r="E176" s="23" t="s">
        <v>723</v>
      </c>
      <c r="F176" s="24" t="s">
        <v>0</v>
      </c>
      <c r="G176" s="23" t="s">
        <v>888</v>
      </c>
      <c r="H176" s="23" t="s">
        <v>231</v>
      </c>
      <c r="I176" s="24">
        <v>10</v>
      </c>
      <c r="J176" s="24">
        <f ca="1">IF(TODAY()&lt;45894,Table2[[#This Row],[S.N.]],RANDBETWEEN(1,200))</f>
        <v>40</v>
      </c>
    </row>
    <row r="177" spans="1:10">
      <c r="A177" s="23">
        <v>40</v>
      </c>
      <c r="B177" s="23" t="s">
        <v>229</v>
      </c>
      <c r="C177" s="23" t="s">
        <v>230</v>
      </c>
      <c r="D177" s="23" t="s">
        <v>726</v>
      </c>
      <c r="E177" s="23" t="s">
        <v>723</v>
      </c>
      <c r="F177" s="24" t="s">
        <v>0</v>
      </c>
      <c r="G177" s="23" t="s">
        <v>888</v>
      </c>
      <c r="H177" s="23" t="s">
        <v>231</v>
      </c>
      <c r="I177" s="24">
        <v>10</v>
      </c>
      <c r="J177" s="24">
        <f ca="1">IF(TODAY()&lt;45894,Table2[[#This Row],[S.N.]],RANDBETWEEN(1,200))</f>
        <v>40</v>
      </c>
    </row>
    <row r="178" spans="1:10">
      <c r="A178" s="23">
        <v>49</v>
      </c>
      <c r="B178" s="23" t="s">
        <v>333</v>
      </c>
      <c r="C178" s="23" t="s">
        <v>334</v>
      </c>
      <c r="D178" s="23" t="s">
        <v>726</v>
      </c>
      <c r="E178" s="23" t="s">
        <v>723</v>
      </c>
      <c r="F178" s="24" t="s">
        <v>0</v>
      </c>
      <c r="G178" s="23" t="s">
        <v>888</v>
      </c>
      <c r="H178" s="23" t="s">
        <v>335</v>
      </c>
      <c r="I178" s="24">
        <v>20</v>
      </c>
      <c r="J178" s="24">
        <f ca="1">IF(TODAY()&lt;45894,Table2[[#This Row],[S.N.]],RANDBETWEEN(1,200))</f>
        <v>49</v>
      </c>
    </row>
    <row r="179" spans="1:10">
      <c r="A179" s="23">
        <v>49</v>
      </c>
      <c r="B179" s="23" t="s">
        <v>630</v>
      </c>
      <c r="C179" s="23" t="s">
        <v>631</v>
      </c>
      <c r="D179" s="23" t="s">
        <v>726</v>
      </c>
      <c r="E179" s="23" t="s">
        <v>723</v>
      </c>
      <c r="F179" s="24" t="s">
        <v>0</v>
      </c>
      <c r="G179" s="23" t="s">
        <v>888</v>
      </c>
      <c r="H179" s="23" t="s">
        <v>335</v>
      </c>
      <c r="I179" s="24">
        <v>40</v>
      </c>
      <c r="J179" s="24">
        <f ca="1">IF(TODAY()&lt;45894,Table2[[#This Row],[S.N.]],RANDBETWEEN(1,200))</f>
        <v>49</v>
      </c>
    </row>
    <row r="180" spans="1:10">
      <c r="A180" s="23">
        <v>47</v>
      </c>
      <c r="B180" s="23" t="s">
        <v>675</v>
      </c>
      <c r="C180" s="25" t="s">
        <v>676</v>
      </c>
      <c r="D180" s="25" t="s">
        <v>797</v>
      </c>
      <c r="E180" s="25" t="s">
        <v>723</v>
      </c>
      <c r="F180" s="24" t="s">
        <v>0</v>
      </c>
      <c r="G180" s="23" t="s">
        <v>888</v>
      </c>
      <c r="H180" s="23" t="s">
        <v>211</v>
      </c>
      <c r="I180" s="26">
        <v>32</v>
      </c>
      <c r="J180" s="24">
        <f ca="1">IF(TODAY()&lt;45894,Table2[[#This Row],[S.N.]],RANDBETWEEN(1,200))</f>
        <v>47</v>
      </c>
    </row>
    <row r="181" spans="1:10">
      <c r="A181" s="23">
        <v>47</v>
      </c>
      <c r="B181" s="23" t="s">
        <v>704</v>
      </c>
      <c r="C181" s="23" t="s">
        <v>705</v>
      </c>
      <c r="D181" s="23" t="s">
        <v>797</v>
      </c>
      <c r="E181" s="23" t="s">
        <v>723</v>
      </c>
      <c r="F181" s="24" t="s">
        <v>0</v>
      </c>
      <c r="G181" s="23" t="s">
        <v>888</v>
      </c>
      <c r="H181" s="23" t="s">
        <v>211</v>
      </c>
      <c r="I181" s="24">
        <v>5</v>
      </c>
      <c r="J181" s="24">
        <f ca="1">IF(TODAY()&lt;45894,Table2[[#This Row],[S.N.]],RANDBETWEEN(1,200))</f>
        <v>47</v>
      </c>
    </row>
    <row r="182" spans="1:10">
      <c r="A182" s="23">
        <v>47</v>
      </c>
      <c r="B182" s="23" t="s">
        <v>349</v>
      </c>
      <c r="C182" s="23" t="s">
        <v>350</v>
      </c>
      <c r="D182" s="23" t="s">
        <v>65</v>
      </c>
      <c r="E182" s="23" t="s">
        <v>723</v>
      </c>
      <c r="F182" s="24" t="s">
        <v>0</v>
      </c>
      <c r="G182" s="23" t="s">
        <v>888</v>
      </c>
      <c r="H182" s="23" t="s">
        <v>211</v>
      </c>
      <c r="I182" s="24">
        <v>5</v>
      </c>
      <c r="J182" s="24">
        <f ca="1">IF(TODAY()&lt;45894,Table2[[#This Row],[S.N.]],RANDBETWEEN(1,200))</f>
        <v>47</v>
      </c>
    </row>
    <row r="183" spans="1:10">
      <c r="A183" s="23">
        <v>47</v>
      </c>
      <c r="B183" s="23" t="s">
        <v>209</v>
      </c>
      <c r="C183" s="23" t="s">
        <v>210</v>
      </c>
      <c r="D183" s="23" t="s">
        <v>797</v>
      </c>
      <c r="E183" s="23" t="s">
        <v>723</v>
      </c>
      <c r="F183" s="24" t="s">
        <v>0</v>
      </c>
      <c r="G183" s="23" t="s">
        <v>888</v>
      </c>
      <c r="H183" s="23" t="s">
        <v>211</v>
      </c>
      <c r="I183" s="24">
        <v>5</v>
      </c>
      <c r="J183" s="24">
        <f ca="1">IF(TODAY()&lt;45894,Table2[[#This Row],[S.N.]],RANDBETWEEN(1,200))</f>
        <v>47</v>
      </c>
    </row>
    <row r="184" spans="1:10">
      <c r="A184" s="23">
        <v>47</v>
      </c>
      <c r="B184" s="23" t="s">
        <v>509</v>
      </c>
      <c r="C184" s="23" t="s">
        <v>510</v>
      </c>
      <c r="D184" s="23" t="s">
        <v>65</v>
      </c>
      <c r="E184" s="23" t="s">
        <v>723</v>
      </c>
      <c r="F184" s="24" t="s">
        <v>0</v>
      </c>
      <c r="G184" s="23" t="s">
        <v>888</v>
      </c>
      <c r="H184" s="23" t="s">
        <v>211</v>
      </c>
      <c r="I184" s="24">
        <v>5</v>
      </c>
      <c r="J184" s="24">
        <f ca="1">IF(TODAY()&lt;45894,Table2[[#This Row],[S.N.]],RANDBETWEEN(1,200))</f>
        <v>47</v>
      </c>
    </row>
    <row r="185" spans="1:10">
      <c r="A185" s="23">
        <v>48</v>
      </c>
      <c r="B185" s="23" t="s">
        <v>282</v>
      </c>
      <c r="C185" s="23" t="s">
        <v>283</v>
      </c>
      <c r="D185" s="23" t="s">
        <v>797</v>
      </c>
      <c r="E185" s="23" t="s">
        <v>723</v>
      </c>
      <c r="F185" s="24" t="s">
        <v>0</v>
      </c>
      <c r="G185" s="23" t="s">
        <v>888</v>
      </c>
      <c r="H185" s="23" t="s">
        <v>284</v>
      </c>
      <c r="I185" s="24">
        <v>10</v>
      </c>
      <c r="J185" s="24">
        <f ca="1">IF(TODAY()&lt;45894,Table2[[#This Row],[S.N.]],RANDBETWEEN(1,200))</f>
        <v>48</v>
      </c>
    </row>
    <row r="186" spans="1:10">
      <c r="A186" s="23">
        <v>48</v>
      </c>
      <c r="B186" s="23" t="s">
        <v>397</v>
      </c>
      <c r="C186" s="23" t="s">
        <v>398</v>
      </c>
      <c r="D186" s="23" t="s">
        <v>726</v>
      </c>
      <c r="E186" s="23" t="s">
        <v>723</v>
      </c>
      <c r="F186" s="24" t="s">
        <v>0</v>
      </c>
      <c r="G186" s="23" t="s">
        <v>888</v>
      </c>
      <c r="H186" s="23" t="s">
        <v>284</v>
      </c>
      <c r="I186" s="24">
        <v>10</v>
      </c>
      <c r="J186" s="24">
        <f ca="1">IF(TODAY()&lt;45894,Table2[[#This Row],[S.N.]],RANDBETWEEN(1,200))</f>
        <v>48</v>
      </c>
    </row>
    <row r="187" spans="1:10">
      <c r="A187" s="23">
        <v>48</v>
      </c>
      <c r="B187" s="23" t="s">
        <v>307</v>
      </c>
      <c r="C187" s="23" t="s">
        <v>308</v>
      </c>
      <c r="D187" s="23" t="s">
        <v>797</v>
      </c>
      <c r="E187" s="23" t="s">
        <v>723</v>
      </c>
      <c r="F187" s="24" t="s">
        <v>0</v>
      </c>
      <c r="G187" s="23" t="s">
        <v>888</v>
      </c>
      <c r="H187" s="23" t="s">
        <v>284</v>
      </c>
      <c r="I187" s="24">
        <v>10</v>
      </c>
      <c r="J187" s="24">
        <f ca="1">IF(TODAY()&lt;45894,Table2[[#This Row],[S.N.]],RANDBETWEEN(1,200))</f>
        <v>48</v>
      </c>
    </row>
    <row r="188" spans="1:10">
      <c r="A188" s="23">
        <v>48</v>
      </c>
      <c r="B188" s="23" t="s">
        <v>393</v>
      </c>
      <c r="C188" s="23" t="s">
        <v>394</v>
      </c>
      <c r="D188" s="23" t="s">
        <v>726</v>
      </c>
      <c r="E188" s="23" t="s">
        <v>723</v>
      </c>
      <c r="F188" s="24" t="s">
        <v>0</v>
      </c>
      <c r="G188" s="23" t="s">
        <v>888</v>
      </c>
      <c r="H188" s="23" t="s">
        <v>284</v>
      </c>
      <c r="I188" s="24">
        <v>10</v>
      </c>
      <c r="J188" s="24">
        <f ca="1">IF(TODAY()&lt;45894,Table2[[#This Row],[S.N.]],RANDBETWEEN(1,200))</f>
        <v>48</v>
      </c>
    </row>
    <row r="189" spans="1:10">
      <c r="A189" s="23">
        <v>48</v>
      </c>
      <c r="B189" s="23" t="s">
        <v>798</v>
      </c>
      <c r="C189" s="23" t="s">
        <v>799</v>
      </c>
      <c r="D189" s="23" t="s">
        <v>65</v>
      </c>
      <c r="E189" s="23" t="s">
        <v>723</v>
      </c>
      <c r="F189" s="24" t="s">
        <v>0</v>
      </c>
      <c r="G189" s="23" t="s">
        <v>888</v>
      </c>
      <c r="H189" s="23" t="s">
        <v>284</v>
      </c>
      <c r="I189" s="24">
        <v>10</v>
      </c>
      <c r="J189" s="24">
        <f ca="1">IF(TODAY()&lt;45894,Table2[[#This Row],[S.N.]],RANDBETWEEN(1,200))</f>
        <v>48</v>
      </c>
    </row>
    <row r="190" spans="1:10">
      <c r="A190" s="23">
        <v>48</v>
      </c>
      <c r="B190" s="23" t="s">
        <v>800</v>
      </c>
      <c r="C190" s="23" t="s">
        <v>801</v>
      </c>
      <c r="D190" s="23" t="s">
        <v>65</v>
      </c>
      <c r="E190" s="23" t="s">
        <v>723</v>
      </c>
      <c r="F190" s="24" t="s">
        <v>0</v>
      </c>
      <c r="G190" s="23" t="s">
        <v>888</v>
      </c>
      <c r="H190" s="23" t="s">
        <v>284</v>
      </c>
      <c r="I190" s="24">
        <v>10</v>
      </c>
      <c r="J190" s="24">
        <f ca="1">IF(TODAY()&lt;45894,Table2[[#This Row],[S.N.]],RANDBETWEEN(1,200))</f>
        <v>48</v>
      </c>
    </row>
    <row r="191" spans="1:10">
      <c r="A191" s="23">
        <v>22</v>
      </c>
      <c r="B191" s="23" t="s">
        <v>314</v>
      </c>
      <c r="C191" s="23" t="s">
        <v>315</v>
      </c>
      <c r="D191" s="23" t="s">
        <v>65</v>
      </c>
      <c r="E191" s="23" t="s">
        <v>723</v>
      </c>
      <c r="F191" s="24" t="s">
        <v>0</v>
      </c>
      <c r="G191" s="23" t="s">
        <v>888</v>
      </c>
      <c r="H191" s="23" t="s">
        <v>316</v>
      </c>
      <c r="I191" s="24">
        <v>10</v>
      </c>
      <c r="J191" s="24">
        <f ca="1">IF(TODAY()&lt;45894,Table2[[#This Row],[S.N.]],RANDBETWEEN(1,200))</f>
        <v>22</v>
      </c>
    </row>
    <row r="192" spans="1:10">
      <c r="A192" s="23">
        <v>23</v>
      </c>
      <c r="B192" s="23" t="s">
        <v>708</v>
      </c>
      <c r="C192" s="23" t="s">
        <v>709</v>
      </c>
      <c r="D192" s="23" t="s">
        <v>802</v>
      </c>
      <c r="E192" s="23" t="s">
        <v>723</v>
      </c>
      <c r="F192" s="24" t="s">
        <v>0</v>
      </c>
      <c r="G192" s="23" t="s">
        <v>888</v>
      </c>
      <c r="H192" s="23" t="s">
        <v>485</v>
      </c>
      <c r="I192" s="24">
        <v>20</v>
      </c>
      <c r="J192" s="24">
        <f ca="1">IF(TODAY()&lt;45894,Table2[[#This Row],[S.N.]],RANDBETWEEN(1,200))</f>
        <v>23</v>
      </c>
    </row>
    <row r="193" spans="1:10">
      <c r="A193" s="23">
        <v>23</v>
      </c>
      <c r="B193" s="23" t="s">
        <v>483</v>
      </c>
      <c r="C193" s="23" t="s">
        <v>484</v>
      </c>
      <c r="D193" s="23" t="s">
        <v>751</v>
      </c>
      <c r="E193" s="23" t="s">
        <v>723</v>
      </c>
      <c r="F193" s="24" t="s">
        <v>0</v>
      </c>
      <c r="G193" s="23" t="s">
        <v>888</v>
      </c>
      <c r="H193" s="23" t="s">
        <v>485</v>
      </c>
      <c r="I193" s="24">
        <v>20</v>
      </c>
      <c r="J193" s="24">
        <f ca="1">IF(TODAY()&lt;45894,Table2[[#This Row],[S.N.]],RANDBETWEEN(1,200))</f>
        <v>23</v>
      </c>
    </row>
    <row r="194" spans="1:10">
      <c r="A194" s="23">
        <v>63</v>
      </c>
      <c r="B194" s="23" t="s">
        <v>616</v>
      </c>
      <c r="C194" s="23" t="s">
        <v>617</v>
      </c>
      <c r="D194" s="23" t="s">
        <v>803</v>
      </c>
      <c r="E194" s="23" t="s">
        <v>723</v>
      </c>
      <c r="F194" s="24" t="s">
        <v>0</v>
      </c>
      <c r="G194" s="23" t="s">
        <v>888</v>
      </c>
      <c r="H194" s="23" t="s">
        <v>214</v>
      </c>
      <c r="I194" s="24">
        <v>20</v>
      </c>
      <c r="J194" s="24">
        <f ca="1">IF(TODAY()&lt;45894,Table2[[#This Row],[S.N.]],RANDBETWEEN(1,200))</f>
        <v>63</v>
      </c>
    </row>
    <row r="195" spans="1:10">
      <c r="A195" s="23">
        <v>63</v>
      </c>
      <c r="B195" s="23" t="s">
        <v>666</v>
      </c>
      <c r="C195" s="23" t="s">
        <v>667</v>
      </c>
      <c r="D195" s="23" t="s">
        <v>803</v>
      </c>
      <c r="E195" s="23" t="s">
        <v>723</v>
      </c>
      <c r="F195" s="24" t="s">
        <v>0</v>
      </c>
      <c r="G195" s="23" t="s">
        <v>888</v>
      </c>
      <c r="H195" s="23" t="s">
        <v>214</v>
      </c>
      <c r="I195" s="24">
        <v>30</v>
      </c>
      <c r="J195" s="24">
        <f ca="1">IF(TODAY()&lt;45894,Table2[[#This Row],[S.N.]],RANDBETWEEN(1,200))</f>
        <v>63</v>
      </c>
    </row>
    <row r="196" spans="1:10">
      <c r="A196" s="23">
        <v>61</v>
      </c>
      <c r="B196" s="23" t="s">
        <v>618</v>
      </c>
      <c r="C196" s="23" t="s">
        <v>619</v>
      </c>
      <c r="D196" s="23" t="s">
        <v>803</v>
      </c>
      <c r="E196" s="23" t="s">
        <v>723</v>
      </c>
      <c r="F196" s="24" t="s">
        <v>0</v>
      </c>
      <c r="G196" s="23" t="s">
        <v>888</v>
      </c>
      <c r="H196" s="23" t="s">
        <v>199</v>
      </c>
      <c r="I196" s="24">
        <v>5</v>
      </c>
      <c r="J196" s="24">
        <f ca="1">IF(TODAY()&lt;45894,Table2[[#This Row],[S.N.]],RANDBETWEEN(1,200))</f>
        <v>61</v>
      </c>
    </row>
    <row r="197" spans="1:10">
      <c r="A197" s="23">
        <v>62</v>
      </c>
      <c r="B197" s="23" t="s">
        <v>614</v>
      </c>
      <c r="C197" s="23" t="s">
        <v>615</v>
      </c>
      <c r="D197" s="23" t="s">
        <v>803</v>
      </c>
      <c r="E197" s="23" t="s">
        <v>723</v>
      </c>
      <c r="F197" s="24" t="s">
        <v>0</v>
      </c>
      <c r="G197" s="23" t="s">
        <v>888</v>
      </c>
      <c r="H197" s="23" t="s">
        <v>202</v>
      </c>
      <c r="I197" s="24">
        <v>10</v>
      </c>
      <c r="J197" s="24">
        <f ca="1">IF(TODAY()&lt;45894,Table2[[#This Row],[S.N.]],RANDBETWEEN(1,200))</f>
        <v>62</v>
      </c>
    </row>
    <row r="198" spans="1:10">
      <c r="A198" s="23">
        <v>101</v>
      </c>
      <c r="B198" s="23" t="s">
        <v>448</v>
      </c>
      <c r="C198" s="23" t="s">
        <v>449</v>
      </c>
      <c r="D198" s="23" t="s">
        <v>804</v>
      </c>
      <c r="E198" s="23" t="s">
        <v>805</v>
      </c>
      <c r="F198" s="24" t="s">
        <v>16</v>
      </c>
      <c r="G198" s="23" t="s">
        <v>887</v>
      </c>
      <c r="H198" s="23" t="s">
        <v>450</v>
      </c>
      <c r="I198" s="23">
        <v>130</v>
      </c>
      <c r="J198" s="24">
        <f ca="1">IF(TODAY()&lt;45894,Table2[[#This Row],[S.N.]],RANDBETWEEN(1,200))</f>
        <v>101</v>
      </c>
    </row>
    <row r="199" spans="1:10">
      <c r="A199" s="23">
        <v>102</v>
      </c>
      <c r="B199" s="23" t="s">
        <v>806</v>
      </c>
      <c r="C199" s="23" t="s">
        <v>807</v>
      </c>
      <c r="D199" s="23" t="s">
        <v>804</v>
      </c>
      <c r="E199" s="23" t="s">
        <v>805</v>
      </c>
      <c r="F199" s="24" t="s">
        <v>16</v>
      </c>
      <c r="G199" s="23" t="s">
        <v>887</v>
      </c>
      <c r="H199" s="23" t="s">
        <v>808</v>
      </c>
      <c r="I199" s="23">
        <v>99</v>
      </c>
      <c r="J199" s="24">
        <f ca="1">IF(TODAY()&lt;45894,Table2[[#This Row],[S.N.]],RANDBETWEEN(1,200))</f>
        <v>102</v>
      </c>
    </row>
    <row r="200" spans="1:10">
      <c r="A200" s="23">
        <v>103</v>
      </c>
      <c r="B200" s="23" t="s">
        <v>442</v>
      </c>
      <c r="C200" s="23" t="s">
        <v>443</v>
      </c>
      <c r="D200" s="23" t="s">
        <v>804</v>
      </c>
      <c r="E200" s="23" t="s">
        <v>805</v>
      </c>
      <c r="F200" s="24" t="s">
        <v>16</v>
      </c>
      <c r="G200" s="23" t="s">
        <v>887</v>
      </c>
      <c r="H200" s="23" t="s">
        <v>444</v>
      </c>
      <c r="I200" s="23">
        <v>130</v>
      </c>
      <c r="J200" s="24">
        <f ca="1">IF(TODAY()&lt;45894,Table2[[#This Row],[S.N.]],RANDBETWEEN(1,200))</f>
        <v>103</v>
      </c>
    </row>
    <row r="201" spans="1:10">
      <c r="A201" s="23">
        <v>104</v>
      </c>
      <c r="B201" s="23" t="s">
        <v>445</v>
      </c>
      <c r="C201" s="23" t="s">
        <v>446</v>
      </c>
      <c r="D201" s="23" t="s">
        <v>804</v>
      </c>
      <c r="E201" s="23" t="s">
        <v>805</v>
      </c>
      <c r="F201" s="24" t="s">
        <v>16</v>
      </c>
      <c r="G201" s="23" t="s">
        <v>887</v>
      </c>
      <c r="H201" s="23" t="s">
        <v>447</v>
      </c>
      <c r="I201" s="23">
        <v>130</v>
      </c>
      <c r="J201" s="24">
        <f ca="1">IF(TODAY()&lt;45894,Table2[[#This Row],[S.N.]],RANDBETWEEN(1,200))</f>
        <v>104</v>
      </c>
    </row>
    <row r="202" spans="1:10">
      <c r="A202" s="23">
        <v>105</v>
      </c>
      <c r="B202" s="23" t="s">
        <v>646</v>
      </c>
      <c r="C202" s="23" t="s">
        <v>647</v>
      </c>
      <c r="D202" s="23" t="s">
        <v>804</v>
      </c>
      <c r="E202" s="23" t="s">
        <v>805</v>
      </c>
      <c r="F202" s="24" t="s">
        <v>16</v>
      </c>
      <c r="G202" s="23" t="s">
        <v>887</v>
      </c>
      <c r="H202" s="23" t="s">
        <v>459</v>
      </c>
      <c r="I202" s="23">
        <v>130</v>
      </c>
      <c r="J202" s="24">
        <f ca="1">IF(TODAY()&lt;45894,Table2[[#This Row],[S.N.]],RANDBETWEEN(1,200))</f>
        <v>105</v>
      </c>
    </row>
    <row r="203" spans="1:10">
      <c r="A203" s="23">
        <v>105</v>
      </c>
      <c r="B203" s="23" t="s">
        <v>457</v>
      </c>
      <c r="C203" s="23" t="s">
        <v>458</v>
      </c>
      <c r="D203" s="23" t="s">
        <v>804</v>
      </c>
      <c r="E203" s="23" t="s">
        <v>805</v>
      </c>
      <c r="F203" s="24" t="s">
        <v>16</v>
      </c>
      <c r="G203" s="23" t="s">
        <v>887</v>
      </c>
      <c r="H203" s="23" t="s">
        <v>459</v>
      </c>
      <c r="I203" s="23">
        <v>99</v>
      </c>
      <c r="J203" s="24">
        <f ca="1">IF(TODAY()&lt;45894,Table2[[#This Row],[S.N.]],RANDBETWEEN(1,200))</f>
        <v>105</v>
      </c>
    </row>
    <row r="204" spans="1:10">
      <c r="A204" s="23">
        <v>107</v>
      </c>
      <c r="B204" s="23" t="s">
        <v>439</v>
      </c>
      <c r="C204" s="23" t="s">
        <v>440</v>
      </c>
      <c r="D204" s="23" t="s">
        <v>804</v>
      </c>
      <c r="E204" s="23" t="s">
        <v>805</v>
      </c>
      <c r="F204" s="24" t="s">
        <v>16</v>
      </c>
      <c r="G204" s="23" t="s">
        <v>887</v>
      </c>
      <c r="H204" s="23" t="s">
        <v>441</v>
      </c>
      <c r="I204" s="23">
        <v>130</v>
      </c>
      <c r="J204" s="24">
        <f ca="1">IF(TODAY()&lt;45894,Table2[[#This Row],[S.N.]],RANDBETWEEN(1,200))</f>
        <v>107</v>
      </c>
    </row>
    <row r="205" spans="1:10">
      <c r="A205" s="23">
        <v>110</v>
      </c>
      <c r="B205" s="23" t="s">
        <v>322</v>
      </c>
      <c r="C205" s="23" t="s">
        <v>323</v>
      </c>
      <c r="D205" s="23" t="s">
        <v>804</v>
      </c>
      <c r="E205" s="23" t="s">
        <v>805</v>
      </c>
      <c r="F205" s="24" t="s">
        <v>16</v>
      </c>
      <c r="G205" s="23" t="s">
        <v>887</v>
      </c>
      <c r="H205" s="23" t="s">
        <v>324</v>
      </c>
      <c r="I205" s="23">
        <v>10</v>
      </c>
      <c r="J205" s="24">
        <f ca="1">IF(TODAY()&lt;45894,Table2[[#This Row],[S.N.]],RANDBETWEEN(1,200))</f>
        <v>110</v>
      </c>
    </row>
    <row r="206" spans="1:10">
      <c r="A206" s="23">
        <v>110</v>
      </c>
      <c r="B206" s="23" t="s">
        <v>599</v>
      </c>
      <c r="C206" s="23" t="s">
        <v>600</v>
      </c>
      <c r="D206" s="23" t="s">
        <v>804</v>
      </c>
      <c r="E206" s="23" t="s">
        <v>805</v>
      </c>
      <c r="F206" s="24" t="s">
        <v>16</v>
      </c>
      <c r="G206" s="23" t="s">
        <v>887</v>
      </c>
      <c r="H206" s="23" t="s">
        <v>324</v>
      </c>
      <c r="I206" s="23">
        <v>10</v>
      </c>
      <c r="J206" s="24">
        <f ca="1">IF(TODAY()&lt;45894,Table2[[#This Row],[S.N.]],RANDBETWEEN(1,200))</f>
        <v>110</v>
      </c>
    </row>
    <row r="207" spans="1:10">
      <c r="A207" s="23">
        <v>199</v>
      </c>
      <c r="B207" s="23" t="s">
        <v>809</v>
      </c>
      <c r="C207" s="23" t="s">
        <v>810</v>
      </c>
      <c r="D207" s="23" t="s">
        <v>811</v>
      </c>
      <c r="E207" s="23" t="s">
        <v>805</v>
      </c>
      <c r="F207" s="24" t="s">
        <v>16</v>
      </c>
      <c r="G207" s="23" t="s">
        <v>887</v>
      </c>
      <c r="H207" s="23" t="s">
        <v>559</v>
      </c>
      <c r="I207" s="23">
        <v>15</v>
      </c>
      <c r="J207" s="24">
        <f ca="1">IF(TODAY()&lt;45894,Table2[[#This Row],[S.N.]],RANDBETWEEN(1,200))</f>
        <v>199</v>
      </c>
    </row>
    <row r="208" spans="1:10">
      <c r="A208" s="23">
        <v>112</v>
      </c>
      <c r="B208" s="23" t="s">
        <v>325</v>
      </c>
      <c r="C208" s="23" t="s">
        <v>326</v>
      </c>
      <c r="D208" s="23" t="s">
        <v>812</v>
      </c>
      <c r="E208" s="23" t="s">
        <v>805</v>
      </c>
      <c r="F208" s="24" t="s">
        <v>16</v>
      </c>
      <c r="G208" s="23" t="s">
        <v>887</v>
      </c>
      <c r="H208" s="23" t="s">
        <v>327</v>
      </c>
      <c r="I208" s="23">
        <v>20</v>
      </c>
      <c r="J208" s="24">
        <f ca="1">IF(TODAY()&lt;45894,Table2[[#This Row],[S.N.]],RANDBETWEEN(1,200))</f>
        <v>112</v>
      </c>
    </row>
    <row r="209" spans="1:10">
      <c r="A209" s="23">
        <v>113</v>
      </c>
      <c r="B209" s="23" t="s">
        <v>412</v>
      </c>
      <c r="C209" s="23" t="s">
        <v>413</v>
      </c>
      <c r="D209" s="23" t="s">
        <v>812</v>
      </c>
      <c r="E209" s="23" t="s">
        <v>805</v>
      </c>
      <c r="F209" s="24" t="s">
        <v>16</v>
      </c>
      <c r="G209" s="23" t="s">
        <v>887</v>
      </c>
      <c r="H209" s="23" t="s">
        <v>414</v>
      </c>
      <c r="I209" s="23">
        <v>40</v>
      </c>
      <c r="J209" s="24">
        <f ca="1">IF(TODAY()&lt;45894,Table2[[#This Row],[S.N.]],RANDBETWEEN(1,200))</f>
        <v>113</v>
      </c>
    </row>
    <row r="210" spans="1:10">
      <c r="A210" s="23">
        <v>114</v>
      </c>
      <c r="B210" s="23" t="s">
        <v>415</v>
      </c>
      <c r="C210" s="23" t="s">
        <v>416</v>
      </c>
      <c r="D210" s="23" t="s">
        <v>812</v>
      </c>
      <c r="E210" s="23" t="s">
        <v>805</v>
      </c>
      <c r="F210" s="24" t="s">
        <v>16</v>
      </c>
      <c r="G210" s="23" t="s">
        <v>887</v>
      </c>
      <c r="H210" s="23" t="s">
        <v>417</v>
      </c>
      <c r="I210" s="23">
        <v>75</v>
      </c>
      <c r="J210" s="24">
        <f ca="1">IF(TODAY()&lt;45894,Table2[[#This Row],[S.N.]],RANDBETWEEN(1,200))</f>
        <v>114</v>
      </c>
    </row>
    <row r="211" spans="1:10">
      <c r="A211" s="23">
        <v>114</v>
      </c>
      <c r="B211" s="23" t="s">
        <v>813</v>
      </c>
      <c r="C211" s="23" t="s">
        <v>814</v>
      </c>
      <c r="D211" s="23" t="s">
        <v>811</v>
      </c>
      <c r="E211" s="23" t="s">
        <v>805</v>
      </c>
      <c r="F211" s="24" t="s">
        <v>16</v>
      </c>
      <c r="G211" s="23" t="s">
        <v>887</v>
      </c>
      <c r="H211" s="23" t="s">
        <v>417</v>
      </c>
      <c r="I211" s="23"/>
      <c r="J211" s="24">
        <f ca="1">IF(TODAY()&lt;45894,Table2[[#This Row],[S.N.]],RANDBETWEEN(1,200))</f>
        <v>114</v>
      </c>
    </row>
    <row r="212" spans="1:10">
      <c r="A212" s="23">
        <v>199</v>
      </c>
      <c r="B212" s="23" t="s">
        <v>328</v>
      </c>
      <c r="C212" s="23" t="s">
        <v>329</v>
      </c>
      <c r="D212" s="23" t="s">
        <v>812</v>
      </c>
      <c r="E212" s="23" t="s">
        <v>805</v>
      </c>
      <c r="F212" s="24" t="s">
        <v>16</v>
      </c>
      <c r="G212" s="23" t="s">
        <v>887</v>
      </c>
      <c r="H212" s="23" t="s">
        <v>330</v>
      </c>
      <c r="I212" s="23">
        <v>110</v>
      </c>
      <c r="J212" s="24">
        <f ca="1">IF(TODAY()&lt;45894,Table2[[#This Row],[S.N.]],RANDBETWEEN(1,200))</f>
        <v>199</v>
      </c>
    </row>
    <row r="213" spans="1:10" ht="17">
      <c r="A213" s="23">
        <v>81</v>
      </c>
      <c r="B213" s="23" t="s">
        <v>86</v>
      </c>
      <c r="C213" s="23" t="s">
        <v>87</v>
      </c>
      <c r="D213" s="23" t="s">
        <v>40</v>
      </c>
      <c r="E213" s="42" t="s">
        <v>723</v>
      </c>
      <c r="F213" s="43" t="s">
        <v>0</v>
      </c>
      <c r="G213" s="23" t="s">
        <v>888</v>
      </c>
      <c r="H213" s="23" t="s">
        <v>88</v>
      </c>
      <c r="I213" s="23">
        <v>30</v>
      </c>
      <c r="J213" s="24">
        <f ca="1">IF(TODAY()&lt;45894,Table2[[#This Row],[S.N.]],RANDBETWEEN(1,200))</f>
        <v>81</v>
      </c>
    </row>
    <row r="214" spans="1:10">
      <c r="A214" s="23">
        <v>199</v>
      </c>
      <c r="B214" s="23" t="s">
        <v>595</v>
      </c>
      <c r="C214" s="23" t="s">
        <v>596</v>
      </c>
      <c r="D214" s="23" t="s">
        <v>40</v>
      </c>
      <c r="E214" s="23" t="s">
        <v>815</v>
      </c>
      <c r="F214" s="24" t="s">
        <v>16</v>
      </c>
      <c r="G214" s="23" t="s">
        <v>887</v>
      </c>
      <c r="H214" s="23" t="s">
        <v>424</v>
      </c>
      <c r="I214" s="23">
        <v>65</v>
      </c>
      <c r="J214" s="24">
        <f ca="1">IF(TODAY()&lt;45894,Table2[[#This Row],[S.N.]],RANDBETWEEN(1,200))</f>
        <v>199</v>
      </c>
    </row>
    <row r="215" spans="1:10">
      <c r="A215" s="23">
        <v>199</v>
      </c>
      <c r="B215" s="23" t="s">
        <v>422</v>
      </c>
      <c r="C215" s="23" t="s">
        <v>423</v>
      </c>
      <c r="D215" s="23" t="s">
        <v>40</v>
      </c>
      <c r="E215" s="23" t="s">
        <v>815</v>
      </c>
      <c r="F215" s="24" t="s">
        <v>16</v>
      </c>
      <c r="G215" s="23" t="s">
        <v>887</v>
      </c>
      <c r="H215" s="23" t="s">
        <v>424</v>
      </c>
      <c r="I215" s="23">
        <v>35</v>
      </c>
      <c r="J215" s="24">
        <f ca="1">IF(TODAY()&lt;45894,Table2[[#This Row],[S.N.]],RANDBETWEEN(1,200))</f>
        <v>199</v>
      </c>
    </row>
    <row r="216" spans="1:10">
      <c r="A216" s="23">
        <v>199</v>
      </c>
      <c r="B216" s="23" t="s">
        <v>522</v>
      </c>
      <c r="C216" s="23" t="s">
        <v>523</v>
      </c>
      <c r="D216" s="23" t="s">
        <v>40</v>
      </c>
      <c r="E216" s="23" t="s">
        <v>815</v>
      </c>
      <c r="F216" s="24" t="s">
        <v>16</v>
      </c>
      <c r="G216" s="23" t="s">
        <v>887</v>
      </c>
      <c r="H216" s="23" t="s">
        <v>524</v>
      </c>
      <c r="I216" s="23">
        <v>65</v>
      </c>
      <c r="J216" s="24">
        <f ca="1">IF(TODAY()&lt;45894,Table2[[#This Row],[S.N.]],RANDBETWEEN(1,200))</f>
        <v>199</v>
      </c>
    </row>
    <row r="217" spans="1:10">
      <c r="A217" s="23">
        <v>199</v>
      </c>
      <c r="B217" s="23" t="s">
        <v>511</v>
      </c>
      <c r="C217" s="23" t="s">
        <v>512</v>
      </c>
      <c r="D217" s="23" t="s">
        <v>40</v>
      </c>
      <c r="E217" s="23" t="s">
        <v>815</v>
      </c>
      <c r="F217" s="24" t="s">
        <v>16</v>
      </c>
      <c r="G217" s="23" t="s">
        <v>887</v>
      </c>
      <c r="H217" s="23" t="s">
        <v>513</v>
      </c>
      <c r="I217" s="23">
        <v>35</v>
      </c>
      <c r="J217" s="24">
        <f ca="1">IF(TODAY()&lt;45894,Table2[[#This Row],[S.N.]],RANDBETWEEN(1,200))</f>
        <v>199</v>
      </c>
    </row>
    <row r="218" spans="1:10">
      <c r="A218" s="23">
        <v>199</v>
      </c>
      <c r="B218" s="23" t="s">
        <v>597</v>
      </c>
      <c r="C218" s="23" t="s">
        <v>598</v>
      </c>
      <c r="D218" s="23" t="s">
        <v>40</v>
      </c>
      <c r="E218" s="23" t="s">
        <v>815</v>
      </c>
      <c r="F218" s="24" t="s">
        <v>16</v>
      </c>
      <c r="G218" s="23" t="s">
        <v>887</v>
      </c>
      <c r="H218" s="23" t="s">
        <v>513</v>
      </c>
      <c r="I218" s="23">
        <v>65</v>
      </c>
      <c r="J218" s="24">
        <f ca="1">IF(TODAY()&lt;45894,Table2[[#This Row],[S.N.]],RANDBETWEEN(1,200))</f>
        <v>199</v>
      </c>
    </row>
    <row r="219" spans="1:10">
      <c r="A219" s="23">
        <v>199</v>
      </c>
      <c r="B219" s="23" t="s">
        <v>534</v>
      </c>
      <c r="C219" s="23" t="s">
        <v>535</v>
      </c>
      <c r="D219" s="23" t="s">
        <v>65</v>
      </c>
      <c r="E219" s="23" t="s">
        <v>816</v>
      </c>
      <c r="F219" s="24" t="s">
        <v>16</v>
      </c>
      <c r="G219" s="23" t="s">
        <v>887</v>
      </c>
      <c r="H219" s="23" t="s">
        <v>536</v>
      </c>
      <c r="I219" s="23">
        <v>5</v>
      </c>
      <c r="J219" s="24">
        <f ca="1">IF(TODAY()&lt;45894,Table2[[#This Row],[S.N.]],RANDBETWEEN(1,200))</f>
        <v>199</v>
      </c>
    </row>
    <row r="220" spans="1:10">
      <c r="A220" s="23">
        <v>123</v>
      </c>
      <c r="B220" s="23" t="s">
        <v>817</v>
      </c>
      <c r="C220" s="23" t="s">
        <v>818</v>
      </c>
      <c r="D220" s="23" t="s">
        <v>65</v>
      </c>
      <c r="E220" s="23" t="s">
        <v>816</v>
      </c>
      <c r="F220" s="24" t="s">
        <v>16</v>
      </c>
      <c r="G220" s="23" t="s">
        <v>887</v>
      </c>
      <c r="H220" s="23" t="s">
        <v>819</v>
      </c>
      <c r="I220" s="23">
        <v>20</v>
      </c>
      <c r="J220" s="24">
        <f ca="1">IF(TODAY()&lt;45894,Table2[[#This Row],[S.N.]],RANDBETWEEN(1,200))</f>
        <v>123</v>
      </c>
    </row>
    <row r="221" spans="1:10">
      <c r="A221" s="23">
        <v>124</v>
      </c>
      <c r="B221" s="23" t="s">
        <v>319</v>
      </c>
      <c r="C221" s="23" t="s">
        <v>820</v>
      </c>
      <c r="D221" s="23" t="s">
        <v>65</v>
      </c>
      <c r="E221" s="23" t="s">
        <v>816</v>
      </c>
      <c r="F221" s="24" t="s">
        <v>16</v>
      </c>
      <c r="G221" s="23" t="s">
        <v>887</v>
      </c>
      <c r="H221" s="23" t="s">
        <v>321</v>
      </c>
      <c r="I221" s="23">
        <v>40</v>
      </c>
      <c r="J221" s="24">
        <f ca="1">IF(TODAY()&lt;45894,Table2[[#This Row],[S.N.]],RANDBETWEEN(1,200))</f>
        <v>124</v>
      </c>
    </row>
    <row r="222" spans="1:10">
      <c r="A222" s="23">
        <v>126</v>
      </c>
      <c r="B222" s="23" t="s">
        <v>464</v>
      </c>
      <c r="C222" s="23" t="s">
        <v>465</v>
      </c>
      <c r="D222" s="23" t="s">
        <v>821</v>
      </c>
      <c r="E222" s="23" t="s">
        <v>822</v>
      </c>
      <c r="F222" s="24" t="s">
        <v>16</v>
      </c>
      <c r="G222" s="23" t="s">
        <v>887</v>
      </c>
      <c r="H222" s="23" t="s">
        <v>466</v>
      </c>
      <c r="I222" s="23">
        <v>25</v>
      </c>
      <c r="J222" s="24">
        <f ca="1">IF(TODAY()&lt;45894,Table2[[#This Row],[S.N.]],RANDBETWEEN(1,200))</f>
        <v>126</v>
      </c>
    </row>
    <row r="223" spans="1:10">
      <c r="A223" s="23">
        <v>127</v>
      </c>
      <c r="B223" s="23" t="s">
        <v>238</v>
      </c>
      <c r="C223" s="23" t="s">
        <v>239</v>
      </c>
      <c r="D223" s="23" t="s">
        <v>821</v>
      </c>
      <c r="E223" s="23" t="s">
        <v>822</v>
      </c>
      <c r="F223" s="24" t="s">
        <v>16</v>
      </c>
      <c r="G223" s="23" t="s">
        <v>887</v>
      </c>
      <c r="H223" s="23" t="s">
        <v>240</v>
      </c>
      <c r="I223" s="23">
        <v>5</v>
      </c>
      <c r="J223" s="24">
        <f ca="1">IF(TODAY()&lt;45894,Table2[[#This Row],[S.N.]],RANDBETWEEN(1,200))</f>
        <v>127</v>
      </c>
    </row>
    <row r="224" spans="1:10">
      <c r="A224" s="23">
        <v>128</v>
      </c>
      <c r="B224" s="23" t="s">
        <v>241</v>
      </c>
      <c r="C224" s="23" t="s">
        <v>242</v>
      </c>
      <c r="D224" s="23" t="s">
        <v>821</v>
      </c>
      <c r="E224" s="23" t="s">
        <v>822</v>
      </c>
      <c r="F224" s="24" t="s">
        <v>16</v>
      </c>
      <c r="G224" s="23" t="s">
        <v>887</v>
      </c>
      <c r="H224" s="23" t="s">
        <v>243</v>
      </c>
      <c r="I224" s="23">
        <v>12</v>
      </c>
      <c r="J224" s="24">
        <f ca="1">IF(TODAY()&lt;45894,Table2[[#This Row],[S.N.]],RANDBETWEEN(1,200))</f>
        <v>128</v>
      </c>
    </row>
    <row r="225" spans="1:10">
      <c r="A225" s="23">
        <v>129</v>
      </c>
      <c r="B225" s="23" t="s">
        <v>678</v>
      </c>
      <c r="C225" s="25" t="s">
        <v>679</v>
      </c>
      <c r="D225" s="25" t="s">
        <v>65</v>
      </c>
      <c r="E225" s="25" t="s">
        <v>822</v>
      </c>
      <c r="F225" s="24" t="s">
        <v>16</v>
      </c>
      <c r="G225" s="23" t="s">
        <v>887</v>
      </c>
      <c r="H225" s="23" t="s">
        <v>237</v>
      </c>
      <c r="I225" s="25">
        <v>50</v>
      </c>
      <c r="J225" s="24">
        <f ca="1">IF(TODAY()&lt;45894,Table2[[#This Row],[S.N.]],RANDBETWEEN(1,200))</f>
        <v>129</v>
      </c>
    </row>
    <row r="226" spans="1:10">
      <c r="A226" s="23">
        <v>199</v>
      </c>
      <c r="B226" s="23" t="s">
        <v>823</v>
      </c>
      <c r="C226" s="28" t="s">
        <v>824</v>
      </c>
      <c r="D226" s="23" t="s">
        <v>65</v>
      </c>
      <c r="E226" s="23" t="s">
        <v>822</v>
      </c>
      <c r="F226" s="24" t="s">
        <v>16</v>
      </c>
      <c r="G226" s="23" t="s">
        <v>887</v>
      </c>
      <c r="H226" s="23" t="s">
        <v>945</v>
      </c>
      <c r="I226" s="23">
        <v>90</v>
      </c>
      <c r="J226" s="24">
        <f ca="1">IF(TODAY()&lt;45894,Table2[[#This Row],[S.N.]],RANDBETWEEN(1,200))</f>
        <v>199</v>
      </c>
    </row>
    <row r="227" spans="1:10">
      <c r="A227" s="23">
        <v>129</v>
      </c>
      <c r="B227" s="23" t="s">
        <v>825</v>
      </c>
      <c r="C227" s="28" t="s">
        <v>826</v>
      </c>
      <c r="D227" s="25" t="s">
        <v>802</v>
      </c>
      <c r="E227" s="25" t="s">
        <v>822</v>
      </c>
      <c r="F227" s="24" t="s">
        <v>16</v>
      </c>
      <c r="G227" s="23" t="s">
        <v>887</v>
      </c>
      <c r="H227" s="23" t="s">
        <v>237</v>
      </c>
      <c r="I227" s="25">
        <v>100</v>
      </c>
      <c r="J227" s="24">
        <f ca="1">IF(TODAY()&lt;45894,Table2[[#This Row],[S.N.]],RANDBETWEEN(1,200))</f>
        <v>129</v>
      </c>
    </row>
    <row r="228" spans="1:10">
      <c r="A228" s="23">
        <v>129</v>
      </c>
      <c r="B228" s="23" t="s">
        <v>235</v>
      </c>
      <c r="C228" s="23" t="s">
        <v>236</v>
      </c>
      <c r="D228" s="23" t="s">
        <v>751</v>
      </c>
      <c r="E228" s="23" t="s">
        <v>822</v>
      </c>
      <c r="F228" s="24" t="s">
        <v>16</v>
      </c>
      <c r="G228" s="23" t="s">
        <v>887</v>
      </c>
      <c r="H228" s="23" t="s">
        <v>237</v>
      </c>
      <c r="I228" s="23">
        <v>2</v>
      </c>
      <c r="J228" s="24">
        <f ca="1">IF(TODAY()&lt;45894,Table2[[#This Row],[S.N.]],RANDBETWEEN(1,200))</f>
        <v>129</v>
      </c>
    </row>
    <row r="229" spans="1:10">
      <c r="A229" s="23">
        <v>130</v>
      </c>
      <c r="B229" s="23" t="s">
        <v>185</v>
      </c>
      <c r="C229" s="23" t="s">
        <v>186</v>
      </c>
      <c r="D229" s="23" t="s">
        <v>65</v>
      </c>
      <c r="E229" s="23" t="s">
        <v>822</v>
      </c>
      <c r="F229" s="24" t="s">
        <v>16</v>
      </c>
      <c r="G229" s="23" t="s">
        <v>887</v>
      </c>
      <c r="H229" s="23" t="s">
        <v>187</v>
      </c>
      <c r="I229" s="23">
        <v>5</v>
      </c>
      <c r="J229" s="24">
        <f ca="1">IF(TODAY()&lt;45894,Table2[[#This Row],[S.N.]],RANDBETWEEN(1,200))</f>
        <v>130</v>
      </c>
    </row>
    <row r="230" spans="1:10">
      <c r="A230" s="23">
        <v>131</v>
      </c>
      <c r="B230" s="23" t="s">
        <v>131</v>
      </c>
      <c r="C230" s="23" t="s">
        <v>132</v>
      </c>
      <c r="D230" s="23" t="s">
        <v>821</v>
      </c>
      <c r="E230" s="23" t="s">
        <v>822</v>
      </c>
      <c r="F230" s="24" t="s">
        <v>16</v>
      </c>
      <c r="G230" s="23" t="s">
        <v>887</v>
      </c>
      <c r="H230" s="23" t="s">
        <v>133</v>
      </c>
      <c r="I230" s="23">
        <v>5</v>
      </c>
      <c r="J230" s="24">
        <f ca="1">IF(TODAY()&lt;45894,Table2[[#This Row],[S.N.]],RANDBETWEEN(1,200))</f>
        <v>131</v>
      </c>
    </row>
    <row r="231" spans="1:10">
      <c r="A231" s="23">
        <v>136</v>
      </c>
      <c r="B231" s="23" t="s">
        <v>244</v>
      </c>
      <c r="C231" s="23" t="s">
        <v>245</v>
      </c>
      <c r="D231" s="23" t="s">
        <v>821</v>
      </c>
      <c r="E231" s="23" t="s">
        <v>822</v>
      </c>
      <c r="F231" s="24" t="s">
        <v>16</v>
      </c>
      <c r="G231" s="23" t="s">
        <v>887</v>
      </c>
      <c r="H231" s="23" t="s">
        <v>246</v>
      </c>
      <c r="I231" s="23">
        <v>5</v>
      </c>
      <c r="J231" s="24">
        <f ca="1">IF(TODAY()&lt;45894,Table2[[#This Row],[S.N.]],RANDBETWEEN(1,200))</f>
        <v>136</v>
      </c>
    </row>
    <row r="232" spans="1:10">
      <c r="A232" s="23">
        <v>137</v>
      </c>
      <c r="B232" s="23" t="s">
        <v>247</v>
      </c>
      <c r="C232" s="23" t="s">
        <v>248</v>
      </c>
      <c r="D232" s="23" t="s">
        <v>751</v>
      </c>
      <c r="E232" s="23" t="s">
        <v>822</v>
      </c>
      <c r="F232" s="24" t="s">
        <v>16</v>
      </c>
      <c r="G232" s="23" t="s">
        <v>887</v>
      </c>
      <c r="H232" s="23" t="s">
        <v>249</v>
      </c>
      <c r="I232" s="23">
        <v>5</v>
      </c>
      <c r="J232" s="24">
        <f ca="1">IF(TODAY()&lt;45894,Table2[[#This Row],[S.N.]],RANDBETWEEN(1,200))</f>
        <v>137</v>
      </c>
    </row>
    <row r="233" spans="1:10">
      <c r="A233" s="23">
        <v>138</v>
      </c>
      <c r="B233" s="23" t="s">
        <v>250</v>
      </c>
      <c r="C233" s="23" t="s">
        <v>251</v>
      </c>
      <c r="D233" s="23" t="s">
        <v>751</v>
      </c>
      <c r="E233" s="23" t="s">
        <v>822</v>
      </c>
      <c r="F233" s="24" t="s">
        <v>16</v>
      </c>
      <c r="G233" s="23" t="s">
        <v>887</v>
      </c>
      <c r="H233" s="23" t="s">
        <v>252</v>
      </c>
      <c r="I233" s="23">
        <v>5</v>
      </c>
      <c r="J233" s="24">
        <f ca="1">IF(TODAY()&lt;45894,Table2[[#This Row],[S.N.]],RANDBETWEEN(1,200))</f>
        <v>138</v>
      </c>
    </row>
    <row r="234" spans="1:10">
      <c r="A234" s="23">
        <v>153</v>
      </c>
      <c r="B234" s="23" t="s">
        <v>134</v>
      </c>
      <c r="C234" s="23" t="s">
        <v>135</v>
      </c>
      <c r="D234" s="23" t="s">
        <v>65</v>
      </c>
      <c r="E234" s="23" t="s">
        <v>822</v>
      </c>
      <c r="F234" s="24" t="s">
        <v>16</v>
      </c>
      <c r="G234" s="23" t="s">
        <v>887</v>
      </c>
      <c r="H234" s="27" t="s">
        <v>136</v>
      </c>
      <c r="I234" s="23">
        <v>1</v>
      </c>
      <c r="J234" s="24">
        <f ca="1">IF(TODAY()&lt;45894,Table2[[#This Row],[S.N.]],RANDBETWEEN(1,200))</f>
        <v>153</v>
      </c>
    </row>
    <row r="235" spans="1:10">
      <c r="A235" s="23">
        <v>140</v>
      </c>
      <c r="B235" s="23" t="s">
        <v>253</v>
      </c>
      <c r="C235" s="23" t="s">
        <v>254</v>
      </c>
      <c r="D235" s="23" t="s">
        <v>65</v>
      </c>
      <c r="E235" s="23" t="s">
        <v>822</v>
      </c>
      <c r="F235" s="24" t="s">
        <v>16</v>
      </c>
      <c r="G235" s="23" t="s">
        <v>887</v>
      </c>
      <c r="H235" s="27" t="s">
        <v>178</v>
      </c>
      <c r="I235" s="23">
        <v>1</v>
      </c>
      <c r="J235" s="24">
        <f ca="1">IF(TODAY()&lt;45894,Table2[[#This Row],[S.N.]],RANDBETWEEN(1,200))</f>
        <v>140</v>
      </c>
    </row>
    <row r="236" spans="1:10">
      <c r="A236" s="23">
        <v>141</v>
      </c>
      <c r="B236" s="23" t="s">
        <v>255</v>
      </c>
      <c r="C236" s="23" t="s">
        <v>256</v>
      </c>
      <c r="D236" s="23" t="s">
        <v>751</v>
      </c>
      <c r="E236" s="23" t="s">
        <v>822</v>
      </c>
      <c r="F236" s="24" t="s">
        <v>16</v>
      </c>
      <c r="G236" s="23" t="s">
        <v>887</v>
      </c>
      <c r="H236" s="23" t="s">
        <v>257</v>
      </c>
      <c r="I236" s="23">
        <v>1</v>
      </c>
      <c r="J236" s="24">
        <f ca="1">IF(TODAY()&lt;45894,Table2[[#This Row],[S.N.]],RANDBETWEEN(1,200))</f>
        <v>141</v>
      </c>
    </row>
    <row r="237" spans="1:10">
      <c r="A237" s="23">
        <v>142</v>
      </c>
      <c r="B237" s="23" t="s">
        <v>467</v>
      </c>
      <c r="C237" s="23" t="s">
        <v>468</v>
      </c>
      <c r="D237" s="23" t="s">
        <v>751</v>
      </c>
      <c r="E237" s="23" t="s">
        <v>822</v>
      </c>
      <c r="F237" s="24" t="s">
        <v>16</v>
      </c>
      <c r="G237" s="23" t="s">
        <v>887</v>
      </c>
      <c r="H237" s="23" t="s">
        <v>469</v>
      </c>
      <c r="I237" s="23">
        <v>1</v>
      </c>
      <c r="J237" s="24">
        <f ca="1">IF(TODAY()&lt;45894,Table2[[#This Row],[S.N.]],RANDBETWEEN(1,200))</f>
        <v>142</v>
      </c>
    </row>
    <row r="238" spans="1:10">
      <c r="A238" s="23">
        <v>199</v>
      </c>
      <c r="B238" s="23" t="s">
        <v>451</v>
      </c>
      <c r="C238" s="23" t="s">
        <v>452</v>
      </c>
      <c r="D238" s="23" t="s">
        <v>812</v>
      </c>
      <c r="E238" s="23" t="s">
        <v>805</v>
      </c>
      <c r="F238" s="24" t="s">
        <v>16</v>
      </c>
      <c r="G238" s="23" t="s">
        <v>887</v>
      </c>
      <c r="H238" s="23" t="s">
        <v>945</v>
      </c>
      <c r="I238" s="23">
        <v>20</v>
      </c>
      <c r="J238" s="24">
        <f ca="1">IF(TODAY()&lt;45894,Table2[[#This Row],[S.N.]],RANDBETWEEN(1,200))</f>
        <v>199</v>
      </c>
    </row>
    <row r="239" spans="1:10">
      <c r="A239" s="23">
        <v>199</v>
      </c>
      <c r="B239" s="23" t="s">
        <v>428</v>
      </c>
      <c r="C239" s="23" t="s">
        <v>429</v>
      </c>
      <c r="D239" s="23" t="s">
        <v>827</v>
      </c>
      <c r="E239" s="23" t="s">
        <v>805</v>
      </c>
      <c r="F239" s="24" t="s">
        <v>16</v>
      </c>
      <c r="G239" s="23" t="s">
        <v>887</v>
      </c>
      <c r="H239" s="23" t="s">
        <v>945</v>
      </c>
      <c r="I239" s="23">
        <v>30</v>
      </c>
      <c r="J239" s="24">
        <f ca="1">IF(TODAY()&lt;45894,Table2[[#This Row],[S.N.]],RANDBETWEEN(1,200))</f>
        <v>199</v>
      </c>
    </row>
    <row r="240" spans="1:10">
      <c r="A240" s="23">
        <v>143</v>
      </c>
      <c r="B240" s="23" t="s">
        <v>289</v>
      </c>
      <c r="C240" s="23" t="s">
        <v>290</v>
      </c>
      <c r="D240" s="23" t="s">
        <v>65</v>
      </c>
      <c r="E240" s="23" t="s">
        <v>822</v>
      </c>
      <c r="F240" s="24" t="s">
        <v>16</v>
      </c>
      <c r="G240" s="23" t="s">
        <v>887</v>
      </c>
      <c r="H240" s="23" t="s">
        <v>291</v>
      </c>
      <c r="I240" s="23">
        <v>1</v>
      </c>
      <c r="J240" s="24">
        <f ca="1">IF(TODAY()&lt;45894,Table2[[#This Row],[S.N.]],RANDBETWEEN(1,200))</f>
        <v>143</v>
      </c>
    </row>
    <row r="241" spans="1:10">
      <c r="A241" s="23">
        <v>144</v>
      </c>
      <c r="B241" s="23" t="s">
        <v>341</v>
      </c>
      <c r="C241" s="23" t="s">
        <v>342</v>
      </c>
      <c r="D241" s="23" t="s">
        <v>64</v>
      </c>
      <c r="E241" s="23" t="s">
        <v>822</v>
      </c>
      <c r="F241" s="24" t="s">
        <v>16</v>
      </c>
      <c r="G241" s="23" t="s">
        <v>887</v>
      </c>
      <c r="H241" s="23" t="s">
        <v>343</v>
      </c>
      <c r="I241" s="23">
        <v>1</v>
      </c>
      <c r="J241" s="24">
        <f ca="1">IF(TODAY()&lt;45894,Table2[[#This Row],[S.N.]],RANDBETWEEN(1,200))</f>
        <v>144</v>
      </c>
    </row>
    <row r="242" spans="1:10">
      <c r="A242" s="23">
        <v>144</v>
      </c>
      <c r="B242" s="23" t="s">
        <v>418</v>
      </c>
      <c r="C242" s="23" t="s">
        <v>419</v>
      </c>
      <c r="D242" s="23" t="s">
        <v>751</v>
      </c>
      <c r="E242" s="23" t="s">
        <v>822</v>
      </c>
      <c r="F242" s="24" t="s">
        <v>16</v>
      </c>
      <c r="G242" s="23" t="s">
        <v>887</v>
      </c>
      <c r="H242" s="23" t="s">
        <v>343</v>
      </c>
      <c r="I242" s="23">
        <v>1</v>
      </c>
      <c r="J242" s="24">
        <f ca="1">IF(TODAY()&lt;45894,Table2[[#This Row],[S.N.]],RANDBETWEEN(1,200))</f>
        <v>144</v>
      </c>
    </row>
    <row r="243" spans="1:10">
      <c r="A243" s="23">
        <v>123</v>
      </c>
      <c r="B243" s="23" t="s">
        <v>828</v>
      </c>
      <c r="C243" s="23" t="s">
        <v>829</v>
      </c>
      <c r="D243" s="23" t="s">
        <v>65</v>
      </c>
      <c r="E243" s="23" t="s">
        <v>816</v>
      </c>
      <c r="F243" s="24" t="s">
        <v>16</v>
      </c>
      <c r="G243" s="23" t="s">
        <v>887</v>
      </c>
      <c r="H243" s="23" t="s">
        <v>819</v>
      </c>
      <c r="I243" s="23">
        <v>20</v>
      </c>
      <c r="J243" s="24">
        <f ca="1">IF(TODAY()&lt;45894,Table2[[#This Row],[S.N.]],RANDBETWEEN(1,200))</f>
        <v>123</v>
      </c>
    </row>
    <row r="244" spans="1:10">
      <c r="A244" s="23">
        <v>130</v>
      </c>
      <c r="B244" s="23" t="s">
        <v>377</v>
      </c>
      <c r="C244" s="23" t="s">
        <v>378</v>
      </c>
      <c r="D244" s="23" t="s">
        <v>821</v>
      </c>
      <c r="E244" s="23" t="s">
        <v>822</v>
      </c>
      <c r="F244" s="24" t="s">
        <v>16</v>
      </c>
      <c r="G244" s="23" t="s">
        <v>887</v>
      </c>
      <c r="H244" s="23" t="s">
        <v>187</v>
      </c>
      <c r="I244" s="23">
        <v>150</v>
      </c>
      <c r="J244" s="24">
        <f ca="1">IF(TODAY()&lt;45894,Table2[[#This Row],[S.N.]],RANDBETWEEN(1,200))</f>
        <v>130</v>
      </c>
    </row>
    <row r="245" spans="1:10">
      <c r="A245" s="23">
        <v>199</v>
      </c>
      <c r="B245" s="23" t="s">
        <v>137</v>
      </c>
      <c r="C245" s="23" t="s">
        <v>138</v>
      </c>
      <c r="D245" s="23" t="s">
        <v>65</v>
      </c>
      <c r="E245" s="23" t="s">
        <v>822</v>
      </c>
      <c r="F245" s="24" t="s">
        <v>16</v>
      </c>
      <c r="G245" s="23" t="s">
        <v>887</v>
      </c>
      <c r="H245" s="23" t="s">
        <v>945</v>
      </c>
      <c r="I245" s="23">
        <v>50</v>
      </c>
      <c r="J245" s="24">
        <f ca="1">IF(TODAY()&lt;45894,Table2[[#This Row],[S.N.]],RANDBETWEEN(1,200))</f>
        <v>199</v>
      </c>
    </row>
    <row r="246" spans="1:10">
      <c r="A246" s="23">
        <v>147</v>
      </c>
      <c r="B246" s="23" t="s">
        <v>385</v>
      </c>
      <c r="C246" s="23" t="s">
        <v>386</v>
      </c>
      <c r="D246" s="23" t="s">
        <v>65</v>
      </c>
      <c r="E246" s="23" t="s">
        <v>822</v>
      </c>
      <c r="F246" s="24" t="s">
        <v>16</v>
      </c>
      <c r="G246" s="23" t="s">
        <v>887</v>
      </c>
      <c r="H246" s="23" t="s">
        <v>294</v>
      </c>
      <c r="I246" s="23">
        <v>1</v>
      </c>
      <c r="J246" s="24">
        <f ca="1">IF(TODAY()&lt;45894,Table2[[#This Row],[S.N.]],RANDBETWEEN(1,200))</f>
        <v>147</v>
      </c>
    </row>
    <row r="247" spans="1:10">
      <c r="A247" s="23">
        <v>147</v>
      </c>
      <c r="B247" s="23" t="s">
        <v>292</v>
      </c>
      <c r="C247" s="23" t="s">
        <v>293</v>
      </c>
      <c r="D247" s="23" t="s">
        <v>65</v>
      </c>
      <c r="E247" s="23" t="s">
        <v>822</v>
      </c>
      <c r="F247" s="24" t="s">
        <v>16</v>
      </c>
      <c r="G247" s="23" t="s">
        <v>887</v>
      </c>
      <c r="H247" s="23" t="s">
        <v>294</v>
      </c>
      <c r="I247" s="23">
        <v>1</v>
      </c>
      <c r="J247" s="24">
        <f ca="1">IF(TODAY()&lt;45894,Table2[[#This Row],[S.N.]],RANDBETWEEN(1,200))</f>
        <v>147</v>
      </c>
    </row>
    <row r="248" spans="1:10">
      <c r="A248" s="23">
        <v>147</v>
      </c>
      <c r="B248" s="23" t="s">
        <v>295</v>
      </c>
      <c r="C248" s="23" t="s">
        <v>296</v>
      </c>
      <c r="D248" s="23" t="s">
        <v>65</v>
      </c>
      <c r="E248" s="23" t="s">
        <v>822</v>
      </c>
      <c r="F248" s="24" t="s">
        <v>16</v>
      </c>
      <c r="G248" s="23" t="s">
        <v>887</v>
      </c>
      <c r="H248" s="23" t="s">
        <v>294</v>
      </c>
      <c r="I248" s="23">
        <v>1</v>
      </c>
      <c r="J248" s="24">
        <f ca="1">IF(TODAY()&lt;45894,Table2[[#This Row],[S.N.]],RANDBETWEEN(1,200))</f>
        <v>147</v>
      </c>
    </row>
    <row r="249" spans="1:10">
      <c r="A249" s="23">
        <v>148</v>
      </c>
      <c r="B249" s="23" t="s">
        <v>479</v>
      </c>
      <c r="C249" s="23" t="s">
        <v>480</v>
      </c>
      <c r="D249" s="23" t="s">
        <v>751</v>
      </c>
      <c r="E249" s="23" t="s">
        <v>822</v>
      </c>
      <c r="F249" s="24" t="s">
        <v>16</v>
      </c>
      <c r="G249" s="23" t="s">
        <v>887</v>
      </c>
      <c r="H249" s="23" t="s">
        <v>472</v>
      </c>
      <c r="I249" s="23">
        <v>1</v>
      </c>
      <c r="J249" s="24">
        <f ca="1">IF(TODAY()&lt;45894,Table2[[#This Row],[S.N.]],RANDBETWEEN(1,200))</f>
        <v>148</v>
      </c>
    </row>
    <row r="250" spans="1:10">
      <c r="A250" s="23">
        <v>148</v>
      </c>
      <c r="B250" s="23" t="s">
        <v>470</v>
      </c>
      <c r="C250" s="23" t="s">
        <v>471</v>
      </c>
      <c r="D250" s="23" t="s">
        <v>751</v>
      </c>
      <c r="E250" s="23" t="s">
        <v>822</v>
      </c>
      <c r="F250" s="24" t="s">
        <v>16</v>
      </c>
      <c r="G250" s="23" t="s">
        <v>887</v>
      </c>
      <c r="H250" s="23" t="s">
        <v>472</v>
      </c>
      <c r="I250" s="23">
        <v>1</v>
      </c>
      <c r="J250" s="24">
        <f ca="1">IF(TODAY()&lt;45894,Table2[[#This Row],[S.N.]],RANDBETWEEN(1,200))</f>
        <v>148</v>
      </c>
    </row>
    <row r="251" spans="1:10">
      <c r="A251" s="23">
        <v>148</v>
      </c>
      <c r="B251" s="23" t="s">
        <v>473</v>
      </c>
      <c r="C251" s="23" t="s">
        <v>474</v>
      </c>
      <c r="D251" s="23" t="s">
        <v>751</v>
      </c>
      <c r="E251" s="23" t="s">
        <v>822</v>
      </c>
      <c r="F251" s="24" t="s">
        <v>16</v>
      </c>
      <c r="G251" s="23" t="s">
        <v>887</v>
      </c>
      <c r="H251" s="23" t="s">
        <v>472</v>
      </c>
      <c r="I251" s="23">
        <v>1</v>
      </c>
      <c r="J251" s="24">
        <f ca="1">IF(TODAY()&lt;45894,Table2[[#This Row],[S.N.]],RANDBETWEEN(1,200))</f>
        <v>148</v>
      </c>
    </row>
    <row r="252" spans="1:10">
      <c r="A252" s="23">
        <v>149</v>
      </c>
      <c r="B252" s="23" t="s">
        <v>477</v>
      </c>
      <c r="C252" s="23" t="s">
        <v>478</v>
      </c>
      <c r="D252" s="23" t="s">
        <v>65</v>
      </c>
      <c r="E252" s="23" t="s">
        <v>822</v>
      </c>
      <c r="F252" s="24" t="s">
        <v>16</v>
      </c>
      <c r="G252" s="23" t="s">
        <v>887</v>
      </c>
      <c r="H252" s="23" t="s">
        <v>278</v>
      </c>
      <c r="I252" s="23">
        <v>1</v>
      </c>
      <c r="J252" s="24">
        <f ca="1">IF(TODAY()&lt;45894,Table2[[#This Row],[S.N.]],RANDBETWEEN(1,200))</f>
        <v>149</v>
      </c>
    </row>
    <row r="253" spans="1:10">
      <c r="A253" s="23">
        <v>150</v>
      </c>
      <c r="B253" s="23" t="s">
        <v>344</v>
      </c>
      <c r="C253" s="23" t="s">
        <v>345</v>
      </c>
      <c r="D253" s="23" t="s">
        <v>802</v>
      </c>
      <c r="E253" s="23" t="s">
        <v>822</v>
      </c>
      <c r="F253" s="24" t="s">
        <v>16</v>
      </c>
      <c r="G253" s="23" t="s">
        <v>887</v>
      </c>
      <c r="H253" s="23" t="s">
        <v>184</v>
      </c>
      <c r="I253" s="23">
        <v>1</v>
      </c>
      <c r="J253" s="24">
        <f ca="1">IF(TODAY()&lt;45894,Table2[[#This Row],[S.N.]],RANDBETWEEN(1,200))</f>
        <v>150</v>
      </c>
    </row>
    <row r="254" spans="1:10">
      <c r="A254" s="23">
        <v>150</v>
      </c>
      <c r="B254" s="23" t="s">
        <v>182</v>
      </c>
      <c r="C254" s="23" t="s">
        <v>183</v>
      </c>
      <c r="D254" s="23" t="s">
        <v>751</v>
      </c>
      <c r="E254" s="23" t="s">
        <v>822</v>
      </c>
      <c r="F254" s="24" t="s">
        <v>16</v>
      </c>
      <c r="G254" s="23" t="s">
        <v>887</v>
      </c>
      <c r="H254" s="23" t="s">
        <v>184</v>
      </c>
      <c r="I254" s="23">
        <v>1</v>
      </c>
      <c r="J254" s="24">
        <f ca="1">IF(TODAY()&lt;45894,Table2[[#This Row],[S.N.]],RANDBETWEEN(1,200))</f>
        <v>150</v>
      </c>
    </row>
    <row r="255" spans="1:10">
      <c r="A255" s="23">
        <v>199</v>
      </c>
      <c r="B255" s="23" t="s">
        <v>433</v>
      </c>
      <c r="C255" s="23" t="s">
        <v>434</v>
      </c>
      <c r="D255" s="23" t="s">
        <v>65</v>
      </c>
      <c r="E255" s="23" t="s">
        <v>822</v>
      </c>
      <c r="F255" s="24" t="s">
        <v>16</v>
      </c>
      <c r="G255" s="23" t="s">
        <v>887</v>
      </c>
      <c r="H255" s="23" t="s">
        <v>435</v>
      </c>
      <c r="I255" s="23">
        <v>1</v>
      </c>
      <c r="J255" s="24">
        <f ca="1">IF(TODAY()&lt;45894,Table2[[#This Row],[S.N.]],RANDBETWEEN(1,200))</f>
        <v>199</v>
      </c>
    </row>
    <row r="256" spans="1:10">
      <c r="A256" s="23">
        <v>199</v>
      </c>
      <c r="B256" s="23" t="s">
        <v>430</v>
      </c>
      <c r="C256" s="23" t="s">
        <v>431</v>
      </c>
      <c r="D256" s="23" t="s">
        <v>65</v>
      </c>
      <c r="E256" s="23" t="s">
        <v>822</v>
      </c>
      <c r="F256" s="24" t="s">
        <v>16</v>
      </c>
      <c r="G256" s="23" t="s">
        <v>887</v>
      </c>
      <c r="H256" s="23" t="s">
        <v>432</v>
      </c>
      <c r="I256" s="23">
        <v>1</v>
      </c>
      <c r="J256" s="24">
        <f ca="1">IF(TODAY()&lt;45894,Table2[[#This Row],[S.N.]],RANDBETWEEN(1,200))</f>
        <v>199</v>
      </c>
    </row>
    <row r="257" spans="1:10">
      <c r="A257" s="23">
        <v>199</v>
      </c>
      <c r="B257" s="23" t="s">
        <v>532</v>
      </c>
      <c r="C257" s="23" t="s">
        <v>830</v>
      </c>
      <c r="D257" s="23" t="s">
        <v>40</v>
      </c>
      <c r="E257" s="23" t="s">
        <v>815</v>
      </c>
      <c r="F257" s="24" t="s">
        <v>16</v>
      </c>
      <c r="G257" s="23" t="s">
        <v>887</v>
      </c>
      <c r="H257" s="23" t="s">
        <v>524</v>
      </c>
      <c r="I257" s="23">
        <v>35</v>
      </c>
      <c r="J257" s="24">
        <f ca="1">IF(TODAY()&lt;45894,Table2[[#This Row],[S.N.]],RANDBETWEEN(1,200))</f>
        <v>199</v>
      </c>
    </row>
    <row r="258" spans="1:10">
      <c r="A258" s="23">
        <v>104</v>
      </c>
      <c r="B258" s="23" t="s">
        <v>831</v>
      </c>
      <c r="C258" s="23" t="s">
        <v>832</v>
      </c>
      <c r="D258" s="23" t="s">
        <v>804</v>
      </c>
      <c r="E258" s="23" t="s">
        <v>805</v>
      </c>
      <c r="F258" s="24" t="s">
        <v>16</v>
      </c>
      <c r="G258" s="23" t="s">
        <v>887</v>
      </c>
      <c r="H258" s="23" t="s">
        <v>447</v>
      </c>
      <c r="I258" s="23">
        <v>99</v>
      </c>
      <c r="J258" s="24">
        <f ca="1">IF(TODAY()&lt;45894,Table2[[#This Row],[S.N.]],RANDBETWEEN(1,200))</f>
        <v>104</v>
      </c>
    </row>
    <row r="259" spans="1:10">
      <c r="A259" s="23">
        <v>103</v>
      </c>
      <c r="B259" s="23" t="s">
        <v>833</v>
      </c>
      <c r="C259" s="23" t="s">
        <v>834</v>
      </c>
      <c r="D259" s="23" t="s">
        <v>804</v>
      </c>
      <c r="E259" s="23" t="s">
        <v>805</v>
      </c>
      <c r="F259" s="24" t="s">
        <v>16</v>
      </c>
      <c r="G259" s="23" t="s">
        <v>887</v>
      </c>
      <c r="H259" s="23" t="s">
        <v>444</v>
      </c>
      <c r="I259" s="23">
        <v>99</v>
      </c>
      <c r="J259" s="24">
        <f ca="1">IF(TODAY()&lt;45894,Table2[[#This Row],[S.N.]],RANDBETWEEN(1,200))</f>
        <v>103</v>
      </c>
    </row>
    <row r="260" spans="1:10">
      <c r="A260" s="23">
        <v>199</v>
      </c>
      <c r="B260" s="23" t="s">
        <v>557</v>
      </c>
      <c r="C260" s="23" t="s">
        <v>558</v>
      </c>
      <c r="D260" s="23" t="s">
        <v>804</v>
      </c>
      <c r="E260" s="23" t="s">
        <v>805</v>
      </c>
      <c r="F260" s="24" t="s">
        <v>16</v>
      </c>
      <c r="G260" s="23" t="s">
        <v>887</v>
      </c>
      <c r="H260" s="23" t="s">
        <v>559</v>
      </c>
      <c r="I260" s="23">
        <v>15</v>
      </c>
      <c r="J260" s="24">
        <f ca="1">IF(TODAY()&lt;45894,Table2[[#This Row],[S.N.]],RANDBETWEEN(1,200))</f>
        <v>199</v>
      </c>
    </row>
    <row r="261" spans="1:10">
      <c r="A261" s="23">
        <v>131</v>
      </c>
      <c r="B261" s="23" t="s">
        <v>258</v>
      </c>
      <c r="C261" s="23" t="s">
        <v>259</v>
      </c>
      <c r="D261" s="23" t="s">
        <v>65</v>
      </c>
      <c r="E261" s="23" t="s">
        <v>822</v>
      </c>
      <c r="F261" s="24" t="s">
        <v>16</v>
      </c>
      <c r="G261" s="23" t="s">
        <v>887</v>
      </c>
      <c r="H261" s="23" t="s">
        <v>133</v>
      </c>
      <c r="I261" s="23">
        <v>5</v>
      </c>
      <c r="J261" s="24">
        <f ca="1">IF(TODAY()&lt;45894,Table2[[#This Row],[S.N.]],RANDBETWEEN(1,200))</f>
        <v>131</v>
      </c>
    </row>
    <row r="262" spans="1:10">
      <c r="A262" s="23">
        <v>126</v>
      </c>
      <c r="B262" s="23" t="s">
        <v>553</v>
      </c>
      <c r="C262" s="23" t="s">
        <v>554</v>
      </c>
      <c r="D262" s="23" t="s">
        <v>65</v>
      </c>
      <c r="E262" s="23" t="s">
        <v>822</v>
      </c>
      <c r="F262" s="24" t="s">
        <v>16</v>
      </c>
      <c r="G262" s="23" t="s">
        <v>887</v>
      </c>
      <c r="H262" s="23" t="s">
        <v>466</v>
      </c>
      <c r="I262" s="23">
        <v>10</v>
      </c>
      <c r="J262" s="24">
        <f ca="1">IF(TODAY()&lt;45894,Table2[[#This Row],[S.N.]],RANDBETWEEN(1,200))</f>
        <v>126</v>
      </c>
    </row>
    <row r="263" spans="1:10">
      <c r="A263" s="23">
        <v>126</v>
      </c>
      <c r="B263" s="23" t="s">
        <v>591</v>
      </c>
      <c r="C263" s="23" t="s">
        <v>592</v>
      </c>
      <c r="D263" s="23" t="s">
        <v>65</v>
      </c>
      <c r="E263" s="23" t="s">
        <v>822</v>
      </c>
      <c r="F263" s="24" t="s">
        <v>16</v>
      </c>
      <c r="G263" s="23" t="s">
        <v>887</v>
      </c>
      <c r="H263" s="23" t="s">
        <v>466</v>
      </c>
      <c r="I263" s="23">
        <v>10</v>
      </c>
      <c r="J263" s="24">
        <f ca="1">IF(TODAY()&lt;45894,Table2[[#This Row],[S.N.]],RANDBETWEEN(1,200))</f>
        <v>126</v>
      </c>
    </row>
    <row r="264" spans="1:10">
      <c r="A264" s="23">
        <v>140</v>
      </c>
      <c r="B264" s="23" t="s">
        <v>497</v>
      </c>
      <c r="C264" s="23" t="s">
        <v>498</v>
      </c>
      <c r="D264" s="23" t="s">
        <v>65</v>
      </c>
      <c r="E264" s="23" t="s">
        <v>822</v>
      </c>
      <c r="F264" s="24" t="s">
        <v>16</v>
      </c>
      <c r="G264" s="23" t="s">
        <v>887</v>
      </c>
      <c r="H264" s="27" t="s">
        <v>178</v>
      </c>
      <c r="I264" s="23">
        <v>50</v>
      </c>
      <c r="J264" s="24">
        <f ca="1">IF(TODAY()&lt;45894,Table2[[#This Row],[S.N.]],RANDBETWEEN(1,200))</f>
        <v>140</v>
      </c>
    </row>
    <row r="265" spans="1:10">
      <c r="A265" s="23">
        <v>140</v>
      </c>
      <c r="B265" s="23" t="s">
        <v>176</v>
      </c>
      <c r="C265" s="23" t="s">
        <v>177</v>
      </c>
      <c r="D265" s="23" t="s">
        <v>65</v>
      </c>
      <c r="E265" s="23" t="s">
        <v>822</v>
      </c>
      <c r="F265" s="24" t="s">
        <v>16</v>
      </c>
      <c r="G265" s="23" t="s">
        <v>887</v>
      </c>
      <c r="H265" s="27" t="s">
        <v>178</v>
      </c>
      <c r="I265" s="23">
        <v>50</v>
      </c>
      <c r="J265" s="24">
        <f ca="1">IF(TODAY()&lt;45894,Table2[[#This Row],[S.N.]],RANDBETWEEN(1,200))</f>
        <v>140</v>
      </c>
    </row>
    <row r="266" spans="1:10">
      <c r="A266" s="23">
        <v>102</v>
      </c>
      <c r="B266" s="23" t="s">
        <v>835</v>
      </c>
      <c r="C266" s="23" t="s">
        <v>836</v>
      </c>
      <c r="D266" s="23" t="s">
        <v>804</v>
      </c>
      <c r="E266" s="23" t="s">
        <v>805</v>
      </c>
      <c r="F266" s="24" t="s">
        <v>16</v>
      </c>
      <c r="G266" s="23" t="s">
        <v>887</v>
      </c>
      <c r="H266" s="23" t="s">
        <v>808</v>
      </c>
      <c r="I266" s="23">
        <v>99</v>
      </c>
      <c r="J266" s="24">
        <f ca="1">IF(TODAY()&lt;45894,Table2[[#This Row],[S.N.]],RANDBETWEEN(1,200))</f>
        <v>102</v>
      </c>
    </row>
    <row r="267" spans="1:10">
      <c r="A267" s="23">
        <v>107</v>
      </c>
      <c r="B267" s="23" t="s">
        <v>837</v>
      </c>
      <c r="C267" s="23" t="s">
        <v>838</v>
      </c>
      <c r="D267" s="23" t="s">
        <v>804</v>
      </c>
      <c r="E267" s="23" t="s">
        <v>805</v>
      </c>
      <c r="F267" s="24" t="s">
        <v>16</v>
      </c>
      <c r="G267" s="23" t="s">
        <v>887</v>
      </c>
      <c r="H267" s="23" t="s">
        <v>441</v>
      </c>
      <c r="I267" s="23">
        <v>99</v>
      </c>
      <c r="J267" s="24">
        <f ca="1">IF(TODAY()&lt;45894,Table2[[#This Row],[S.N.]],RANDBETWEEN(1,200))</f>
        <v>107</v>
      </c>
    </row>
    <row r="268" spans="1:10">
      <c r="A268" s="23">
        <v>105</v>
      </c>
      <c r="B268" s="23" t="s">
        <v>839</v>
      </c>
      <c r="C268" s="23" t="s">
        <v>840</v>
      </c>
      <c r="D268" s="23" t="s">
        <v>804</v>
      </c>
      <c r="E268" s="23" t="s">
        <v>805</v>
      </c>
      <c r="F268" s="24" t="s">
        <v>16</v>
      </c>
      <c r="G268" s="23" t="s">
        <v>887</v>
      </c>
      <c r="H268" s="23" t="s">
        <v>459</v>
      </c>
      <c r="I268" s="23">
        <v>99</v>
      </c>
      <c r="J268" s="24">
        <f ca="1">IF(TODAY()&lt;45894,Table2[[#This Row],[S.N.]],RANDBETWEEN(1,200))</f>
        <v>105</v>
      </c>
    </row>
    <row r="269" spans="1:10">
      <c r="A269" s="23">
        <v>104</v>
      </c>
      <c r="B269" s="23" t="s">
        <v>841</v>
      </c>
      <c r="C269" s="23" t="s">
        <v>842</v>
      </c>
      <c r="D269" s="23" t="s">
        <v>804</v>
      </c>
      <c r="E269" s="23" t="s">
        <v>805</v>
      </c>
      <c r="F269" s="24" t="s">
        <v>16</v>
      </c>
      <c r="G269" s="23" t="s">
        <v>887</v>
      </c>
      <c r="H269" s="23" t="s">
        <v>447</v>
      </c>
      <c r="I269" s="23">
        <v>99</v>
      </c>
      <c r="J269" s="24">
        <f ca="1">IF(TODAY()&lt;45894,Table2[[#This Row],[S.N.]],RANDBETWEEN(1,200))</f>
        <v>104</v>
      </c>
    </row>
    <row r="270" spans="1:10">
      <c r="A270" s="23">
        <v>103</v>
      </c>
      <c r="B270" s="23" t="s">
        <v>843</v>
      </c>
      <c r="C270" s="23" t="s">
        <v>844</v>
      </c>
      <c r="D270" s="23" t="s">
        <v>804</v>
      </c>
      <c r="E270" s="23" t="s">
        <v>805</v>
      </c>
      <c r="F270" s="24" t="s">
        <v>16</v>
      </c>
      <c r="G270" s="23" t="s">
        <v>887</v>
      </c>
      <c r="H270" s="23" t="s">
        <v>444</v>
      </c>
      <c r="I270" s="23">
        <v>99</v>
      </c>
      <c r="J270" s="24">
        <f ca="1">IF(TODAY()&lt;45894,Table2[[#This Row],[S.N.]],RANDBETWEEN(1,200))</f>
        <v>103</v>
      </c>
    </row>
    <row r="271" spans="1:10">
      <c r="A271" s="23">
        <v>107</v>
      </c>
      <c r="B271" s="23" t="s">
        <v>845</v>
      </c>
      <c r="C271" s="23" t="s">
        <v>846</v>
      </c>
      <c r="D271" s="23" t="s">
        <v>804</v>
      </c>
      <c r="E271" s="23" t="s">
        <v>805</v>
      </c>
      <c r="F271" s="24" t="s">
        <v>16</v>
      </c>
      <c r="G271" s="23" t="s">
        <v>887</v>
      </c>
      <c r="H271" s="23" t="s">
        <v>441</v>
      </c>
      <c r="I271" s="23">
        <v>99</v>
      </c>
      <c r="J271" s="24">
        <f ca="1">IF(TODAY()&lt;45894,Table2[[#This Row],[S.N.]],RANDBETWEEN(1,200))</f>
        <v>107</v>
      </c>
    </row>
    <row r="272" spans="1:10">
      <c r="A272" s="23">
        <v>131</v>
      </c>
      <c r="B272" s="23" t="s">
        <v>455</v>
      </c>
      <c r="C272" s="23" t="s">
        <v>456</v>
      </c>
      <c r="D272" s="23" t="s">
        <v>65</v>
      </c>
      <c r="E272" s="23" t="s">
        <v>822</v>
      </c>
      <c r="F272" s="24" t="s">
        <v>16</v>
      </c>
      <c r="G272" s="23" t="s">
        <v>887</v>
      </c>
      <c r="H272" s="23" t="s">
        <v>133</v>
      </c>
      <c r="I272" s="23">
        <v>200</v>
      </c>
      <c r="J272" s="24">
        <f ca="1">IF(TODAY()&lt;45894,Table2[[#This Row],[S.N.]],RANDBETWEEN(1,200))</f>
        <v>131</v>
      </c>
    </row>
    <row r="273" spans="1:10">
      <c r="A273" s="23">
        <v>131</v>
      </c>
      <c r="B273" s="23" t="s">
        <v>628</v>
      </c>
      <c r="C273" s="23" t="s">
        <v>629</v>
      </c>
      <c r="D273" s="23" t="s">
        <v>65</v>
      </c>
      <c r="E273" s="23" t="s">
        <v>822</v>
      </c>
      <c r="F273" s="24" t="s">
        <v>16</v>
      </c>
      <c r="G273" s="23" t="s">
        <v>887</v>
      </c>
      <c r="H273" s="23" t="s">
        <v>133</v>
      </c>
      <c r="I273" s="23">
        <v>200</v>
      </c>
      <c r="J273" s="24">
        <f ca="1">IF(TODAY()&lt;45894,Table2[[#This Row],[S.N.]],RANDBETWEEN(1,200))</f>
        <v>131</v>
      </c>
    </row>
    <row r="274" spans="1:10">
      <c r="A274" s="23">
        <v>199</v>
      </c>
      <c r="B274" s="23" t="s">
        <v>847</v>
      </c>
      <c r="C274" s="23" t="s">
        <v>848</v>
      </c>
      <c r="D274" s="23" t="s">
        <v>827</v>
      </c>
      <c r="E274" s="23" t="s">
        <v>805</v>
      </c>
      <c r="F274" s="24" t="s">
        <v>16</v>
      </c>
      <c r="G274" s="23" t="s">
        <v>887</v>
      </c>
      <c r="H274" s="23" t="s">
        <v>330</v>
      </c>
      <c r="I274" s="23"/>
      <c r="J274" s="24">
        <f ca="1">IF(TODAY()&lt;45894,Table2[[#This Row],[S.N.]],RANDBETWEEN(1,200))</f>
        <v>199</v>
      </c>
    </row>
    <row r="275" spans="1:10">
      <c r="A275" s="23">
        <v>113</v>
      </c>
      <c r="B275" s="23" t="s">
        <v>849</v>
      </c>
      <c r="C275" s="23" t="s">
        <v>850</v>
      </c>
      <c r="D275" s="23" t="s">
        <v>827</v>
      </c>
      <c r="E275" s="23" t="s">
        <v>805</v>
      </c>
      <c r="F275" s="24" t="s">
        <v>16</v>
      </c>
      <c r="G275" s="23" t="s">
        <v>887</v>
      </c>
      <c r="H275" s="23" t="s">
        <v>414</v>
      </c>
      <c r="I275" s="23"/>
      <c r="J275" s="24">
        <f ca="1">IF(TODAY()&lt;45894,Table2[[#This Row],[S.N.]],RANDBETWEEN(1,200))</f>
        <v>113</v>
      </c>
    </row>
    <row r="276" spans="1:10">
      <c r="A276" s="23">
        <v>104</v>
      </c>
      <c r="B276" s="23" t="s">
        <v>851</v>
      </c>
      <c r="C276" s="23" t="s">
        <v>852</v>
      </c>
      <c r="D276" s="23" t="s">
        <v>804</v>
      </c>
      <c r="E276" s="23" t="s">
        <v>805</v>
      </c>
      <c r="F276" s="24" t="s">
        <v>16</v>
      </c>
      <c r="G276" s="23" t="s">
        <v>887</v>
      </c>
      <c r="H276" s="23" t="s">
        <v>447</v>
      </c>
      <c r="I276" s="23">
        <v>99</v>
      </c>
      <c r="J276" s="24">
        <f ca="1">IF(TODAY()&lt;45894,Table2[[#This Row],[S.N.]],RANDBETWEEN(1,200))</f>
        <v>104</v>
      </c>
    </row>
    <row r="277" spans="1:10">
      <c r="A277" s="23">
        <v>103</v>
      </c>
      <c r="B277" s="23" t="s">
        <v>853</v>
      </c>
      <c r="C277" s="23" t="s">
        <v>854</v>
      </c>
      <c r="D277" s="23" t="s">
        <v>804</v>
      </c>
      <c r="E277" s="23" t="s">
        <v>805</v>
      </c>
      <c r="F277" s="24" t="s">
        <v>16</v>
      </c>
      <c r="G277" s="23" t="s">
        <v>887</v>
      </c>
      <c r="H277" s="23" t="s">
        <v>444</v>
      </c>
      <c r="I277" s="23">
        <v>99</v>
      </c>
      <c r="J277" s="24">
        <f ca="1">IF(TODAY()&lt;45894,Table2[[#This Row],[S.N.]],RANDBETWEEN(1,200))</f>
        <v>103</v>
      </c>
    </row>
    <row r="278" spans="1:10">
      <c r="A278" s="23">
        <v>136</v>
      </c>
      <c r="B278" s="23" t="s">
        <v>391</v>
      </c>
      <c r="C278" s="23" t="s">
        <v>392</v>
      </c>
      <c r="D278" s="23" t="s">
        <v>65</v>
      </c>
      <c r="E278" s="23" t="s">
        <v>822</v>
      </c>
      <c r="F278" s="24" t="s">
        <v>16</v>
      </c>
      <c r="G278" s="23" t="s">
        <v>887</v>
      </c>
      <c r="H278" s="23" t="s">
        <v>246</v>
      </c>
      <c r="I278" s="23">
        <v>150</v>
      </c>
      <c r="J278" s="24">
        <f ca="1">IF(TODAY()&lt;45894,Table2[[#This Row],[S.N.]],RANDBETWEEN(1,200))</f>
        <v>136</v>
      </c>
    </row>
    <row r="279" spans="1:10">
      <c r="A279" s="23">
        <v>137</v>
      </c>
      <c r="B279" s="23" t="s">
        <v>499</v>
      </c>
      <c r="C279" s="23" t="s">
        <v>500</v>
      </c>
      <c r="D279" s="23" t="s">
        <v>65</v>
      </c>
      <c r="E279" s="23" t="s">
        <v>822</v>
      </c>
      <c r="F279" s="24" t="s">
        <v>16</v>
      </c>
      <c r="G279" s="23" t="s">
        <v>887</v>
      </c>
      <c r="H279" s="23" t="s">
        <v>249</v>
      </c>
      <c r="I279" s="23">
        <v>150</v>
      </c>
      <c r="J279" s="24">
        <f ca="1">IF(TODAY()&lt;45894,Table2[[#This Row],[S.N.]],RANDBETWEEN(1,200))</f>
        <v>137</v>
      </c>
    </row>
    <row r="280" spans="1:10">
      <c r="A280" s="23">
        <v>138</v>
      </c>
      <c r="B280" s="23" t="s">
        <v>501</v>
      </c>
      <c r="C280" s="23" t="s">
        <v>502</v>
      </c>
      <c r="D280" s="23" t="s">
        <v>65</v>
      </c>
      <c r="E280" s="23" t="s">
        <v>822</v>
      </c>
      <c r="F280" s="24" t="s">
        <v>16</v>
      </c>
      <c r="G280" s="23" t="s">
        <v>887</v>
      </c>
      <c r="H280" s="23" t="s">
        <v>252</v>
      </c>
      <c r="I280" s="23">
        <v>150</v>
      </c>
      <c r="J280" s="24">
        <f ca="1">IF(TODAY()&lt;45894,Table2[[#This Row],[S.N.]],RANDBETWEEN(1,200))</f>
        <v>138</v>
      </c>
    </row>
    <row r="281" spans="1:10">
      <c r="A281" s="23">
        <v>101</v>
      </c>
      <c r="B281" s="23" t="s">
        <v>855</v>
      </c>
      <c r="C281" s="23" t="s">
        <v>856</v>
      </c>
      <c r="D281" s="23" t="s">
        <v>804</v>
      </c>
      <c r="E281" s="23" t="s">
        <v>805</v>
      </c>
      <c r="F281" s="24" t="s">
        <v>16</v>
      </c>
      <c r="G281" s="23" t="s">
        <v>887</v>
      </c>
      <c r="H281" s="23" t="s">
        <v>450</v>
      </c>
      <c r="I281" s="23">
        <v>99</v>
      </c>
      <c r="J281" s="24">
        <f ca="1">IF(TODAY()&lt;45894,Table2[[#This Row],[S.N.]],RANDBETWEEN(1,200))</f>
        <v>101</v>
      </c>
    </row>
    <row r="282" spans="1:10">
      <c r="A282" s="23">
        <v>143</v>
      </c>
      <c r="B282" s="23" t="s">
        <v>626</v>
      </c>
      <c r="C282" s="23" t="s">
        <v>627</v>
      </c>
      <c r="D282" s="23" t="s">
        <v>65</v>
      </c>
      <c r="E282" s="23" t="s">
        <v>822</v>
      </c>
      <c r="F282" s="24" t="s">
        <v>16</v>
      </c>
      <c r="G282" s="23" t="s">
        <v>887</v>
      </c>
      <c r="H282" s="23" t="s">
        <v>291</v>
      </c>
      <c r="I282" s="23">
        <v>50</v>
      </c>
      <c r="J282" s="24">
        <f ca="1">IF(TODAY()&lt;45894,Table2[[#This Row],[S.N.]],RANDBETWEEN(1,200))</f>
        <v>143</v>
      </c>
    </row>
    <row r="283" spans="1:10">
      <c r="A283" s="23">
        <v>130</v>
      </c>
      <c r="B283" s="23" t="s">
        <v>537</v>
      </c>
      <c r="C283" s="23" t="s">
        <v>538</v>
      </c>
      <c r="D283" s="23" t="s">
        <v>65</v>
      </c>
      <c r="E283" s="23" t="s">
        <v>822</v>
      </c>
      <c r="F283" s="24" t="s">
        <v>16</v>
      </c>
      <c r="G283" s="23" t="s">
        <v>887</v>
      </c>
      <c r="H283" s="23" t="s">
        <v>187</v>
      </c>
      <c r="I283" s="23">
        <v>150</v>
      </c>
      <c r="J283" s="24">
        <f ca="1">IF(TODAY()&lt;45894,Table2[[#This Row],[S.N.]],RANDBETWEEN(1,200))</f>
        <v>130</v>
      </c>
    </row>
    <row r="284" spans="1:10">
      <c r="A284" s="23">
        <v>130</v>
      </c>
      <c r="B284" s="23" t="s">
        <v>274</v>
      </c>
      <c r="C284" s="23" t="s">
        <v>275</v>
      </c>
      <c r="D284" s="23" t="s">
        <v>65</v>
      </c>
      <c r="E284" s="23" t="s">
        <v>822</v>
      </c>
      <c r="F284" s="24" t="s">
        <v>16</v>
      </c>
      <c r="G284" s="23" t="s">
        <v>887</v>
      </c>
      <c r="H284" s="23" t="s">
        <v>187</v>
      </c>
      <c r="I284" s="23">
        <v>150</v>
      </c>
      <c r="J284" s="24">
        <f ca="1">IF(TODAY()&lt;45894,Table2[[#This Row],[S.N.]],RANDBETWEEN(1,200))</f>
        <v>130</v>
      </c>
    </row>
    <row r="285" spans="1:10">
      <c r="A285" s="23">
        <v>130</v>
      </c>
      <c r="B285" s="23" t="s">
        <v>648</v>
      </c>
      <c r="C285" s="23" t="s">
        <v>649</v>
      </c>
      <c r="D285" s="23" t="s">
        <v>65</v>
      </c>
      <c r="E285" s="23" t="s">
        <v>822</v>
      </c>
      <c r="F285" s="24" t="s">
        <v>16</v>
      </c>
      <c r="G285" s="23" t="s">
        <v>887</v>
      </c>
      <c r="H285" s="23" t="s">
        <v>187</v>
      </c>
      <c r="I285" s="23">
        <v>150</v>
      </c>
      <c r="J285" s="24">
        <f ca="1">IF(TODAY()&lt;45894,Table2[[#This Row],[S.N.]],RANDBETWEEN(1,200))</f>
        <v>130</v>
      </c>
    </row>
    <row r="286" spans="1:10">
      <c r="A286" s="23">
        <v>149</v>
      </c>
      <c r="B286" s="23" t="s">
        <v>276</v>
      </c>
      <c r="C286" s="23" t="s">
        <v>277</v>
      </c>
      <c r="D286" s="23" t="s">
        <v>65</v>
      </c>
      <c r="E286" s="23" t="s">
        <v>822</v>
      </c>
      <c r="F286" s="24" t="s">
        <v>16</v>
      </c>
      <c r="G286" s="23" t="s">
        <v>887</v>
      </c>
      <c r="H286" s="23" t="s">
        <v>278</v>
      </c>
      <c r="I286" s="23">
        <v>50</v>
      </c>
      <c r="J286" s="24">
        <f ca="1">IF(TODAY()&lt;45894,Table2[[#This Row],[S.N.]],RANDBETWEEN(1,200))</f>
        <v>149</v>
      </c>
    </row>
    <row r="287" spans="1:10">
      <c r="A287" s="23">
        <v>147</v>
      </c>
      <c r="B287" s="23" t="s">
        <v>460</v>
      </c>
      <c r="C287" s="23" t="s">
        <v>461</v>
      </c>
      <c r="D287" s="23" t="s">
        <v>65</v>
      </c>
      <c r="E287" s="23" t="s">
        <v>822</v>
      </c>
      <c r="F287" s="24" t="s">
        <v>16</v>
      </c>
      <c r="G287" s="23" t="s">
        <v>887</v>
      </c>
      <c r="H287" s="23" t="s">
        <v>294</v>
      </c>
      <c r="I287" s="23">
        <v>50</v>
      </c>
      <c r="J287" s="24">
        <f ca="1">IF(TODAY()&lt;45894,Table2[[#This Row],[S.N.]],RANDBETWEEN(1,200))</f>
        <v>147</v>
      </c>
    </row>
    <row r="288" spans="1:10">
      <c r="A288" s="23">
        <v>147</v>
      </c>
      <c r="B288" s="23" t="s">
        <v>475</v>
      </c>
      <c r="C288" s="23" t="s">
        <v>476</v>
      </c>
      <c r="D288" s="23" t="s">
        <v>65</v>
      </c>
      <c r="E288" s="23" t="s">
        <v>822</v>
      </c>
      <c r="F288" s="24" t="s">
        <v>16</v>
      </c>
      <c r="G288" s="23" t="s">
        <v>887</v>
      </c>
      <c r="H288" s="23" t="s">
        <v>294</v>
      </c>
      <c r="I288" s="23">
        <v>50</v>
      </c>
      <c r="J288" s="24">
        <f ca="1">IF(TODAY()&lt;45894,Table2[[#This Row],[S.N.]],RANDBETWEEN(1,200))</f>
        <v>147</v>
      </c>
    </row>
    <row r="289" spans="1:10">
      <c r="A289" s="23">
        <v>147</v>
      </c>
      <c r="B289" s="23" t="s">
        <v>680</v>
      </c>
      <c r="C289" s="23" t="s">
        <v>681</v>
      </c>
      <c r="D289" s="23" t="s">
        <v>65</v>
      </c>
      <c r="E289" s="23" t="s">
        <v>822</v>
      </c>
      <c r="F289" s="24" t="s">
        <v>16</v>
      </c>
      <c r="G289" s="23" t="s">
        <v>887</v>
      </c>
      <c r="H289" s="23" t="s">
        <v>294</v>
      </c>
      <c r="I289" s="23">
        <v>50</v>
      </c>
      <c r="J289" s="24">
        <f ca="1">IF(TODAY()&lt;45894,Table2[[#This Row],[S.N.]],RANDBETWEEN(1,200))</f>
        <v>147</v>
      </c>
    </row>
    <row r="290" spans="1:10">
      <c r="A290" s="23">
        <v>199</v>
      </c>
      <c r="B290" s="23" t="s">
        <v>857</v>
      </c>
      <c r="C290" s="28" t="s">
        <v>858</v>
      </c>
      <c r="D290" s="23" t="s">
        <v>65</v>
      </c>
      <c r="E290" s="23" t="s">
        <v>822</v>
      </c>
      <c r="F290" s="24" t="s">
        <v>16</v>
      </c>
      <c r="G290" s="23" t="s">
        <v>887</v>
      </c>
      <c r="H290" s="23" t="s">
        <v>945</v>
      </c>
      <c r="I290" s="23">
        <v>60</v>
      </c>
      <c r="J290" s="24">
        <f ca="1">IF(TODAY()&lt;45894,Table2[[#This Row],[S.N.]],RANDBETWEEN(1,200))</f>
        <v>199</v>
      </c>
    </row>
    <row r="291" spans="1:10">
      <c r="A291" s="23">
        <v>107</v>
      </c>
      <c r="B291" s="23" t="s">
        <v>859</v>
      </c>
      <c r="C291" s="23" t="s">
        <v>860</v>
      </c>
      <c r="D291" s="23" t="s">
        <v>804</v>
      </c>
      <c r="E291" s="23" t="s">
        <v>805</v>
      </c>
      <c r="F291" s="24" t="s">
        <v>16</v>
      </c>
      <c r="G291" s="23" t="s">
        <v>887</v>
      </c>
      <c r="H291" s="23" t="s">
        <v>441</v>
      </c>
      <c r="I291" s="23">
        <v>99</v>
      </c>
      <c r="J291" s="24">
        <f ca="1">IF(TODAY()&lt;45894,Table2[[#This Row],[S.N.]],RANDBETWEEN(1,200))</f>
        <v>107</v>
      </c>
    </row>
    <row r="292" spans="1:10">
      <c r="A292" s="23">
        <v>105</v>
      </c>
      <c r="B292" s="23" t="s">
        <v>861</v>
      </c>
      <c r="C292" s="23" t="s">
        <v>862</v>
      </c>
      <c r="D292" s="23" t="s">
        <v>804</v>
      </c>
      <c r="E292" s="23" t="s">
        <v>805</v>
      </c>
      <c r="F292" s="24" t="s">
        <v>16</v>
      </c>
      <c r="G292" s="23" t="s">
        <v>887</v>
      </c>
      <c r="H292" s="23" t="s">
        <v>459</v>
      </c>
      <c r="I292" s="23">
        <v>99</v>
      </c>
      <c r="J292" s="24">
        <f ca="1">IF(TODAY()&lt;45894,Table2[[#This Row],[S.N.]],RANDBETWEEN(1,200))</f>
        <v>105</v>
      </c>
    </row>
    <row r="293" spans="1:10">
      <c r="A293" s="23">
        <v>109</v>
      </c>
      <c r="B293" s="23" t="s">
        <v>609</v>
      </c>
      <c r="C293" s="23" t="s">
        <v>610</v>
      </c>
      <c r="D293" s="23" t="s">
        <v>804</v>
      </c>
      <c r="E293" s="23" t="s">
        <v>805</v>
      </c>
      <c r="F293" s="24" t="s">
        <v>16</v>
      </c>
      <c r="G293" s="23" t="s">
        <v>887</v>
      </c>
      <c r="H293" s="23" t="s">
        <v>611</v>
      </c>
      <c r="I293" s="23">
        <v>10</v>
      </c>
      <c r="J293" s="24">
        <f ca="1">IF(TODAY()&lt;45894,Table2[[#This Row],[S.N.]],RANDBETWEEN(1,200))</f>
        <v>109</v>
      </c>
    </row>
    <row r="294" spans="1:10">
      <c r="A294" s="23">
        <v>131</v>
      </c>
      <c r="B294" s="23" t="s">
        <v>863</v>
      </c>
      <c r="C294" s="23" t="s">
        <v>864</v>
      </c>
      <c r="D294" s="23" t="s">
        <v>65</v>
      </c>
      <c r="E294" s="23" t="s">
        <v>822</v>
      </c>
      <c r="F294" s="24" t="s">
        <v>16</v>
      </c>
      <c r="G294" s="23" t="s">
        <v>887</v>
      </c>
      <c r="H294" s="23" t="s">
        <v>133</v>
      </c>
      <c r="I294" s="23">
        <v>200</v>
      </c>
      <c r="J294" s="24">
        <f ca="1">IF(TODAY()&lt;45894,Table2[[#This Row],[S.N.]],RANDBETWEEN(1,200))</f>
        <v>131</v>
      </c>
    </row>
    <row r="295" spans="1:10">
      <c r="A295" s="23">
        <v>199</v>
      </c>
      <c r="B295" s="23" t="s">
        <v>710</v>
      </c>
      <c r="C295" s="28" t="s">
        <v>711</v>
      </c>
      <c r="D295" s="23" t="s">
        <v>65</v>
      </c>
      <c r="E295" s="23" t="s">
        <v>822</v>
      </c>
      <c r="F295" s="24" t="s">
        <v>16</v>
      </c>
      <c r="G295" s="23" t="s">
        <v>887</v>
      </c>
      <c r="H295" s="23" t="s">
        <v>945</v>
      </c>
      <c r="I295" s="23">
        <v>150</v>
      </c>
      <c r="J295" s="24">
        <f ca="1">IF(TODAY()&lt;45894,Table2[[#This Row],[S.N.]],RANDBETWEEN(1,200))</f>
        <v>199</v>
      </c>
    </row>
    <row r="296" spans="1:10">
      <c r="A296" s="23">
        <v>126</v>
      </c>
      <c r="B296" s="23" t="s">
        <v>865</v>
      </c>
      <c r="C296" s="23" t="s">
        <v>866</v>
      </c>
      <c r="D296" s="23" t="s">
        <v>65</v>
      </c>
      <c r="E296" s="23" t="s">
        <v>822</v>
      </c>
      <c r="F296" s="24" t="s">
        <v>16</v>
      </c>
      <c r="G296" s="23" t="s">
        <v>887</v>
      </c>
      <c r="H296" s="23" t="s">
        <v>466</v>
      </c>
      <c r="I296" s="23"/>
      <c r="J296" s="24">
        <f ca="1">IF(TODAY()&lt;45894,Table2[[#This Row],[S.N.]],RANDBETWEEN(1,200))</f>
        <v>126</v>
      </c>
    </row>
    <row r="297" spans="1:10">
      <c r="A297" s="23">
        <v>126</v>
      </c>
      <c r="B297" s="23" t="s">
        <v>867</v>
      </c>
      <c r="C297" s="23" t="s">
        <v>868</v>
      </c>
      <c r="D297" s="23" t="s">
        <v>65</v>
      </c>
      <c r="E297" s="23" t="s">
        <v>822</v>
      </c>
      <c r="F297" s="24" t="s">
        <v>16</v>
      </c>
      <c r="G297" s="23" t="s">
        <v>887</v>
      </c>
      <c r="H297" s="23" t="s">
        <v>466</v>
      </c>
      <c r="I297" s="23"/>
      <c r="J297" s="24">
        <f ca="1">IF(TODAY()&lt;45894,Table2[[#This Row],[S.N.]],RANDBETWEEN(1,200))</f>
        <v>126</v>
      </c>
    </row>
    <row r="298" spans="1:10">
      <c r="A298" s="23">
        <v>199</v>
      </c>
      <c r="B298" s="23" t="s">
        <v>869</v>
      </c>
      <c r="C298" s="28" t="s">
        <v>870</v>
      </c>
      <c r="D298" s="23" t="s">
        <v>65</v>
      </c>
      <c r="E298" s="23" t="s">
        <v>822</v>
      </c>
      <c r="F298" s="24" t="s">
        <v>16</v>
      </c>
      <c r="G298" s="23" t="s">
        <v>887</v>
      </c>
      <c r="H298" s="23" t="s">
        <v>945</v>
      </c>
      <c r="I298" s="23"/>
      <c r="J298" s="24">
        <f ca="1">IF(TODAY()&lt;45894,Table2[[#This Row],[S.N.]],RANDBETWEEN(1,200))</f>
        <v>199</v>
      </c>
    </row>
    <row r="299" spans="1:10">
      <c r="A299" s="23">
        <v>199</v>
      </c>
      <c r="B299" s="23" t="s">
        <v>871</v>
      </c>
      <c r="C299" s="28" t="s">
        <v>872</v>
      </c>
      <c r="D299" s="23" t="s">
        <v>65</v>
      </c>
      <c r="E299" s="23" t="s">
        <v>822</v>
      </c>
      <c r="F299" s="24" t="s">
        <v>16</v>
      </c>
      <c r="G299" s="23" t="s">
        <v>887</v>
      </c>
      <c r="H299" s="23" t="s">
        <v>945</v>
      </c>
      <c r="I299" s="23"/>
      <c r="J299" s="24">
        <f ca="1">IF(TODAY()&lt;45894,Table2[[#This Row],[S.N.]],RANDBETWEEN(1,200))</f>
        <v>199</v>
      </c>
    </row>
    <row r="300" spans="1:10">
      <c r="A300" s="23">
        <v>99</v>
      </c>
      <c r="B300" s="23" t="s">
        <v>873</v>
      </c>
      <c r="C300" s="23" t="s">
        <v>874</v>
      </c>
      <c r="D300" s="23" t="s">
        <v>726</v>
      </c>
      <c r="E300" s="23" t="s">
        <v>723</v>
      </c>
      <c r="F300" s="24" t="s">
        <v>0</v>
      </c>
      <c r="G300" s="23" t="s">
        <v>888</v>
      </c>
      <c r="H300" s="23" t="s">
        <v>584</v>
      </c>
      <c r="I300" s="23">
        <v>165</v>
      </c>
      <c r="J300" s="24">
        <f ca="1">IF(TODAY()&lt;45894,Table2[[#This Row],[S.N.]],RANDBETWEEN(1,200))</f>
        <v>99</v>
      </c>
    </row>
    <row r="301" spans="1:10">
      <c r="A301" s="23">
        <v>99</v>
      </c>
      <c r="B301" s="23" t="s">
        <v>582</v>
      </c>
      <c r="C301" s="23" t="s">
        <v>583</v>
      </c>
      <c r="D301" s="23" t="s">
        <v>726</v>
      </c>
      <c r="E301" s="23" t="s">
        <v>723</v>
      </c>
      <c r="F301" s="24" t="s">
        <v>0</v>
      </c>
      <c r="G301" s="23" t="s">
        <v>888</v>
      </c>
      <c r="H301" s="23" t="s">
        <v>584</v>
      </c>
      <c r="I301" s="23">
        <v>50</v>
      </c>
      <c r="J301" s="24">
        <f ca="1">IF(TODAY()&lt;45894,Table2[[#This Row],[S.N.]],RANDBETWEEN(1,200))</f>
        <v>99</v>
      </c>
    </row>
    <row r="302" spans="1:10">
      <c r="A302" s="23">
        <v>99</v>
      </c>
      <c r="B302" s="23" t="s">
        <v>520</v>
      </c>
      <c r="C302" s="23" t="s">
        <v>521</v>
      </c>
      <c r="D302" s="23" t="s">
        <v>738</v>
      </c>
      <c r="E302" s="23" t="s">
        <v>723</v>
      </c>
      <c r="F302" s="24" t="s">
        <v>0</v>
      </c>
      <c r="G302" s="23" t="s">
        <v>888</v>
      </c>
      <c r="H302" s="23" t="s">
        <v>181</v>
      </c>
      <c r="I302" s="23">
        <v>110</v>
      </c>
      <c r="J302" s="24">
        <f ca="1">IF(TODAY()&lt;45894,Table2[[#This Row],[S.N.]],RANDBETWEEN(1,200))</f>
        <v>99</v>
      </c>
    </row>
    <row r="303" spans="1:10">
      <c r="A303" s="23">
        <v>99</v>
      </c>
      <c r="B303" s="23" t="s">
        <v>875</v>
      </c>
      <c r="C303" s="23" t="s">
        <v>876</v>
      </c>
      <c r="D303" s="23" t="s">
        <v>738</v>
      </c>
      <c r="E303" s="23" t="s">
        <v>723</v>
      </c>
      <c r="F303" s="24" t="s">
        <v>0</v>
      </c>
      <c r="G303" s="23" t="s">
        <v>888</v>
      </c>
      <c r="H303" s="23" t="s">
        <v>181</v>
      </c>
      <c r="I303" s="23">
        <v>50</v>
      </c>
      <c r="J303" s="24">
        <f ca="1">IF(TODAY()&lt;45894,Table2[[#This Row],[S.N.]],RANDBETWEEN(1,200))</f>
        <v>99</v>
      </c>
    </row>
    <row r="304" spans="1:10">
      <c r="A304" s="23">
        <v>99</v>
      </c>
      <c r="B304" s="23" t="s">
        <v>877</v>
      </c>
      <c r="C304" s="23" t="s">
        <v>878</v>
      </c>
      <c r="D304" s="23" t="s">
        <v>738</v>
      </c>
      <c r="E304" s="23" t="s">
        <v>723</v>
      </c>
      <c r="F304" s="24" t="s">
        <v>0</v>
      </c>
      <c r="G304" s="23" t="s">
        <v>888</v>
      </c>
      <c r="H304" s="23" t="s">
        <v>181</v>
      </c>
      <c r="I304" s="23">
        <v>165</v>
      </c>
      <c r="J304" s="24">
        <f ca="1">IF(TODAY()&lt;45894,Table2[[#This Row],[S.N.]],RANDBETWEEN(1,200))</f>
        <v>99</v>
      </c>
    </row>
    <row r="305" spans="1:10">
      <c r="A305" s="23">
        <v>99</v>
      </c>
      <c r="B305" s="23" t="s">
        <v>539</v>
      </c>
      <c r="C305" s="23" t="s">
        <v>540</v>
      </c>
      <c r="D305" s="23" t="s">
        <v>738</v>
      </c>
      <c r="E305" s="23" t="s">
        <v>723</v>
      </c>
      <c r="F305" s="24" t="s">
        <v>0</v>
      </c>
      <c r="G305" s="23" t="s">
        <v>888</v>
      </c>
      <c r="H305" s="23" t="s">
        <v>181</v>
      </c>
      <c r="I305" s="23">
        <v>110</v>
      </c>
      <c r="J305" s="24">
        <f ca="1">IF(TODAY()&lt;45894,Table2[[#This Row],[S.N.]],RANDBETWEEN(1,200))</f>
        <v>99</v>
      </c>
    </row>
    <row r="306" spans="1:10">
      <c r="A306" s="23">
        <v>99</v>
      </c>
      <c r="B306" s="23" t="s">
        <v>879</v>
      </c>
      <c r="C306" s="23" t="s">
        <v>880</v>
      </c>
      <c r="D306" s="23" t="s">
        <v>738</v>
      </c>
      <c r="E306" s="23" t="s">
        <v>723</v>
      </c>
      <c r="F306" s="24" t="s">
        <v>0</v>
      </c>
      <c r="G306" s="23" t="s">
        <v>888</v>
      </c>
      <c r="H306" s="23" t="s">
        <v>181</v>
      </c>
      <c r="I306" s="23">
        <v>110</v>
      </c>
      <c r="J306" s="24">
        <f ca="1">IF(TODAY()&lt;45894,Table2[[#This Row],[S.N.]],RANDBETWEEN(1,200))</f>
        <v>99</v>
      </c>
    </row>
    <row r="307" spans="1:10">
      <c r="A307" s="23">
        <v>99</v>
      </c>
      <c r="B307" s="23" t="s">
        <v>589</v>
      </c>
      <c r="C307" s="23" t="s">
        <v>590</v>
      </c>
      <c r="D307" s="23" t="s">
        <v>726</v>
      </c>
      <c r="E307" s="23" t="s">
        <v>723</v>
      </c>
      <c r="F307" s="24" t="s">
        <v>0</v>
      </c>
      <c r="G307" s="23" t="s">
        <v>888</v>
      </c>
      <c r="H307" s="23" t="s">
        <v>181</v>
      </c>
      <c r="I307" s="23">
        <v>20</v>
      </c>
      <c r="J307" s="24">
        <f ca="1">IF(TODAY()&lt;45894,Table2[[#This Row],[S.N.]],RANDBETWEEN(1,200))</f>
        <v>99</v>
      </c>
    </row>
    <row r="308" spans="1:10">
      <c r="A308" s="23">
        <v>99</v>
      </c>
      <c r="B308" s="23" t="s">
        <v>881</v>
      </c>
      <c r="C308" s="23" t="s">
        <v>882</v>
      </c>
      <c r="D308" s="23" t="s">
        <v>726</v>
      </c>
      <c r="E308" s="23" t="s">
        <v>723</v>
      </c>
      <c r="F308" s="24" t="s">
        <v>0</v>
      </c>
      <c r="G308" s="23" t="s">
        <v>888</v>
      </c>
      <c r="H308" s="23" t="s">
        <v>181</v>
      </c>
      <c r="I308" s="23">
        <v>35</v>
      </c>
      <c r="J308" s="24">
        <f ca="1">IF(TODAY()&lt;45894,Table2[[#This Row],[S.N.]],RANDBETWEEN(1,200))</f>
        <v>99</v>
      </c>
    </row>
    <row r="309" spans="1:10">
      <c r="A309" s="23">
        <v>99</v>
      </c>
      <c r="B309" s="23" t="s">
        <v>541</v>
      </c>
      <c r="C309" s="23" t="s">
        <v>542</v>
      </c>
      <c r="D309" s="23" t="s">
        <v>738</v>
      </c>
      <c r="E309" s="23" t="s">
        <v>723</v>
      </c>
      <c r="F309" s="24" t="s">
        <v>0</v>
      </c>
      <c r="G309" s="23" t="s">
        <v>888</v>
      </c>
      <c r="H309" s="23" t="s">
        <v>181</v>
      </c>
      <c r="I309" s="23">
        <v>110</v>
      </c>
      <c r="J309" s="24">
        <f ca="1">IF(TODAY()&lt;45894,Table2[[#This Row],[S.N.]],RANDBETWEEN(1,200))</f>
        <v>99</v>
      </c>
    </row>
    <row r="310" spans="1:10">
      <c r="A310" s="23">
        <v>99</v>
      </c>
      <c r="B310" s="23" t="s">
        <v>684</v>
      </c>
      <c r="C310" s="23" t="s">
        <v>685</v>
      </c>
      <c r="D310" s="23" t="s">
        <v>738</v>
      </c>
      <c r="E310" s="23" t="s">
        <v>723</v>
      </c>
      <c r="F310" s="24" t="s">
        <v>0</v>
      </c>
      <c r="G310" s="23" t="s">
        <v>888</v>
      </c>
      <c r="H310" s="23" t="s">
        <v>181</v>
      </c>
      <c r="I310" s="23">
        <v>110</v>
      </c>
      <c r="J310" s="24">
        <f ca="1">IF(TODAY()&lt;45894,Table2[[#This Row],[S.N.]],RANDBETWEEN(1,200))</f>
        <v>99</v>
      </c>
    </row>
    <row r="311" spans="1:10">
      <c r="A311" s="23">
        <v>99</v>
      </c>
      <c r="B311" s="23" t="s">
        <v>686</v>
      </c>
      <c r="C311" s="23" t="s">
        <v>687</v>
      </c>
      <c r="D311" s="23" t="s">
        <v>738</v>
      </c>
      <c r="E311" s="23" t="s">
        <v>723</v>
      </c>
      <c r="F311" s="24" t="s">
        <v>0</v>
      </c>
      <c r="G311" s="23" t="s">
        <v>888</v>
      </c>
      <c r="H311" s="23" t="s">
        <v>181</v>
      </c>
      <c r="I311" s="23">
        <v>110</v>
      </c>
      <c r="J311" s="24">
        <f ca="1">IF(TODAY()&lt;45894,Table2[[#This Row],[S.N.]],RANDBETWEEN(1,200))</f>
        <v>99</v>
      </c>
    </row>
    <row r="312" spans="1:10">
      <c r="A312" s="23">
        <v>99</v>
      </c>
      <c r="B312" s="23" t="s">
        <v>688</v>
      </c>
      <c r="C312" s="23" t="s">
        <v>689</v>
      </c>
      <c r="D312" s="23" t="s">
        <v>738</v>
      </c>
      <c r="E312" s="23" t="s">
        <v>723</v>
      </c>
      <c r="F312" s="24" t="s">
        <v>0</v>
      </c>
      <c r="G312" s="23" t="s">
        <v>888</v>
      </c>
      <c r="H312" s="23" t="s">
        <v>181</v>
      </c>
      <c r="I312" s="23">
        <v>110</v>
      </c>
      <c r="J312" s="24">
        <f ca="1">IF(TODAY()&lt;45894,Table2[[#This Row],[S.N.]],RANDBETWEEN(1,200))</f>
        <v>99</v>
      </c>
    </row>
    <row r="313" spans="1:10">
      <c r="A313" s="23">
        <v>99</v>
      </c>
      <c r="B313" s="23" t="s">
        <v>690</v>
      </c>
      <c r="C313" s="23" t="s">
        <v>691</v>
      </c>
      <c r="D313" s="23" t="s">
        <v>738</v>
      </c>
      <c r="E313" s="23" t="s">
        <v>723</v>
      </c>
      <c r="F313" s="24" t="s">
        <v>0</v>
      </c>
      <c r="G313" s="23" t="s">
        <v>888</v>
      </c>
      <c r="H313" s="23" t="s">
        <v>181</v>
      </c>
      <c r="I313" s="23">
        <v>110</v>
      </c>
      <c r="J313" s="24">
        <f ca="1">IF(TODAY()&lt;45894,Table2[[#This Row],[S.N.]],RANDBETWEEN(1,200))</f>
        <v>99</v>
      </c>
    </row>
    <row r="314" spans="1:10">
      <c r="A314" s="23">
        <v>99</v>
      </c>
      <c r="B314" s="23" t="s">
        <v>420</v>
      </c>
      <c r="C314" s="23" t="s">
        <v>421</v>
      </c>
      <c r="D314" s="23" t="s">
        <v>738</v>
      </c>
      <c r="E314" s="23" t="s">
        <v>723</v>
      </c>
      <c r="F314" s="24" t="s">
        <v>0</v>
      </c>
      <c r="G314" s="23" t="s">
        <v>888</v>
      </c>
      <c r="H314" s="23" t="s">
        <v>181</v>
      </c>
      <c r="I314" s="23">
        <v>130</v>
      </c>
      <c r="J314" s="24">
        <f ca="1">IF(TODAY()&lt;45894,Table2[[#This Row],[S.N.]],RANDBETWEEN(1,200))</f>
        <v>99</v>
      </c>
    </row>
    <row r="315" spans="1:10">
      <c r="A315" s="23">
        <v>99</v>
      </c>
      <c r="B315" s="23" t="s">
        <v>637</v>
      </c>
      <c r="C315" s="23" t="s">
        <v>638</v>
      </c>
      <c r="D315" s="23" t="s">
        <v>738</v>
      </c>
      <c r="E315" s="23" t="s">
        <v>723</v>
      </c>
      <c r="F315" s="24" t="s">
        <v>0</v>
      </c>
      <c r="G315" s="23" t="s">
        <v>888</v>
      </c>
      <c r="H315" s="23" t="s">
        <v>181</v>
      </c>
      <c r="I315" s="23">
        <v>110</v>
      </c>
      <c r="J315" s="24">
        <f ca="1">IF(TODAY()&lt;45894,Table2[[#This Row],[S.N.]],RANDBETWEEN(1,200))</f>
        <v>99</v>
      </c>
    </row>
    <row r="316" spans="1:10">
      <c r="A316" s="23">
        <v>99</v>
      </c>
      <c r="B316" s="23" t="s">
        <v>486</v>
      </c>
      <c r="C316" s="23" t="s">
        <v>487</v>
      </c>
      <c r="D316" s="23" t="s">
        <v>738</v>
      </c>
      <c r="E316" s="23" t="s">
        <v>723</v>
      </c>
      <c r="F316" s="24" t="s">
        <v>0</v>
      </c>
      <c r="G316" s="23" t="s">
        <v>888</v>
      </c>
      <c r="H316" s="23" t="s">
        <v>181</v>
      </c>
      <c r="I316" s="23">
        <v>110</v>
      </c>
      <c r="J316" s="24">
        <f ca="1">IF(TODAY()&lt;45894,Table2[[#This Row],[S.N.]],RANDBETWEEN(1,200))</f>
        <v>99</v>
      </c>
    </row>
    <row r="317" spans="1:10">
      <c r="A317" s="23">
        <v>99</v>
      </c>
      <c r="B317" s="23" t="s">
        <v>179</v>
      </c>
      <c r="C317" s="23" t="s">
        <v>180</v>
      </c>
      <c r="D317" s="23" t="s">
        <v>738</v>
      </c>
      <c r="E317" s="23" t="s">
        <v>723</v>
      </c>
      <c r="F317" s="24" t="s">
        <v>0</v>
      </c>
      <c r="G317" s="23" t="s">
        <v>888</v>
      </c>
      <c r="H317" s="23" t="s">
        <v>181</v>
      </c>
      <c r="I317" s="23">
        <v>200</v>
      </c>
      <c r="J317" s="24">
        <f ca="1">IF(TODAY()&lt;45894,Table2[[#This Row],[S.N.]],RANDBETWEEN(1,200))</f>
        <v>99</v>
      </c>
    </row>
    <row r="318" spans="1:10">
      <c r="A318" s="23">
        <v>99</v>
      </c>
      <c r="B318" s="23" t="s">
        <v>562</v>
      </c>
      <c r="C318" s="23" t="s">
        <v>563</v>
      </c>
      <c r="D318" s="23" t="s">
        <v>883</v>
      </c>
      <c r="E318" s="23" t="s">
        <v>723</v>
      </c>
      <c r="F318" s="24" t="s">
        <v>0</v>
      </c>
      <c r="G318" s="23" t="s">
        <v>888</v>
      </c>
      <c r="H318" s="23" t="s">
        <v>181</v>
      </c>
      <c r="I318" s="23">
        <v>65</v>
      </c>
      <c r="J318" s="24">
        <f ca="1">IF(TODAY()&lt;45894,Table2[[#This Row],[S.N.]],RANDBETWEEN(1,200))</f>
        <v>99</v>
      </c>
    </row>
    <row r="319" spans="1:10">
      <c r="A319" s="23">
        <v>99</v>
      </c>
      <c r="B319" s="23" t="s">
        <v>488</v>
      </c>
      <c r="C319" s="23" t="s">
        <v>489</v>
      </c>
      <c r="D319" s="23" t="s">
        <v>781</v>
      </c>
      <c r="E319" s="23" t="s">
        <v>723</v>
      </c>
      <c r="F319" s="24" t="s">
        <v>0</v>
      </c>
      <c r="G319" s="23" t="s">
        <v>888</v>
      </c>
      <c r="H319" s="23" t="s">
        <v>181</v>
      </c>
      <c r="I319" s="23">
        <v>65</v>
      </c>
      <c r="J319" s="24">
        <f ca="1">IF(TODAY()&lt;45894,Table2[[#This Row],[S.N.]],RANDBETWEEN(1,200))</f>
        <v>99</v>
      </c>
    </row>
    <row r="320" spans="1:10">
      <c r="A320" s="23">
        <v>99</v>
      </c>
      <c r="B320" s="23" t="s">
        <v>664</v>
      </c>
      <c r="C320" s="23" t="s">
        <v>665</v>
      </c>
      <c r="D320" s="23" t="s">
        <v>797</v>
      </c>
      <c r="E320" s="23" t="s">
        <v>723</v>
      </c>
      <c r="F320" s="24" t="s">
        <v>0</v>
      </c>
      <c r="G320" s="23" t="s">
        <v>888</v>
      </c>
      <c r="H320" s="23" t="s">
        <v>181</v>
      </c>
      <c r="I320" s="23">
        <v>30</v>
      </c>
      <c r="J320" s="24">
        <f ca="1">IF(TODAY()&lt;45894,Table2[[#This Row],[S.N.]],RANDBETWEEN(1,200))</f>
        <v>99</v>
      </c>
    </row>
    <row r="321" spans="1:12">
      <c r="A321" s="23">
        <v>99</v>
      </c>
      <c r="B321" s="23" t="s">
        <v>529</v>
      </c>
      <c r="C321" s="23" t="s">
        <v>530</v>
      </c>
      <c r="D321" s="23" t="s">
        <v>65</v>
      </c>
      <c r="E321" s="23" t="s">
        <v>723</v>
      </c>
      <c r="F321" s="24" t="s">
        <v>0</v>
      </c>
      <c r="G321" s="23" t="s">
        <v>888</v>
      </c>
      <c r="H321" s="23" t="s">
        <v>531</v>
      </c>
      <c r="I321" s="23">
        <v>20</v>
      </c>
      <c r="J321" s="24">
        <f ca="1">IF(TODAY()&lt;45894,Table2[[#This Row],[S.N.]],RANDBETWEEN(1,200))</f>
        <v>99</v>
      </c>
    </row>
    <row r="322" spans="1:12">
      <c r="A322" s="23">
        <v>99</v>
      </c>
      <c r="B322" s="23" t="s">
        <v>547</v>
      </c>
      <c r="C322" s="23" t="s">
        <v>548</v>
      </c>
      <c r="D322" s="23" t="s">
        <v>726</v>
      </c>
      <c r="E322" s="23" t="s">
        <v>723</v>
      </c>
      <c r="F322" s="24" t="s">
        <v>0</v>
      </c>
      <c r="G322" s="23" t="s">
        <v>888</v>
      </c>
      <c r="H322" s="23" t="s">
        <v>531</v>
      </c>
      <c r="I322" s="23">
        <v>10</v>
      </c>
      <c r="J322" s="24">
        <f ca="1">IF(TODAY()&lt;45894,Table2[[#This Row],[S.N.]],RANDBETWEEN(1,200))</f>
        <v>99</v>
      </c>
    </row>
    <row r="323" spans="1:12">
      <c r="A323" s="23">
        <v>148</v>
      </c>
      <c r="B323" t="s">
        <v>694</v>
      </c>
      <c r="C323" s="23" t="s">
        <v>695</v>
      </c>
      <c r="D323" s="29" t="s">
        <v>751</v>
      </c>
      <c r="E323" s="23" t="s">
        <v>822</v>
      </c>
      <c r="F323" s="24" t="s">
        <v>16</v>
      </c>
      <c r="G323" s="23" t="s">
        <v>887</v>
      </c>
      <c r="H323" s="23" t="s">
        <v>472</v>
      </c>
      <c r="I323" s="30"/>
      <c r="J323" s="24">
        <f ca="1">IF(TODAY()&lt;45894,Table2[[#This Row],[S.N.]],RANDBETWEEN(1,200))</f>
        <v>148</v>
      </c>
    </row>
    <row r="324" spans="1:12" ht="17">
      <c r="A324" s="23">
        <v>52</v>
      </c>
      <c r="B324" s="31" t="s">
        <v>346</v>
      </c>
      <c r="C324" s="23" t="s">
        <v>347</v>
      </c>
      <c r="D324" s="32" t="s">
        <v>738</v>
      </c>
      <c r="E324" s="42" t="s">
        <v>723</v>
      </c>
      <c r="F324" s="43" t="s">
        <v>0</v>
      </c>
      <c r="G324" s="23" t="s">
        <v>888</v>
      </c>
      <c r="H324" s="23" t="s">
        <v>348</v>
      </c>
      <c r="I324" s="35"/>
      <c r="J324" s="24">
        <f ca="1">IF(TODAY()&lt;45894,Table2[[#This Row],[S.N.]],RANDBETWEEN(1,200))</f>
        <v>52</v>
      </c>
    </row>
    <row r="325" spans="1:12" ht="17">
      <c r="A325" s="23">
        <v>199</v>
      </c>
      <c r="B325" s="40" t="s">
        <v>532</v>
      </c>
      <c r="C325" s="23" t="s">
        <v>533</v>
      </c>
      <c r="D325" s="41"/>
      <c r="E325" s="42" t="s">
        <v>815</v>
      </c>
      <c r="F325" s="24" t="s">
        <v>16</v>
      </c>
      <c r="G325" s="23" t="s">
        <v>887</v>
      </c>
      <c r="H325" s="44" t="s">
        <v>524</v>
      </c>
      <c r="I325" s="45"/>
      <c r="J325" s="24">
        <f ca="1">IF(TODAY()&lt;45894,Table2[[#This Row],[S.N.]],RANDBETWEEN(1,200))</f>
        <v>199</v>
      </c>
    </row>
    <row r="326" spans="1:12" ht="17">
      <c r="A326" s="23">
        <v>124</v>
      </c>
      <c r="B326" s="40" t="s">
        <v>319</v>
      </c>
      <c r="C326" s="23" t="s">
        <v>320</v>
      </c>
      <c r="D326" s="41"/>
      <c r="E326" s="42" t="s">
        <v>816</v>
      </c>
      <c r="F326" s="24" t="s">
        <v>16</v>
      </c>
      <c r="G326" s="23" t="s">
        <v>887</v>
      </c>
      <c r="H326" s="44" t="s">
        <v>321</v>
      </c>
      <c r="I326" s="45"/>
      <c r="J326" s="24">
        <f ca="1">IF(TODAY()&lt;45894,Table2[[#This Row],[S.N.]],RANDBETWEEN(1,200))</f>
        <v>124</v>
      </c>
      <c r="L326" s="67"/>
    </row>
    <row r="327" spans="1:12" ht="17">
      <c r="A327" s="23">
        <v>12</v>
      </c>
      <c r="B327" s="40" t="s">
        <v>620</v>
      </c>
      <c r="C327" s="23" t="s">
        <v>621</v>
      </c>
      <c r="D327" s="41"/>
      <c r="E327" s="42" t="s">
        <v>723</v>
      </c>
      <c r="F327" s="43" t="s">
        <v>0</v>
      </c>
      <c r="G327" s="23" t="s">
        <v>888</v>
      </c>
      <c r="H327" s="44" t="s">
        <v>313</v>
      </c>
      <c r="I327" s="45"/>
      <c r="J327" s="24">
        <f ca="1">IF(TODAY()&lt;45894,Table2[[#This Row],[S.N.]],RANDBETWEEN(1,200))</f>
        <v>12</v>
      </c>
      <c r="L327" s="67"/>
    </row>
    <row r="328" spans="1:12" ht="17">
      <c r="A328" s="23">
        <v>81</v>
      </c>
      <c r="B328" s="40" t="s">
        <v>884</v>
      </c>
      <c r="C328" s="23" t="s">
        <v>885</v>
      </c>
      <c r="D328" s="23" t="s">
        <v>40</v>
      </c>
      <c r="E328" s="42" t="s">
        <v>723</v>
      </c>
      <c r="F328" s="43" t="s">
        <v>0</v>
      </c>
      <c r="G328" s="23" t="s">
        <v>888</v>
      </c>
      <c r="H328" s="44" t="s">
        <v>88</v>
      </c>
      <c r="I328" s="45"/>
      <c r="J328" s="24">
        <f ca="1">IF(TODAY()&lt;45894,Table2[[#This Row],[S.N.]],RANDBETWEEN(1,200))</f>
        <v>81</v>
      </c>
      <c r="L328" s="67"/>
    </row>
    <row r="329" spans="1:12" ht="17">
      <c r="A329" s="23">
        <v>44</v>
      </c>
      <c r="B329" s="40" t="s">
        <v>889</v>
      </c>
      <c r="C329" s="23" t="s">
        <v>886</v>
      </c>
      <c r="D329" s="41"/>
      <c r="E329" s="33" t="s">
        <v>723</v>
      </c>
      <c r="F329" s="34" t="s">
        <v>0</v>
      </c>
      <c r="G329" s="23" t="s">
        <v>888</v>
      </c>
      <c r="H329" s="44" t="s">
        <v>208</v>
      </c>
      <c r="I329" s="35"/>
      <c r="J329" s="24">
        <f ca="1">IF(TODAY()&lt;45894,Table2[[#This Row],[S.N.]],RANDBETWEEN(1,200))</f>
        <v>44</v>
      </c>
      <c r="L329" s="67"/>
    </row>
    <row r="330" spans="1:12" ht="17">
      <c r="A330" s="23">
        <v>129</v>
      </c>
      <c r="B330" s="40" t="s">
        <v>890</v>
      </c>
      <c r="C330" s="23" t="s">
        <v>891</v>
      </c>
      <c r="D330" t="s">
        <v>751</v>
      </c>
      <c r="E330" s="42" t="s">
        <v>822</v>
      </c>
      <c r="F330" s="43" t="s">
        <v>16</v>
      </c>
      <c r="G330" s="23" t="s">
        <v>887</v>
      </c>
      <c r="H330" t="s">
        <v>237</v>
      </c>
      <c r="I330" s="45"/>
      <c r="J330" s="24">
        <f ca="1">IF(TODAY()&lt;45894,Table2[[#This Row],[S.N.]],RANDBETWEEN(1,200))</f>
        <v>129</v>
      </c>
      <c r="L330"/>
    </row>
    <row r="331" spans="1:12" ht="17">
      <c r="A331" s="23">
        <v>131</v>
      </c>
      <c r="B331" s="31" t="s">
        <v>922</v>
      </c>
      <c r="C331" t="s">
        <v>923</v>
      </c>
      <c r="D331" t="s">
        <v>65</v>
      </c>
      <c r="E331" s="42" t="s">
        <v>822</v>
      </c>
      <c r="F331" s="43" t="s">
        <v>16</v>
      </c>
      <c r="G331" s="23" t="s">
        <v>887</v>
      </c>
      <c r="H331" t="s">
        <v>133</v>
      </c>
      <c r="I331" s="35"/>
      <c r="J331" s="24">
        <f ca="1">IF(TODAY()&lt;45894,Table2[[#This Row],[S.N.]],RANDBETWEEN(1,200))</f>
        <v>131</v>
      </c>
      <c r="L331"/>
    </row>
    <row r="332" spans="1:12" ht="17">
      <c r="A332" s="23">
        <v>85</v>
      </c>
      <c r="B332" s="40"/>
      <c r="C332" s="65" t="s">
        <v>957</v>
      </c>
      <c r="D332" s="41"/>
      <c r="E332" s="33" t="s">
        <v>723</v>
      </c>
      <c r="F332" s="34" t="s">
        <v>0</v>
      </c>
      <c r="G332" s="23" t="s">
        <v>888</v>
      </c>
      <c r="H332" s="24" t="s">
        <v>983</v>
      </c>
      <c r="I332" s="45"/>
      <c r="J332" s="24">
        <f ca="1">IF(TODAY()&lt;45894,Table2[[#This Row],[S.N.]],RANDBETWEEN(1,200))</f>
        <v>85</v>
      </c>
      <c r="L332"/>
    </row>
    <row r="333" spans="1:12" ht="17">
      <c r="A333" s="23">
        <v>86</v>
      </c>
      <c r="B333" s="40"/>
      <c r="C333" s="65" t="s">
        <v>960</v>
      </c>
      <c r="D333" s="41"/>
      <c r="E333" s="33" t="s">
        <v>723</v>
      </c>
      <c r="F333" s="34" t="s">
        <v>0</v>
      </c>
      <c r="G333" s="23" t="s">
        <v>888</v>
      </c>
      <c r="H333" s="24" t="s">
        <v>984</v>
      </c>
      <c r="I333" s="45"/>
      <c r="J333" s="24">
        <f ca="1">IF(TODAY()&lt;45894,Table2[[#This Row],[S.N.]],RANDBETWEEN(1,200))</f>
        <v>86</v>
      </c>
      <c r="L333"/>
    </row>
    <row r="334" spans="1:12" ht="17">
      <c r="A334" s="23">
        <v>87</v>
      </c>
      <c r="B334" s="40"/>
      <c r="C334" s="65" t="s">
        <v>962</v>
      </c>
      <c r="D334" s="41"/>
      <c r="E334" s="33" t="s">
        <v>723</v>
      </c>
      <c r="F334" s="34" t="s">
        <v>0</v>
      </c>
      <c r="G334" s="23" t="s">
        <v>888</v>
      </c>
      <c r="H334" s="24" t="s">
        <v>985</v>
      </c>
      <c r="I334" s="45"/>
      <c r="J334" s="24">
        <f ca="1">IF(TODAY()&lt;45894,Table2[[#This Row],[S.N.]],RANDBETWEEN(1,200))</f>
        <v>87</v>
      </c>
      <c r="L334"/>
    </row>
    <row r="335" spans="1:12" ht="17">
      <c r="A335" s="23">
        <v>58</v>
      </c>
      <c r="B335" s="40"/>
      <c r="C335" s="65" t="s">
        <v>964</v>
      </c>
      <c r="D335" s="41"/>
      <c r="E335" s="33" t="s">
        <v>723</v>
      </c>
      <c r="F335" s="34" t="s">
        <v>0</v>
      </c>
      <c r="G335" s="23" t="s">
        <v>888</v>
      </c>
      <c r="H335" s="67" t="s">
        <v>196</v>
      </c>
      <c r="I335" s="45"/>
      <c r="J335" s="24">
        <f ca="1">IF(TODAY()&lt;45894,Table2[[#This Row],[S.N.]],RANDBETWEEN(1,200))</f>
        <v>58</v>
      </c>
      <c r="L335"/>
    </row>
    <row r="336" spans="1:12" ht="17">
      <c r="A336" s="23">
        <v>66</v>
      </c>
      <c r="B336" s="40"/>
      <c r="C336" s="65" t="s">
        <v>965</v>
      </c>
      <c r="D336" s="41"/>
      <c r="E336" s="33" t="s">
        <v>723</v>
      </c>
      <c r="F336" s="34" t="s">
        <v>0</v>
      </c>
      <c r="G336" s="23" t="s">
        <v>888</v>
      </c>
      <c r="H336" s="67" t="s">
        <v>262</v>
      </c>
      <c r="I336" s="45"/>
      <c r="J336" s="24">
        <f ca="1">IF(TODAY()&lt;45894,Table2[[#This Row],[S.N.]],RANDBETWEEN(1,200))</f>
        <v>66</v>
      </c>
      <c r="L336"/>
    </row>
    <row r="337" spans="1:12" ht="17">
      <c r="A337" s="23">
        <v>99</v>
      </c>
      <c r="B337" s="40"/>
      <c r="C337" s="65" t="s">
        <v>966</v>
      </c>
      <c r="D337" s="41"/>
      <c r="E337" s="33" t="s">
        <v>723</v>
      </c>
      <c r="F337" s="34" t="s">
        <v>0</v>
      </c>
      <c r="G337" s="23" t="s">
        <v>888</v>
      </c>
      <c r="H337" s="67" t="s">
        <v>967</v>
      </c>
      <c r="I337" s="45"/>
      <c r="J337" s="24">
        <f ca="1">IF(TODAY()&lt;45894,Table2[[#This Row],[S.N.]],RANDBETWEEN(1,200))</f>
        <v>99</v>
      </c>
      <c r="L337"/>
    </row>
    <row r="338" spans="1:12" ht="17">
      <c r="A338" s="23">
        <v>99</v>
      </c>
      <c r="B338" s="40"/>
      <c r="C338" s="65" t="s">
        <v>968</v>
      </c>
      <c r="D338" s="41"/>
      <c r="E338" s="33" t="s">
        <v>723</v>
      </c>
      <c r="F338" s="34" t="s">
        <v>0</v>
      </c>
      <c r="G338" s="23" t="s">
        <v>888</v>
      </c>
      <c r="H338" s="67" t="s">
        <v>969</v>
      </c>
      <c r="I338" s="45"/>
      <c r="J338" s="24">
        <f ca="1">IF(TODAY()&lt;45894,Table2[[#This Row],[S.N.]],RANDBETWEEN(1,200))</f>
        <v>99</v>
      </c>
      <c r="L338"/>
    </row>
    <row r="339" spans="1:12" ht="17">
      <c r="A339" s="23">
        <v>99</v>
      </c>
      <c r="B339" s="40"/>
      <c r="C339" s="65" t="s">
        <v>970</v>
      </c>
      <c r="D339" s="41"/>
      <c r="E339" s="33" t="s">
        <v>723</v>
      </c>
      <c r="F339" s="34" t="s">
        <v>0</v>
      </c>
      <c r="G339" s="23" t="s">
        <v>888</v>
      </c>
      <c r="H339" s="67" t="s">
        <v>971</v>
      </c>
      <c r="I339" s="45"/>
      <c r="J339" s="24">
        <f ca="1">IF(TODAY()&lt;45894,Table2[[#This Row],[S.N.]],RANDBETWEEN(1,200))</f>
        <v>99</v>
      </c>
      <c r="L339"/>
    </row>
    <row r="340" spans="1:12" ht="17">
      <c r="A340" s="23">
        <v>99</v>
      </c>
      <c r="B340" s="31"/>
      <c r="C340" s="66" t="s">
        <v>972</v>
      </c>
      <c r="D340" s="32"/>
      <c r="E340" s="33" t="s">
        <v>723</v>
      </c>
      <c r="F340" s="34" t="s">
        <v>0</v>
      </c>
      <c r="G340" s="23" t="s">
        <v>888</v>
      </c>
      <c r="H340" s="67" t="s">
        <v>973</v>
      </c>
      <c r="I340" s="35"/>
      <c r="J340" s="24">
        <f ca="1">IF(TODAY()&lt;45894,Table2[[#This Row],[S.N.]],RANDBETWEEN(1,200))</f>
        <v>99</v>
      </c>
      <c r="L340"/>
    </row>
    <row r="341" spans="1:12" ht="17">
      <c r="A341" s="23">
        <v>200</v>
      </c>
      <c r="B341" s="31" t="s">
        <v>974</v>
      </c>
      <c r="C341" s="66" t="s">
        <v>975</v>
      </c>
      <c r="D341" s="32"/>
      <c r="E341" s="33" t="s">
        <v>977</v>
      </c>
      <c r="F341" s="34" t="s">
        <v>977</v>
      </c>
      <c r="G341" s="23" t="s">
        <v>887</v>
      </c>
      <c r="H341" s="68" t="s">
        <v>976</v>
      </c>
      <c r="I341" s="35"/>
      <c r="J341" s="24">
        <f ca="1">IF(TODAY()&lt;45894,Table2[[#This Row],[S.N.]],RANDBETWEEN(1,200))</f>
        <v>200</v>
      </c>
      <c r="L341"/>
    </row>
    <row r="342" spans="1:12" ht="17">
      <c r="A342" s="23">
        <v>99</v>
      </c>
      <c r="B342" s="40"/>
      <c r="C342" s="4" t="s">
        <v>129</v>
      </c>
      <c r="D342" s="41"/>
      <c r="E342" s="34" t="s">
        <v>0</v>
      </c>
      <c r="F342" s="34" t="s">
        <v>0</v>
      </c>
      <c r="G342" s="23" t="s">
        <v>888</v>
      </c>
      <c r="H342" s="44" t="s">
        <v>130</v>
      </c>
      <c r="I342" s="45"/>
      <c r="J342" s="24">
        <f ca="1">IF(TODAY()&lt;45894,Table2[[#This Row],[S.N.]],RANDBETWEEN(1,200))</f>
        <v>99</v>
      </c>
      <c r="L342"/>
    </row>
    <row r="343" spans="1:12" ht="17">
      <c r="A343" s="23">
        <v>99</v>
      </c>
      <c r="B343" s="40"/>
      <c r="C343" s="4" t="s">
        <v>332</v>
      </c>
      <c r="D343" s="41"/>
      <c r="E343" s="34" t="s">
        <v>0</v>
      </c>
      <c r="F343" s="34" t="s">
        <v>0</v>
      </c>
      <c r="G343" s="23" t="s">
        <v>888</v>
      </c>
      <c r="H343" s="44" t="s">
        <v>234</v>
      </c>
      <c r="I343" s="45"/>
      <c r="J343" s="24">
        <f ca="1">IF(TODAY()&lt;45894,Table2[[#This Row],[S.N.]],RANDBETWEEN(1,200))</f>
        <v>99</v>
      </c>
      <c r="L343"/>
    </row>
    <row r="344" spans="1:12" ht="17">
      <c r="A344" s="23">
        <v>99</v>
      </c>
      <c r="B344" s="40"/>
      <c r="C344" s="4" t="s">
        <v>218</v>
      </c>
      <c r="D344" s="41"/>
      <c r="E344" s="34" t="s">
        <v>0</v>
      </c>
      <c r="F344" s="34" t="s">
        <v>0</v>
      </c>
      <c r="G344" s="23" t="s">
        <v>888</v>
      </c>
      <c r="H344" s="44" t="s">
        <v>219</v>
      </c>
      <c r="I344" s="45"/>
      <c r="J344" s="24">
        <f ca="1">IF(TODAY()&lt;45894,Table2[[#This Row],[S.N.]],RANDBETWEEN(1,200))</f>
        <v>99</v>
      </c>
      <c r="L344"/>
    </row>
    <row r="345" spans="1:12" ht="17">
      <c r="A345" s="23">
        <v>99</v>
      </c>
      <c r="B345" s="31"/>
      <c r="C345" s="4" t="s">
        <v>651</v>
      </c>
      <c r="D345" s="32"/>
      <c r="E345" s="34" t="s">
        <v>0</v>
      </c>
      <c r="F345" s="34" t="s">
        <v>0</v>
      </c>
      <c r="G345" s="23" t="s">
        <v>888</v>
      </c>
      <c r="H345" s="69" t="s">
        <v>438</v>
      </c>
      <c r="I345" s="35"/>
      <c r="J345" s="24">
        <f ca="1">IF(TODAY()&lt;45894,Table2[[#This Row],[S.N.]],RANDBETWEEN(1,200))</f>
        <v>99</v>
      </c>
      <c r="L345"/>
    </row>
    <row r="346" spans="1:12" ht="17">
      <c r="A346" s="24">
        <v>85</v>
      </c>
      <c r="B346" s="40"/>
      <c r="C346" s="65" t="s">
        <v>957</v>
      </c>
      <c r="D346" s="41"/>
      <c r="E346" s="33" t="s">
        <v>723</v>
      </c>
      <c r="F346" s="34" t="s">
        <v>0</v>
      </c>
      <c r="G346" s="23" t="s">
        <v>888</v>
      </c>
      <c r="H346" s="44" t="s">
        <v>958</v>
      </c>
      <c r="I346" s="45"/>
      <c r="J346" s="24">
        <v>85</v>
      </c>
      <c r="L346"/>
    </row>
    <row r="347" spans="1:12" ht="17">
      <c r="A347" s="24">
        <v>86</v>
      </c>
      <c r="B347" s="40"/>
      <c r="C347" s="65" t="s">
        <v>960</v>
      </c>
      <c r="D347" s="41"/>
      <c r="E347" s="33" t="s">
        <v>723</v>
      </c>
      <c r="F347" s="34" t="s">
        <v>0</v>
      </c>
      <c r="G347" s="23" t="s">
        <v>888</v>
      </c>
      <c r="H347" s="44" t="s">
        <v>961</v>
      </c>
      <c r="I347" s="45"/>
      <c r="J347" s="24">
        <v>86</v>
      </c>
      <c r="L347"/>
    </row>
    <row r="348" spans="1:12" ht="17">
      <c r="A348" s="24">
        <v>87</v>
      </c>
      <c r="B348" s="31"/>
      <c r="C348" s="66" t="s">
        <v>962</v>
      </c>
      <c r="D348" s="32"/>
      <c r="E348" s="33" t="s">
        <v>723</v>
      </c>
      <c r="F348" s="34" t="s">
        <v>0</v>
      </c>
      <c r="G348" s="23" t="s">
        <v>888</v>
      </c>
      <c r="H348" s="69" t="s">
        <v>963</v>
      </c>
      <c r="I348" s="35"/>
      <c r="J348" s="64">
        <v>87</v>
      </c>
      <c r="L348"/>
    </row>
    <row r="349" spans="1:12">
      <c r="A349" s="23" t="s">
        <v>990</v>
      </c>
      <c r="B349" s="23" t="s">
        <v>268</v>
      </c>
      <c r="C349" s="23" t="s">
        <v>269</v>
      </c>
      <c r="D349" s="23" t="s">
        <v>751</v>
      </c>
      <c r="E349" s="23" t="s">
        <v>723</v>
      </c>
      <c r="F349" s="24" t="s">
        <v>0</v>
      </c>
      <c r="G349" s="23" t="s">
        <v>888</v>
      </c>
      <c r="H349" s="23" t="s">
        <v>941</v>
      </c>
      <c r="I349" s="24">
        <v>50</v>
      </c>
      <c r="J349" s="24" t="str">
        <f ca="1">IF(TODAY()&lt;45894,Table2[[#This Row],[S.N.]],RANDBETWEEN(1,200))</f>
        <v>s</v>
      </c>
      <c r="L349"/>
    </row>
    <row r="350" spans="1:12">
      <c r="J350" s="70"/>
      <c r="L350"/>
    </row>
    <row r="351" spans="1:12">
      <c r="L351"/>
    </row>
    <row r="352" spans="1:12">
      <c r="L352"/>
    </row>
    <row r="353" spans="12:12">
      <c r="L353"/>
    </row>
    <row r="354" spans="12:12">
      <c r="L354"/>
    </row>
    <row r="355" spans="12:12">
      <c r="L355"/>
    </row>
    <row r="356" spans="12:12">
      <c r="L356"/>
    </row>
    <row r="357" spans="12:12">
      <c r="L357"/>
    </row>
    <row r="358" spans="12:12">
      <c r="L358"/>
    </row>
    <row r="359" spans="12:12">
      <c r="L359"/>
    </row>
    <row r="360" spans="12:12">
      <c r="L360"/>
    </row>
    <row r="361" spans="12:12">
      <c r="L361"/>
    </row>
    <row r="362" spans="12:12">
      <c r="L362"/>
    </row>
    <row r="363" spans="12:12">
      <c r="L363"/>
    </row>
    <row r="364" spans="12:12">
      <c r="L364"/>
    </row>
    <row r="365" spans="12:12">
      <c r="L365"/>
    </row>
    <row r="366" spans="12:12">
      <c r="L366"/>
    </row>
    <row r="367" spans="12:12">
      <c r="L367"/>
    </row>
    <row r="368" spans="12:12">
      <c r="L368"/>
    </row>
    <row r="369" spans="12:12">
      <c r="L369"/>
    </row>
    <row r="370" spans="12:12">
      <c r="L370"/>
    </row>
    <row r="371" spans="12:12">
      <c r="L371"/>
    </row>
    <row r="372" spans="12:12">
      <c r="L372"/>
    </row>
    <row r="373" spans="12:12">
      <c r="L373"/>
    </row>
    <row r="374" spans="12:12">
      <c r="L374"/>
    </row>
    <row r="375" spans="12:12">
      <c r="L375"/>
    </row>
    <row r="376" spans="12:12">
      <c r="L376"/>
    </row>
    <row r="377" spans="12:12">
      <c r="L377"/>
    </row>
    <row r="378" spans="12:12">
      <c r="L378"/>
    </row>
    <row r="379" spans="12:12">
      <c r="L379"/>
    </row>
    <row r="380" spans="12:12">
      <c r="L380"/>
    </row>
    <row r="381" spans="12:12">
      <c r="L381"/>
    </row>
    <row r="382" spans="12:12">
      <c r="L382"/>
    </row>
    <row r="383" spans="12:12">
      <c r="L383"/>
    </row>
    <row r="384" spans="12:12">
      <c r="L384"/>
    </row>
    <row r="385" spans="12:12">
      <c r="L385"/>
    </row>
    <row r="386" spans="12:12">
      <c r="L386"/>
    </row>
    <row r="387" spans="12:12">
      <c r="L387"/>
    </row>
    <row r="388" spans="12:12">
      <c r="L388"/>
    </row>
    <row r="389" spans="12:12">
      <c r="L389"/>
    </row>
    <row r="390" spans="12:12">
      <c r="L390"/>
    </row>
    <row r="391" spans="12:12">
      <c r="L391"/>
    </row>
    <row r="392" spans="12:12">
      <c r="L392"/>
    </row>
    <row r="393" spans="12:12">
      <c r="L393"/>
    </row>
    <row r="394" spans="12:12">
      <c r="L394"/>
    </row>
    <row r="395" spans="12:12">
      <c r="L395"/>
    </row>
    <row r="396" spans="12:12">
      <c r="L396"/>
    </row>
    <row r="397" spans="12:12">
      <c r="L397"/>
    </row>
    <row r="398" spans="12:12">
      <c r="L398"/>
    </row>
    <row r="399" spans="12:12">
      <c r="L399"/>
    </row>
    <row r="400" spans="12:12">
      <c r="L400"/>
    </row>
    <row r="401" spans="12:12">
      <c r="L401"/>
    </row>
    <row r="402" spans="12:12">
      <c r="L402"/>
    </row>
    <row r="403" spans="12:12">
      <c r="L403"/>
    </row>
    <row r="404" spans="12:12">
      <c r="L404"/>
    </row>
    <row r="405" spans="12:12">
      <c r="L405"/>
    </row>
    <row r="406" spans="12:12">
      <c r="L406"/>
    </row>
    <row r="407" spans="12:12">
      <c r="L407"/>
    </row>
    <row r="408" spans="12:12">
      <c r="L408"/>
    </row>
  </sheetData>
  <phoneticPr fontId="12" type="noConversion"/>
  <conditionalFormatting sqref="C2:C341">
    <cfRule type="duplicateValues" dxfId="1" priority="26"/>
  </conditionalFormatting>
  <conditionalFormatting sqref="C349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5F0C2-D2EB-4882-AD96-B75FE0D9D6E9}">
  <dimension ref="A1:BQ211"/>
  <sheetViews>
    <sheetView workbookViewId="0"/>
  </sheetViews>
  <sheetFormatPr defaultColWidth="8.81640625" defaultRowHeight="14.5"/>
  <cols>
    <col min="1" max="1" width="7.36328125" bestFit="1" customWidth="1"/>
    <col min="2" max="2" width="14.453125" bestFit="1" customWidth="1"/>
    <col min="3" max="3" width="20.453125" bestFit="1" customWidth="1"/>
    <col min="4" max="4" width="12.453125" bestFit="1" customWidth="1"/>
    <col min="5" max="5" width="23.453125" bestFit="1" customWidth="1"/>
    <col min="6" max="6" width="13.36328125" bestFit="1" customWidth="1"/>
    <col min="7" max="7" width="18.453125" bestFit="1" customWidth="1"/>
    <col min="8" max="8" width="45.453125" bestFit="1" customWidth="1"/>
    <col min="9" max="9" width="15.453125" bestFit="1" customWidth="1"/>
    <col min="10" max="10" width="27.6328125" bestFit="1" customWidth="1"/>
    <col min="11" max="11" width="28.81640625" customWidth="1"/>
    <col min="12" max="12" width="19" customWidth="1"/>
    <col min="13" max="14" width="32.453125" customWidth="1"/>
    <col min="15" max="15" width="81.1796875" customWidth="1"/>
    <col min="16" max="16" width="14.36328125" customWidth="1"/>
    <col min="17" max="17" width="57.453125" customWidth="1"/>
    <col min="18" max="18" width="11.453125" customWidth="1"/>
    <col min="19" max="19" width="59.81640625" customWidth="1"/>
    <col min="20" max="20" width="16.453125" customWidth="1"/>
    <col min="21" max="21" width="12.453125" bestFit="1" customWidth="1"/>
    <col min="22" max="22" width="14" bestFit="1" customWidth="1"/>
    <col min="23" max="23" width="16.453125" bestFit="1" customWidth="1"/>
    <col min="24" max="24" width="13.6328125" bestFit="1" customWidth="1"/>
    <col min="25" max="25" width="13.36328125" bestFit="1" customWidth="1"/>
    <col min="26" max="26" width="10" bestFit="1" customWidth="1"/>
    <col min="27" max="27" width="10.6328125" bestFit="1" customWidth="1"/>
    <col min="28" max="28" width="9.81640625" bestFit="1" customWidth="1"/>
    <col min="29" max="29" width="9.36328125" bestFit="1" customWidth="1"/>
    <col min="30" max="30" width="10.36328125" bestFit="1" customWidth="1"/>
    <col min="31" max="31" width="10.1796875" bestFit="1" customWidth="1"/>
    <col min="32" max="32" width="9.81640625" bestFit="1" customWidth="1"/>
    <col min="33" max="33" width="10.453125" bestFit="1" customWidth="1"/>
    <col min="34" max="34" width="10.1796875" bestFit="1" customWidth="1"/>
    <col min="35" max="35" width="9.6328125" bestFit="1" customWidth="1"/>
    <col min="36" max="36" width="10.1796875" bestFit="1" customWidth="1"/>
    <col min="37" max="37" width="10.453125" bestFit="1" customWidth="1"/>
    <col min="38" max="38" width="14.81640625" bestFit="1" customWidth="1"/>
    <col min="39" max="39" width="11.453125" bestFit="1" customWidth="1"/>
    <col min="40" max="40" width="12.36328125" bestFit="1" customWidth="1"/>
    <col min="41" max="41" width="11.453125" bestFit="1" customWidth="1"/>
    <col min="42" max="42" width="10.81640625" bestFit="1" customWidth="1"/>
    <col min="43" max="43" width="11.81640625" bestFit="1" customWidth="1"/>
    <col min="44" max="44" width="11.6328125" bestFit="1" customWidth="1"/>
    <col min="45" max="45" width="11.453125" bestFit="1" customWidth="1"/>
    <col min="46" max="46" width="12" bestFit="1" customWidth="1"/>
    <col min="47" max="47" width="11.6328125" bestFit="1" customWidth="1"/>
    <col min="48" max="48" width="11.36328125" bestFit="1" customWidth="1"/>
    <col min="49" max="49" width="11.6328125" bestFit="1" customWidth="1"/>
    <col min="50" max="50" width="12" bestFit="1" customWidth="1"/>
    <col min="51" max="51" width="14.453125" bestFit="1" customWidth="1"/>
    <col min="52" max="52" width="11.36328125" bestFit="1" customWidth="1"/>
    <col min="53" max="53" width="12" bestFit="1" customWidth="1"/>
    <col min="54" max="54" width="11.1796875" bestFit="1" customWidth="1"/>
    <col min="55" max="55" width="10.453125" bestFit="1" customWidth="1"/>
    <col min="56" max="57" width="11.453125" bestFit="1" customWidth="1"/>
    <col min="58" max="58" width="11.1796875" bestFit="1" customWidth="1"/>
    <col min="59" max="59" width="11.6328125" bestFit="1" customWidth="1"/>
    <col min="60" max="60" width="11.453125" bestFit="1" customWidth="1"/>
    <col min="61" max="61" width="11" bestFit="1" customWidth="1"/>
    <col min="62" max="62" width="11.453125" bestFit="1" customWidth="1"/>
    <col min="63" max="63" width="11.6328125" bestFit="1" customWidth="1"/>
    <col min="64" max="64" width="17.453125" bestFit="1" customWidth="1"/>
    <col min="65" max="65" width="13.81640625" bestFit="1" customWidth="1"/>
    <col min="66" max="66" width="13.453125" bestFit="1" customWidth="1"/>
    <col min="67" max="67" width="13.1796875" bestFit="1" customWidth="1"/>
    <col min="68" max="68" width="13.453125" bestFit="1" customWidth="1"/>
    <col min="69" max="69" width="13.81640625" bestFit="1" customWidth="1"/>
  </cols>
  <sheetData>
    <row r="1" spans="1:69">
      <c r="A1" t="s">
        <v>1019</v>
      </c>
      <c r="B1" t="s">
        <v>1020</v>
      </c>
      <c r="C1" t="s">
        <v>1021</v>
      </c>
      <c r="D1" t="s">
        <v>1022</v>
      </c>
      <c r="E1" t="s">
        <v>1023</v>
      </c>
      <c r="F1" t="s">
        <v>1024</v>
      </c>
      <c r="G1" t="s">
        <v>1025</v>
      </c>
      <c r="H1" t="s">
        <v>1026</v>
      </c>
      <c r="I1" t="s">
        <v>1027</v>
      </c>
      <c r="J1" t="s">
        <v>1028</v>
      </c>
      <c r="K1" t="s">
        <v>1029</v>
      </c>
      <c r="L1" t="s">
        <v>1030</v>
      </c>
      <c r="M1" t="s">
        <v>1031</v>
      </c>
      <c r="N1" t="s">
        <v>1032</v>
      </c>
      <c r="O1" t="s">
        <v>1033</v>
      </c>
      <c r="P1" t="s">
        <v>1034</v>
      </c>
      <c r="Q1" t="s">
        <v>1035</v>
      </c>
      <c r="R1" t="s">
        <v>1036</v>
      </c>
      <c r="S1" t="s">
        <v>1037</v>
      </c>
      <c r="T1" t="s">
        <v>1038</v>
      </c>
      <c r="U1" t="s">
        <v>1039</v>
      </c>
      <c r="V1" t="s">
        <v>1040</v>
      </c>
      <c r="W1" t="s">
        <v>1041</v>
      </c>
      <c r="X1" t="s">
        <v>1042</v>
      </c>
      <c r="Y1" t="s">
        <v>1043</v>
      </c>
      <c r="Z1" t="s">
        <v>1044</v>
      </c>
      <c r="AA1" t="s">
        <v>1045</v>
      </c>
      <c r="AB1" t="s">
        <v>1046</v>
      </c>
      <c r="AC1" t="s">
        <v>1047</v>
      </c>
      <c r="AD1" t="s">
        <v>1048</v>
      </c>
      <c r="AE1" t="s">
        <v>1049</v>
      </c>
      <c r="AF1" t="s">
        <v>1050</v>
      </c>
      <c r="AG1" t="s">
        <v>1051</v>
      </c>
      <c r="AH1" t="s">
        <v>1052</v>
      </c>
      <c r="AI1" t="s">
        <v>1053</v>
      </c>
      <c r="AJ1" t="s">
        <v>1054</v>
      </c>
      <c r="AK1" t="s">
        <v>1055</v>
      </c>
      <c r="AL1" t="s">
        <v>1056</v>
      </c>
      <c r="AM1" t="s">
        <v>1057</v>
      </c>
      <c r="AN1" t="s">
        <v>1058</v>
      </c>
      <c r="AO1" t="s">
        <v>1059</v>
      </c>
      <c r="AP1" t="s">
        <v>1060</v>
      </c>
      <c r="AQ1" t="s">
        <v>1061</v>
      </c>
      <c r="AR1" t="s">
        <v>1062</v>
      </c>
      <c r="AS1" t="s">
        <v>1063</v>
      </c>
      <c r="AT1" t="s">
        <v>1064</v>
      </c>
      <c r="AU1" t="s">
        <v>1065</v>
      </c>
      <c r="AV1" t="s">
        <v>1066</v>
      </c>
      <c r="AW1" t="s">
        <v>1067</v>
      </c>
      <c r="AX1" t="s">
        <v>1068</v>
      </c>
      <c r="AY1" t="s">
        <v>1069</v>
      </c>
      <c r="AZ1" t="s">
        <v>1070</v>
      </c>
      <c r="BA1" t="s">
        <v>1071</v>
      </c>
      <c r="BB1" t="s">
        <v>1072</v>
      </c>
      <c r="BC1" t="s">
        <v>1073</v>
      </c>
      <c r="BD1" t="s">
        <v>1074</v>
      </c>
      <c r="BE1" t="s">
        <v>1075</v>
      </c>
      <c r="BF1" t="s">
        <v>1076</v>
      </c>
      <c r="BG1" t="s">
        <v>1077</v>
      </c>
      <c r="BH1" t="s">
        <v>1078</v>
      </c>
      <c r="BI1" t="s">
        <v>1079</v>
      </c>
      <c r="BJ1" t="s">
        <v>1080</v>
      </c>
      <c r="BK1" t="s">
        <v>1081</v>
      </c>
      <c r="BL1" t="s">
        <v>1082</v>
      </c>
      <c r="BM1" t="s">
        <v>1083</v>
      </c>
      <c r="BN1" t="s">
        <v>1084</v>
      </c>
      <c r="BO1" t="s">
        <v>1085</v>
      </c>
      <c r="BP1" t="s">
        <v>1086</v>
      </c>
      <c r="BQ1" t="s">
        <v>1087</v>
      </c>
    </row>
    <row r="2" spans="1:69">
      <c r="A2" s="24">
        <v>905</v>
      </c>
      <c r="B2" s="24" t="s">
        <v>980</v>
      </c>
      <c r="C2" s="24" t="s">
        <v>1088</v>
      </c>
      <c r="D2" s="24" t="s">
        <v>1089</v>
      </c>
      <c r="E2" s="24" t="s">
        <v>1090</v>
      </c>
      <c r="F2" s="24" t="s">
        <v>1091</v>
      </c>
      <c r="G2" s="24" t="s">
        <v>1092</v>
      </c>
      <c r="H2" s="24" t="s">
        <v>1093</v>
      </c>
      <c r="I2" s="24" t="s">
        <v>1094</v>
      </c>
      <c r="J2" s="24" t="s">
        <v>1095</v>
      </c>
      <c r="K2" s="24">
        <v>55</v>
      </c>
      <c r="L2" s="24" t="s">
        <v>1096</v>
      </c>
      <c r="M2" s="24" t="s">
        <v>1097</v>
      </c>
      <c r="N2" s="24">
        <v>9689882121</v>
      </c>
      <c r="O2" s="24" t="s">
        <v>1098</v>
      </c>
      <c r="P2" s="24">
        <v>415311</v>
      </c>
      <c r="Q2" s="24" t="s">
        <v>1099</v>
      </c>
      <c r="R2" s="24" t="s">
        <v>1100</v>
      </c>
      <c r="S2" s="24" t="s">
        <v>1101</v>
      </c>
      <c r="T2" s="24" t="s">
        <v>1102</v>
      </c>
      <c r="U2" s="24">
        <v>50</v>
      </c>
      <c r="V2" s="24">
        <v>25</v>
      </c>
      <c r="W2" s="24"/>
      <c r="X2" s="24">
        <v>75</v>
      </c>
      <c r="Y2" s="24">
        <v>50</v>
      </c>
      <c r="Z2" s="24">
        <v>40</v>
      </c>
      <c r="AA2" s="24">
        <v>0</v>
      </c>
      <c r="AB2" s="24">
        <v>50</v>
      </c>
      <c r="AC2" s="24">
        <v>50</v>
      </c>
      <c r="AD2" s="24">
        <v>55</v>
      </c>
      <c r="AE2" s="24">
        <v>0</v>
      </c>
      <c r="AF2" s="24">
        <v>0</v>
      </c>
      <c r="AG2" s="24">
        <v>39</v>
      </c>
      <c r="AH2" s="24">
        <v>38</v>
      </c>
      <c r="AI2" s="24">
        <v>56</v>
      </c>
      <c r="AJ2" s="24">
        <v>60</v>
      </c>
      <c r="AK2" s="24"/>
      <c r="AL2" s="24">
        <v>25</v>
      </c>
      <c r="AM2" s="24">
        <v>3</v>
      </c>
      <c r="AN2" s="24">
        <v>0</v>
      </c>
      <c r="AO2" s="24">
        <v>0</v>
      </c>
      <c r="AP2" s="24">
        <v>2</v>
      </c>
      <c r="AQ2" s="24">
        <v>3</v>
      </c>
      <c r="AR2" s="24">
        <v>0</v>
      </c>
      <c r="AS2" s="24">
        <v>0</v>
      </c>
      <c r="AT2" s="24">
        <v>7</v>
      </c>
      <c r="AU2" s="24">
        <v>2</v>
      </c>
      <c r="AV2" s="24">
        <v>6</v>
      </c>
      <c r="AW2" s="24">
        <v>2</v>
      </c>
      <c r="AX2" s="24"/>
      <c r="AY2" s="24"/>
      <c r="AZ2" s="24">
        <v>10</v>
      </c>
      <c r="BA2" s="24">
        <v>0</v>
      </c>
      <c r="BB2" s="24">
        <v>0</v>
      </c>
      <c r="BC2" s="24">
        <v>0</v>
      </c>
      <c r="BD2" s="24">
        <v>0</v>
      </c>
      <c r="BE2" s="24">
        <v>0</v>
      </c>
      <c r="BF2" s="24">
        <v>0</v>
      </c>
      <c r="BG2" s="24">
        <v>0</v>
      </c>
      <c r="BH2" s="24">
        <v>0</v>
      </c>
      <c r="BI2" s="24">
        <v>0</v>
      </c>
      <c r="BJ2" s="24"/>
      <c r="BK2" s="24"/>
      <c r="BL2" s="24"/>
      <c r="BM2" s="24"/>
      <c r="BN2" s="24"/>
      <c r="BO2" s="24"/>
      <c r="BP2" s="24"/>
      <c r="BQ2" s="24"/>
    </row>
    <row r="3" spans="1:69">
      <c r="A3" s="24">
        <v>906</v>
      </c>
      <c r="B3" s="24" t="s">
        <v>980</v>
      </c>
      <c r="C3" s="24" t="s">
        <v>1088</v>
      </c>
      <c r="D3" s="24" t="s">
        <v>1089</v>
      </c>
      <c r="E3" s="24" t="s">
        <v>1090</v>
      </c>
      <c r="F3" s="24" t="s">
        <v>1091</v>
      </c>
      <c r="G3" s="24" t="s">
        <v>1103</v>
      </c>
      <c r="H3" s="24" t="s">
        <v>1104</v>
      </c>
      <c r="I3" s="24" t="s">
        <v>1094</v>
      </c>
      <c r="J3" s="24" t="s">
        <v>1102</v>
      </c>
      <c r="K3" s="24" t="s">
        <v>1102</v>
      </c>
      <c r="L3" s="24" t="s">
        <v>1102</v>
      </c>
      <c r="M3" s="24" t="s">
        <v>1102</v>
      </c>
      <c r="N3" s="24" t="s">
        <v>1102</v>
      </c>
      <c r="O3" s="24" t="s">
        <v>1102</v>
      </c>
      <c r="P3" s="24"/>
      <c r="Q3" s="24" t="s">
        <v>1102</v>
      </c>
      <c r="R3" s="24" t="s">
        <v>1105</v>
      </c>
      <c r="S3" s="24" t="s">
        <v>1101</v>
      </c>
      <c r="T3" s="24" t="s">
        <v>1102</v>
      </c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>
        <v>42</v>
      </c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>
        <v>2</v>
      </c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>
        <v>6</v>
      </c>
      <c r="BK3" s="24"/>
      <c r="BL3" s="24"/>
      <c r="BM3" s="24"/>
      <c r="BN3" s="24"/>
      <c r="BO3" s="24"/>
      <c r="BP3" s="24"/>
      <c r="BQ3" s="24"/>
    </row>
    <row r="4" spans="1:69">
      <c r="A4" s="24">
        <v>907</v>
      </c>
      <c r="B4" s="24" t="s">
        <v>980</v>
      </c>
      <c r="C4" s="24" t="s">
        <v>1088</v>
      </c>
      <c r="D4" s="24" t="s">
        <v>1089</v>
      </c>
      <c r="E4" s="24" t="s">
        <v>1090</v>
      </c>
      <c r="F4" s="24" t="s">
        <v>1091</v>
      </c>
      <c r="G4" s="24" t="s">
        <v>1106</v>
      </c>
      <c r="H4" s="24" t="s">
        <v>1107</v>
      </c>
      <c r="I4" s="24" t="s">
        <v>1094</v>
      </c>
      <c r="J4" s="24" t="s">
        <v>1108</v>
      </c>
      <c r="K4" s="24">
        <v>90</v>
      </c>
      <c r="L4" s="24" t="s">
        <v>1109</v>
      </c>
      <c r="M4" s="24" t="s">
        <v>1110</v>
      </c>
      <c r="N4" s="24">
        <v>9881331127</v>
      </c>
      <c r="O4" s="24" t="s">
        <v>1111</v>
      </c>
      <c r="P4" s="24">
        <v>416404</v>
      </c>
      <c r="Q4" s="24" t="s">
        <v>1112</v>
      </c>
      <c r="R4" s="24" t="s">
        <v>1100</v>
      </c>
      <c r="S4" s="24" t="s">
        <v>1101</v>
      </c>
      <c r="T4" s="24" t="s">
        <v>1102</v>
      </c>
      <c r="U4" s="24">
        <v>125</v>
      </c>
      <c r="V4" s="24">
        <v>30</v>
      </c>
      <c r="W4" s="24"/>
      <c r="X4" s="24">
        <v>155</v>
      </c>
      <c r="Y4" s="24">
        <v>125</v>
      </c>
      <c r="Z4" s="24">
        <v>0</v>
      </c>
      <c r="AA4" s="24">
        <v>140</v>
      </c>
      <c r="AB4" s="24">
        <v>90</v>
      </c>
      <c r="AC4" s="24">
        <v>127</v>
      </c>
      <c r="AD4" s="24">
        <v>56</v>
      </c>
      <c r="AE4" s="24">
        <v>63</v>
      </c>
      <c r="AF4" s="24">
        <v>38</v>
      </c>
      <c r="AG4" s="24">
        <v>63</v>
      </c>
      <c r="AH4" s="24">
        <v>69</v>
      </c>
      <c r="AI4" s="24">
        <v>130</v>
      </c>
      <c r="AJ4" s="24">
        <v>53</v>
      </c>
      <c r="AK4" s="24"/>
      <c r="AL4" s="24">
        <v>30</v>
      </c>
      <c r="AM4" s="24">
        <v>12</v>
      </c>
      <c r="AN4" s="24">
        <v>22</v>
      </c>
      <c r="AO4" s="24">
        <v>14</v>
      </c>
      <c r="AP4" s="24">
        <v>33</v>
      </c>
      <c r="AQ4" s="24">
        <v>17</v>
      </c>
      <c r="AR4" s="24">
        <v>22</v>
      </c>
      <c r="AS4" s="24">
        <v>17</v>
      </c>
      <c r="AT4" s="24">
        <v>7</v>
      </c>
      <c r="AU4" s="24">
        <v>0</v>
      </c>
      <c r="AV4" s="24">
        <v>36</v>
      </c>
      <c r="AW4" s="24">
        <v>12</v>
      </c>
      <c r="AX4" s="24"/>
      <c r="AY4" s="24"/>
      <c r="AZ4" s="24">
        <v>115</v>
      </c>
      <c r="BA4" s="24">
        <v>0</v>
      </c>
      <c r="BB4" s="24">
        <v>0</v>
      </c>
      <c r="BC4" s="24">
        <v>0</v>
      </c>
      <c r="BD4" s="24">
        <v>0</v>
      </c>
      <c r="BE4" s="24">
        <v>0</v>
      </c>
      <c r="BF4" s="24">
        <v>0</v>
      </c>
      <c r="BG4" s="24">
        <v>5</v>
      </c>
      <c r="BH4" s="24">
        <v>0</v>
      </c>
      <c r="BI4" s="24">
        <v>0</v>
      </c>
      <c r="BJ4" s="24"/>
      <c r="BK4" s="24"/>
      <c r="BL4" s="24"/>
      <c r="BM4" s="24"/>
      <c r="BN4" s="24"/>
      <c r="BO4" s="24"/>
      <c r="BP4" s="24"/>
      <c r="BQ4" s="24"/>
    </row>
    <row r="5" spans="1:69">
      <c r="A5" s="24">
        <v>908</v>
      </c>
      <c r="B5" s="24" t="s">
        <v>980</v>
      </c>
      <c r="C5" s="24" t="s">
        <v>1088</v>
      </c>
      <c r="D5" s="24" t="s">
        <v>1089</v>
      </c>
      <c r="E5" s="24" t="s">
        <v>1090</v>
      </c>
      <c r="F5" s="24" t="s">
        <v>1091</v>
      </c>
      <c r="G5" s="24" t="s">
        <v>1113</v>
      </c>
      <c r="H5" s="24" t="s">
        <v>1114</v>
      </c>
      <c r="I5" s="24" t="s">
        <v>1094</v>
      </c>
      <c r="J5" s="24" t="s">
        <v>1115</v>
      </c>
      <c r="K5" s="24">
        <v>35</v>
      </c>
      <c r="L5" s="24" t="s">
        <v>1109</v>
      </c>
      <c r="M5" s="24" t="s">
        <v>1116</v>
      </c>
      <c r="N5" s="24">
        <v>9766998989</v>
      </c>
      <c r="O5" s="24" t="s">
        <v>1117</v>
      </c>
      <c r="P5" s="24">
        <v>416301</v>
      </c>
      <c r="Q5" s="24" t="s">
        <v>1118</v>
      </c>
      <c r="R5" s="24" t="s">
        <v>1100</v>
      </c>
      <c r="S5" s="24" t="s">
        <v>1101</v>
      </c>
      <c r="T5" s="24" t="s">
        <v>1102</v>
      </c>
      <c r="U5" s="24">
        <v>80</v>
      </c>
      <c r="V5" s="24">
        <v>5</v>
      </c>
      <c r="W5" s="24"/>
      <c r="X5" s="24">
        <v>85</v>
      </c>
      <c r="Y5" s="24">
        <v>80</v>
      </c>
      <c r="Z5" s="24">
        <v>30</v>
      </c>
      <c r="AA5" s="24">
        <v>29</v>
      </c>
      <c r="AB5" s="24">
        <v>40</v>
      </c>
      <c r="AC5" s="24">
        <v>40</v>
      </c>
      <c r="AD5" s="24">
        <v>10</v>
      </c>
      <c r="AE5" s="24">
        <v>29</v>
      </c>
      <c r="AF5" s="24">
        <v>66</v>
      </c>
      <c r="AG5" s="24">
        <v>70</v>
      </c>
      <c r="AH5" s="24">
        <v>39</v>
      </c>
      <c r="AI5" s="24">
        <v>67</v>
      </c>
      <c r="AJ5" s="24">
        <v>33</v>
      </c>
      <c r="AK5" s="24"/>
      <c r="AL5" s="24">
        <v>5</v>
      </c>
      <c r="AM5" s="24">
        <v>4</v>
      </c>
      <c r="AN5" s="24">
        <v>0</v>
      </c>
      <c r="AO5" s="24">
        <v>3</v>
      </c>
      <c r="AP5" s="24">
        <v>3</v>
      </c>
      <c r="AQ5" s="24">
        <v>3</v>
      </c>
      <c r="AR5" s="24">
        <v>1</v>
      </c>
      <c r="AS5" s="24">
        <v>0</v>
      </c>
      <c r="AT5" s="24">
        <v>1</v>
      </c>
      <c r="AU5" s="24">
        <v>2</v>
      </c>
      <c r="AV5" s="24">
        <v>1</v>
      </c>
      <c r="AW5" s="24">
        <v>0</v>
      </c>
      <c r="AX5" s="24"/>
      <c r="AY5" s="24"/>
      <c r="AZ5" s="24">
        <v>10</v>
      </c>
      <c r="BA5" s="24">
        <v>0</v>
      </c>
      <c r="BB5" s="24">
        <v>0</v>
      </c>
      <c r="BC5" s="24">
        <v>0</v>
      </c>
      <c r="BD5" s="24">
        <v>0</v>
      </c>
      <c r="BE5" s="24">
        <v>0</v>
      </c>
      <c r="BF5" s="24">
        <v>0</v>
      </c>
      <c r="BG5" s="24">
        <v>21</v>
      </c>
      <c r="BH5" s="24">
        <v>5</v>
      </c>
      <c r="BI5" s="24">
        <v>2</v>
      </c>
      <c r="BJ5" s="24"/>
      <c r="BK5" s="24"/>
      <c r="BL5" s="24"/>
      <c r="BM5" s="24"/>
      <c r="BN5" s="24"/>
      <c r="BO5" s="24"/>
      <c r="BP5" s="24"/>
      <c r="BQ5" s="24"/>
    </row>
    <row r="6" spans="1:69">
      <c r="A6" s="24">
        <v>909</v>
      </c>
      <c r="B6" s="24" t="s">
        <v>980</v>
      </c>
      <c r="C6" s="24" t="s">
        <v>1088</v>
      </c>
      <c r="D6" s="24" t="s">
        <v>1089</v>
      </c>
      <c r="E6" s="24" t="s">
        <v>1090</v>
      </c>
      <c r="F6" s="24" t="s">
        <v>1091</v>
      </c>
      <c r="G6" s="24" t="s">
        <v>1119</v>
      </c>
      <c r="H6" s="24" t="s">
        <v>1120</v>
      </c>
      <c r="I6" s="24" t="s">
        <v>1094</v>
      </c>
      <c r="J6" s="24" t="s">
        <v>1121</v>
      </c>
      <c r="K6" s="24">
        <v>106</v>
      </c>
      <c r="L6" s="24" t="s">
        <v>1109</v>
      </c>
      <c r="M6" s="24" t="s">
        <v>1122</v>
      </c>
      <c r="N6" s="24">
        <v>8956436646</v>
      </c>
      <c r="O6" s="24" t="s">
        <v>1123</v>
      </c>
      <c r="P6" s="24">
        <v>415108</v>
      </c>
      <c r="Q6" s="24" t="s">
        <v>991</v>
      </c>
      <c r="R6" s="24" t="s">
        <v>1100</v>
      </c>
      <c r="S6" s="24" t="s">
        <v>1101</v>
      </c>
      <c r="T6" s="24" t="s">
        <v>1102</v>
      </c>
      <c r="U6" s="24">
        <v>180</v>
      </c>
      <c r="V6" s="24">
        <v>25</v>
      </c>
      <c r="W6" s="24"/>
      <c r="X6" s="24">
        <v>205</v>
      </c>
      <c r="Y6" s="24">
        <v>180</v>
      </c>
      <c r="Z6" s="24">
        <v>424</v>
      </c>
      <c r="AA6" s="24">
        <v>353</v>
      </c>
      <c r="AB6" s="24">
        <v>161</v>
      </c>
      <c r="AC6" s="24">
        <v>147</v>
      </c>
      <c r="AD6" s="24">
        <v>212</v>
      </c>
      <c r="AE6" s="24">
        <v>157</v>
      </c>
      <c r="AF6" s="24">
        <v>405</v>
      </c>
      <c r="AG6" s="24">
        <v>189</v>
      </c>
      <c r="AH6" s="24">
        <v>111</v>
      </c>
      <c r="AI6" s="24">
        <v>194</v>
      </c>
      <c r="AJ6" s="24">
        <v>0</v>
      </c>
      <c r="AK6" s="24"/>
      <c r="AL6" s="24">
        <v>25</v>
      </c>
      <c r="AM6" s="24">
        <v>3</v>
      </c>
      <c r="AN6" s="24">
        <v>15</v>
      </c>
      <c r="AO6" s="24">
        <v>9</v>
      </c>
      <c r="AP6" s="24">
        <v>11</v>
      </c>
      <c r="AQ6" s="24">
        <v>9</v>
      </c>
      <c r="AR6" s="24">
        <v>14</v>
      </c>
      <c r="AS6" s="24">
        <v>13</v>
      </c>
      <c r="AT6" s="24">
        <v>12</v>
      </c>
      <c r="AU6" s="24">
        <v>6</v>
      </c>
      <c r="AV6" s="24">
        <v>16</v>
      </c>
      <c r="AW6" s="24">
        <v>9</v>
      </c>
      <c r="AX6" s="24"/>
      <c r="AY6" s="24"/>
      <c r="AZ6" s="24">
        <v>20</v>
      </c>
      <c r="BA6" s="24">
        <v>52</v>
      </c>
      <c r="BB6" s="24">
        <v>0</v>
      </c>
      <c r="BC6" s="24">
        <v>0</v>
      </c>
      <c r="BD6" s="24">
        <v>0</v>
      </c>
      <c r="BE6" s="24">
        <v>0</v>
      </c>
      <c r="BF6" s="24">
        <v>0</v>
      </c>
      <c r="BG6" s="24">
        <v>5</v>
      </c>
      <c r="BH6" s="24">
        <v>0</v>
      </c>
      <c r="BI6" s="24">
        <v>0</v>
      </c>
      <c r="BJ6" s="24"/>
      <c r="BK6" s="24"/>
      <c r="BL6" s="24"/>
      <c r="BM6" s="24"/>
      <c r="BN6" s="24"/>
      <c r="BO6" s="24"/>
      <c r="BP6" s="24"/>
      <c r="BQ6" s="24"/>
    </row>
    <row r="7" spans="1:69">
      <c r="A7" s="24">
        <v>910</v>
      </c>
      <c r="B7" s="24" t="s">
        <v>980</v>
      </c>
      <c r="C7" s="24" t="s">
        <v>1088</v>
      </c>
      <c r="D7" s="24" t="s">
        <v>1089</v>
      </c>
      <c r="E7" s="24" t="s">
        <v>1090</v>
      </c>
      <c r="F7" s="24" t="s">
        <v>1091</v>
      </c>
      <c r="G7" s="24" t="s">
        <v>1124</v>
      </c>
      <c r="H7" s="24" t="s">
        <v>1125</v>
      </c>
      <c r="I7" s="24" t="s">
        <v>1094</v>
      </c>
      <c r="J7" s="24" t="s">
        <v>1126</v>
      </c>
      <c r="K7" s="24">
        <v>15</v>
      </c>
      <c r="L7" s="24" t="s">
        <v>1109</v>
      </c>
      <c r="M7" s="24" t="s">
        <v>1127</v>
      </c>
      <c r="N7" s="24">
        <v>9975144754</v>
      </c>
      <c r="O7" s="24" t="s">
        <v>1128</v>
      </c>
      <c r="P7" s="24">
        <v>416416</v>
      </c>
      <c r="Q7" s="24" t="s">
        <v>991</v>
      </c>
      <c r="R7" s="24" t="s">
        <v>1100</v>
      </c>
      <c r="S7" s="24" t="s">
        <v>1101</v>
      </c>
      <c r="T7" s="24" t="s">
        <v>1102</v>
      </c>
      <c r="U7" s="24">
        <v>75</v>
      </c>
      <c r="V7" s="24">
        <v>10</v>
      </c>
      <c r="W7" s="24"/>
      <c r="X7" s="24">
        <v>85</v>
      </c>
      <c r="Y7" s="24">
        <v>75</v>
      </c>
      <c r="Z7" s="24">
        <v>52</v>
      </c>
      <c r="AA7" s="24">
        <v>36</v>
      </c>
      <c r="AB7" s="24">
        <v>52</v>
      </c>
      <c r="AC7" s="24">
        <v>38</v>
      </c>
      <c r="AD7" s="24">
        <v>58</v>
      </c>
      <c r="AE7" s="24">
        <v>34</v>
      </c>
      <c r="AF7" s="24">
        <v>21</v>
      </c>
      <c r="AG7" s="24">
        <v>63</v>
      </c>
      <c r="AH7" s="24">
        <v>37</v>
      </c>
      <c r="AI7" s="24">
        <v>37</v>
      </c>
      <c r="AJ7" s="24">
        <v>60</v>
      </c>
      <c r="AK7" s="24"/>
      <c r="AL7" s="24">
        <v>10</v>
      </c>
      <c r="AM7" s="24">
        <v>3</v>
      </c>
      <c r="AN7" s="24">
        <v>5</v>
      </c>
      <c r="AO7" s="24">
        <v>1</v>
      </c>
      <c r="AP7" s="24">
        <v>0</v>
      </c>
      <c r="AQ7" s="24">
        <v>6</v>
      </c>
      <c r="AR7" s="24">
        <v>5</v>
      </c>
      <c r="AS7" s="24">
        <v>2</v>
      </c>
      <c r="AT7" s="24">
        <v>3</v>
      </c>
      <c r="AU7" s="24">
        <v>5</v>
      </c>
      <c r="AV7" s="24">
        <v>4</v>
      </c>
      <c r="AW7" s="24">
        <v>3</v>
      </c>
      <c r="AX7" s="24"/>
      <c r="AY7" s="24"/>
      <c r="AZ7" s="24">
        <v>30</v>
      </c>
      <c r="BA7" s="24"/>
      <c r="BB7" s="24"/>
      <c r="BC7" s="24"/>
      <c r="BD7" s="24"/>
      <c r="BE7" s="24"/>
      <c r="BF7" s="24"/>
      <c r="BG7" s="24">
        <v>40</v>
      </c>
      <c r="BH7" s="24">
        <v>0</v>
      </c>
      <c r="BI7" s="24">
        <v>0</v>
      </c>
      <c r="BJ7" s="24">
        <v>6</v>
      </c>
      <c r="BK7" s="24"/>
      <c r="BL7" s="24"/>
      <c r="BM7" s="24"/>
      <c r="BN7" s="24"/>
      <c r="BO7" s="24"/>
      <c r="BP7" s="24"/>
      <c r="BQ7" s="24"/>
    </row>
    <row r="8" spans="1:69">
      <c r="A8" s="24">
        <v>911</v>
      </c>
      <c r="B8" s="24" t="s">
        <v>980</v>
      </c>
      <c r="C8" s="24" t="s">
        <v>1088</v>
      </c>
      <c r="D8" s="24" t="s">
        <v>1089</v>
      </c>
      <c r="E8" s="24" t="s">
        <v>1090</v>
      </c>
      <c r="F8" s="24" t="s">
        <v>1091</v>
      </c>
      <c r="G8" s="24" t="s">
        <v>1129</v>
      </c>
      <c r="H8" s="24" t="s">
        <v>1130</v>
      </c>
      <c r="I8" s="24" t="s">
        <v>1094</v>
      </c>
      <c r="J8" s="24" t="s">
        <v>1102</v>
      </c>
      <c r="K8" s="24" t="s">
        <v>1102</v>
      </c>
      <c r="L8" s="24" t="s">
        <v>1102</v>
      </c>
      <c r="M8" s="24" t="s">
        <v>1102</v>
      </c>
      <c r="N8" s="24" t="s">
        <v>1102</v>
      </c>
      <c r="O8" s="24" t="s">
        <v>1102</v>
      </c>
      <c r="P8" s="24"/>
      <c r="Q8" s="24" t="s">
        <v>1102</v>
      </c>
      <c r="R8" s="24" t="s">
        <v>1105</v>
      </c>
      <c r="S8" s="24" t="s">
        <v>1101</v>
      </c>
      <c r="T8" s="24" t="s">
        <v>1102</v>
      </c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>
        <v>99</v>
      </c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>
        <v>1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>
      <c r="A9" s="24">
        <v>912</v>
      </c>
      <c r="B9" s="24" t="s">
        <v>980</v>
      </c>
      <c r="C9" s="24" t="s">
        <v>1088</v>
      </c>
      <c r="D9" s="24" t="s">
        <v>1089</v>
      </c>
      <c r="E9" s="24" t="s">
        <v>1090</v>
      </c>
      <c r="F9" s="24" t="s">
        <v>1091</v>
      </c>
      <c r="G9" s="24" t="s">
        <v>1131</v>
      </c>
      <c r="H9" s="24" t="s">
        <v>1132</v>
      </c>
      <c r="I9" s="24" t="s">
        <v>1094</v>
      </c>
      <c r="J9" s="24" t="s">
        <v>1133</v>
      </c>
      <c r="K9" s="24">
        <v>10</v>
      </c>
      <c r="L9" s="24" t="s">
        <v>1109</v>
      </c>
      <c r="M9" s="24" t="s">
        <v>1134</v>
      </c>
      <c r="N9" s="24">
        <v>9890131786</v>
      </c>
      <c r="O9" s="24" t="s">
        <v>1135</v>
      </c>
      <c r="P9" s="24">
        <v>416410</v>
      </c>
      <c r="Q9" s="24" t="s">
        <v>1136</v>
      </c>
      <c r="R9" s="24" t="s">
        <v>1100</v>
      </c>
      <c r="S9" s="24" t="s">
        <v>1101</v>
      </c>
      <c r="T9" s="24" t="s">
        <v>1102</v>
      </c>
      <c r="U9" s="24">
        <v>80</v>
      </c>
      <c r="V9" s="24">
        <v>10</v>
      </c>
      <c r="W9" s="24"/>
      <c r="X9" s="24">
        <v>90</v>
      </c>
      <c r="Y9" s="24">
        <v>80</v>
      </c>
      <c r="Z9" s="24">
        <v>147</v>
      </c>
      <c r="AA9" s="24">
        <v>145</v>
      </c>
      <c r="AB9" s="24">
        <v>70</v>
      </c>
      <c r="AC9" s="24">
        <v>100</v>
      </c>
      <c r="AD9" s="24">
        <v>100</v>
      </c>
      <c r="AE9" s="24">
        <v>26</v>
      </c>
      <c r="AF9" s="24">
        <v>42</v>
      </c>
      <c r="AG9" s="24">
        <v>34</v>
      </c>
      <c r="AH9" s="24">
        <v>72</v>
      </c>
      <c r="AI9" s="24">
        <v>76</v>
      </c>
      <c r="AJ9" s="24">
        <v>0</v>
      </c>
      <c r="AK9" s="24"/>
      <c r="AL9" s="24">
        <v>10</v>
      </c>
      <c r="AM9" s="24">
        <v>5</v>
      </c>
      <c r="AN9" s="24">
        <v>5</v>
      </c>
      <c r="AO9" s="24">
        <v>2</v>
      </c>
      <c r="AP9" s="24">
        <v>1</v>
      </c>
      <c r="AQ9" s="24">
        <v>3</v>
      </c>
      <c r="AR9" s="24">
        <v>1</v>
      </c>
      <c r="AS9" s="24">
        <v>0</v>
      </c>
      <c r="AT9" s="24">
        <v>1</v>
      </c>
      <c r="AU9" s="24">
        <v>2</v>
      </c>
      <c r="AV9" s="24">
        <v>3</v>
      </c>
      <c r="AW9" s="24">
        <v>0</v>
      </c>
      <c r="AX9" s="24"/>
      <c r="AY9" s="24"/>
      <c r="AZ9" s="24">
        <v>0</v>
      </c>
      <c r="BA9" s="24">
        <v>0</v>
      </c>
      <c r="BB9" s="24">
        <v>0</v>
      </c>
      <c r="BC9" s="24">
        <v>0</v>
      </c>
      <c r="BD9" s="24">
        <v>0</v>
      </c>
      <c r="BE9" s="24">
        <v>0</v>
      </c>
      <c r="BF9" s="24">
        <v>0</v>
      </c>
      <c r="BG9" s="24">
        <v>25</v>
      </c>
      <c r="BH9" s="24">
        <v>20</v>
      </c>
      <c r="BI9" s="24">
        <v>32</v>
      </c>
      <c r="BJ9" s="24">
        <v>50</v>
      </c>
      <c r="BK9" s="24"/>
      <c r="BL9" s="24"/>
      <c r="BM9" s="24"/>
      <c r="BN9" s="24"/>
      <c r="BO9" s="24"/>
      <c r="BP9" s="24"/>
      <c r="BQ9" s="24"/>
    </row>
    <row r="10" spans="1:69">
      <c r="A10" s="24">
        <v>913</v>
      </c>
      <c r="B10" s="24" t="s">
        <v>980</v>
      </c>
      <c r="C10" s="24" t="s">
        <v>1088</v>
      </c>
      <c r="D10" s="24" t="s">
        <v>1089</v>
      </c>
      <c r="E10" s="24" t="s">
        <v>1090</v>
      </c>
      <c r="F10" s="24" t="s">
        <v>1091</v>
      </c>
      <c r="G10" s="24" t="s">
        <v>1137</v>
      </c>
      <c r="H10" s="24" t="s">
        <v>1138</v>
      </c>
      <c r="I10" s="24" t="s">
        <v>1094</v>
      </c>
      <c r="J10" s="24" t="s">
        <v>1094</v>
      </c>
      <c r="K10" s="24">
        <v>6</v>
      </c>
      <c r="L10" s="24" t="s">
        <v>1139</v>
      </c>
      <c r="M10" s="24" t="s">
        <v>1140</v>
      </c>
      <c r="N10" s="24">
        <v>7709162484</v>
      </c>
      <c r="O10" s="24" t="s">
        <v>1141</v>
      </c>
      <c r="P10" s="24">
        <v>416416</v>
      </c>
      <c r="Q10" s="24" t="s">
        <v>1142</v>
      </c>
      <c r="R10" s="24" t="s">
        <v>1100</v>
      </c>
      <c r="S10" s="24" t="s">
        <v>1101</v>
      </c>
      <c r="T10" s="24" t="s">
        <v>1102</v>
      </c>
      <c r="U10" s="24">
        <v>250</v>
      </c>
      <c r="V10" s="24">
        <v>15</v>
      </c>
      <c r="W10" s="24"/>
      <c r="X10" s="24">
        <v>265</v>
      </c>
      <c r="Y10" s="24">
        <v>250</v>
      </c>
      <c r="Z10" s="24">
        <v>410</v>
      </c>
      <c r="AA10" s="24">
        <v>335</v>
      </c>
      <c r="AB10" s="24">
        <v>260</v>
      </c>
      <c r="AC10" s="24">
        <v>204</v>
      </c>
      <c r="AD10" s="24">
        <v>312</v>
      </c>
      <c r="AE10" s="24">
        <v>215</v>
      </c>
      <c r="AF10" s="24">
        <v>402</v>
      </c>
      <c r="AG10" s="24">
        <v>288</v>
      </c>
      <c r="AH10" s="24">
        <v>271</v>
      </c>
      <c r="AI10" s="24">
        <v>337</v>
      </c>
      <c r="AJ10" s="24">
        <v>184</v>
      </c>
      <c r="AK10" s="24"/>
      <c r="AL10" s="24">
        <v>15</v>
      </c>
      <c r="AM10" s="24">
        <v>6</v>
      </c>
      <c r="AN10" s="24">
        <v>5</v>
      </c>
      <c r="AO10" s="24">
        <v>5</v>
      </c>
      <c r="AP10" s="24">
        <v>3</v>
      </c>
      <c r="AQ10" s="24">
        <v>9</v>
      </c>
      <c r="AR10" s="24">
        <v>2</v>
      </c>
      <c r="AS10" s="24">
        <v>5</v>
      </c>
      <c r="AT10" s="24">
        <v>0</v>
      </c>
      <c r="AU10" s="24">
        <v>0</v>
      </c>
      <c r="AV10" s="24">
        <v>0</v>
      </c>
      <c r="AW10" s="24">
        <v>3</v>
      </c>
      <c r="AX10" s="24"/>
      <c r="AY10" s="24"/>
      <c r="AZ10" s="24">
        <v>20</v>
      </c>
      <c r="BA10" s="24">
        <v>0</v>
      </c>
      <c r="BB10" s="24">
        <v>0</v>
      </c>
      <c r="BC10" s="24">
        <v>0</v>
      </c>
      <c r="BD10" s="24">
        <v>0</v>
      </c>
      <c r="BE10" s="24">
        <v>0</v>
      </c>
      <c r="BF10" s="24">
        <v>0</v>
      </c>
      <c r="BG10" s="24">
        <v>0</v>
      </c>
      <c r="BH10" s="24">
        <v>0</v>
      </c>
      <c r="BI10" s="24">
        <v>5</v>
      </c>
      <c r="BJ10" s="24"/>
      <c r="BK10" s="24"/>
      <c r="BL10" s="24"/>
      <c r="BM10" s="24"/>
      <c r="BN10" s="24"/>
      <c r="BO10" s="24"/>
      <c r="BP10" s="24"/>
      <c r="BQ10" s="24"/>
    </row>
    <row r="11" spans="1:69">
      <c r="A11" s="24">
        <v>914</v>
      </c>
      <c r="B11" s="24" t="s">
        <v>980</v>
      </c>
      <c r="C11" s="24" t="s">
        <v>1088</v>
      </c>
      <c r="D11" s="24" t="s">
        <v>1089</v>
      </c>
      <c r="E11" s="24" t="s">
        <v>1090</v>
      </c>
      <c r="F11" s="24" t="s">
        <v>1091</v>
      </c>
      <c r="G11" s="24" t="s">
        <v>1143</v>
      </c>
      <c r="H11" s="24" t="s">
        <v>1144</v>
      </c>
      <c r="I11" s="24" t="s">
        <v>1094</v>
      </c>
      <c r="J11" s="24" t="s">
        <v>1145</v>
      </c>
      <c r="K11" s="24">
        <v>30</v>
      </c>
      <c r="L11" s="24" t="s">
        <v>1109</v>
      </c>
      <c r="M11" s="24" t="s">
        <v>1146</v>
      </c>
      <c r="N11" s="24">
        <v>9822266020</v>
      </c>
      <c r="O11" s="24" t="s">
        <v>1147</v>
      </c>
      <c r="P11" s="24">
        <v>416416</v>
      </c>
      <c r="Q11" s="24" t="s">
        <v>991</v>
      </c>
      <c r="R11" s="24" t="s">
        <v>1100</v>
      </c>
      <c r="S11" s="24" t="s">
        <v>1101</v>
      </c>
      <c r="T11" s="24" t="s">
        <v>1102</v>
      </c>
      <c r="U11" s="24">
        <v>200</v>
      </c>
      <c r="V11" s="24">
        <v>10</v>
      </c>
      <c r="W11" s="24"/>
      <c r="X11" s="24">
        <v>210</v>
      </c>
      <c r="Y11" s="24">
        <v>200</v>
      </c>
      <c r="Z11" s="24">
        <v>410</v>
      </c>
      <c r="AA11" s="24">
        <v>164</v>
      </c>
      <c r="AB11" s="24">
        <v>170</v>
      </c>
      <c r="AC11" s="24">
        <v>252</v>
      </c>
      <c r="AD11" s="24">
        <v>100</v>
      </c>
      <c r="AE11" s="24">
        <v>138</v>
      </c>
      <c r="AF11" s="24">
        <v>412</v>
      </c>
      <c r="AG11" s="24">
        <v>207</v>
      </c>
      <c r="AH11" s="24">
        <v>149</v>
      </c>
      <c r="AI11" s="24">
        <v>240</v>
      </c>
      <c r="AJ11" s="24">
        <v>127</v>
      </c>
      <c r="AK11" s="24"/>
      <c r="AL11" s="24">
        <v>10</v>
      </c>
      <c r="AM11" s="24">
        <v>7</v>
      </c>
      <c r="AN11" s="24">
        <v>7</v>
      </c>
      <c r="AO11" s="24">
        <v>15</v>
      </c>
      <c r="AP11" s="24">
        <v>25</v>
      </c>
      <c r="AQ11" s="24">
        <v>6</v>
      </c>
      <c r="AR11" s="24">
        <v>9</v>
      </c>
      <c r="AS11" s="24">
        <v>15</v>
      </c>
      <c r="AT11" s="24">
        <v>0</v>
      </c>
      <c r="AU11" s="24">
        <v>11</v>
      </c>
      <c r="AV11" s="24">
        <v>11</v>
      </c>
      <c r="AW11" s="24">
        <v>3</v>
      </c>
      <c r="AX11" s="24"/>
      <c r="AY11" s="24"/>
      <c r="AZ11" s="24">
        <v>0</v>
      </c>
      <c r="BA11" s="24">
        <v>0</v>
      </c>
      <c r="BB11" s="24">
        <v>0</v>
      </c>
      <c r="BC11" s="24">
        <v>0</v>
      </c>
      <c r="BD11" s="24">
        <v>0</v>
      </c>
      <c r="BE11" s="24">
        <v>0</v>
      </c>
      <c r="BF11" s="24">
        <v>0</v>
      </c>
      <c r="BG11" s="24">
        <v>0</v>
      </c>
      <c r="BH11" s="24">
        <v>0</v>
      </c>
      <c r="BI11" s="24">
        <v>0</v>
      </c>
      <c r="BJ11" s="24"/>
      <c r="BK11" s="24"/>
      <c r="BL11" s="24"/>
      <c r="BM11" s="24"/>
      <c r="BN11" s="24"/>
      <c r="BO11" s="24"/>
      <c r="BP11" s="24"/>
      <c r="BQ11" s="24"/>
    </row>
    <row r="12" spans="1:69">
      <c r="A12" s="24">
        <v>915</v>
      </c>
      <c r="B12" s="24" t="s">
        <v>980</v>
      </c>
      <c r="C12" s="24" t="s">
        <v>1088</v>
      </c>
      <c r="D12" s="24" t="s">
        <v>1089</v>
      </c>
      <c r="E12" s="24" t="s">
        <v>1090</v>
      </c>
      <c r="F12" s="24" t="s">
        <v>1091</v>
      </c>
      <c r="G12" s="24" t="s">
        <v>1148</v>
      </c>
      <c r="H12" s="24" t="s">
        <v>1149</v>
      </c>
      <c r="I12" s="24" t="s">
        <v>1094</v>
      </c>
      <c r="J12" s="24" t="s">
        <v>1102</v>
      </c>
      <c r="K12" s="24" t="s">
        <v>1102</v>
      </c>
      <c r="L12" s="24" t="s">
        <v>1102</v>
      </c>
      <c r="M12" s="24" t="s">
        <v>1102</v>
      </c>
      <c r="N12" s="24" t="s">
        <v>1102</v>
      </c>
      <c r="O12" s="24" t="s">
        <v>1102</v>
      </c>
      <c r="P12" s="24"/>
      <c r="Q12" s="24" t="s">
        <v>1102</v>
      </c>
      <c r="R12" s="24" t="s">
        <v>1105</v>
      </c>
      <c r="S12" s="24" t="s">
        <v>1101</v>
      </c>
      <c r="T12" s="24" t="s">
        <v>1102</v>
      </c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>
        <v>75</v>
      </c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>
        <v>2</v>
      </c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1:69">
      <c r="A13" s="24">
        <v>916</v>
      </c>
      <c r="B13" s="24" t="s">
        <v>980</v>
      </c>
      <c r="C13" s="24" t="s">
        <v>1150</v>
      </c>
      <c r="D13" s="24" t="s">
        <v>1151</v>
      </c>
      <c r="E13" s="24" t="s">
        <v>1152</v>
      </c>
      <c r="F13" s="24" t="s">
        <v>1153</v>
      </c>
      <c r="G13" s="24" t="s">
        <v>1154</v>
      </c>
      <c r="H13" s="24" t="s">
        <v>1155</v>
      </c>
      <c r="I13" s="24" t="s">
        <v>1102</v>
      </c>
      <c r="J13" s="24" t="s">
        <v>1102</v>
      </c>
      <c r="K13" s="24" t="s">
        <v>1102</v>
      </c>
      <c r="L13" s="24" t="s">
        <v>1102</v>
      </c>
      <c r="M13" s="24" t="s">
        <v>1102</v>
      </c>
      <c r="N13" s="24" t="s">
        <v>1102</v>
      </c>
      <c r="O13" s="24" t="s">
        <v>1102</v>
      </c>
      <c r="P13" s="24"/>
      <c r="Q13" s="24" t="s">
        <v>1102</v>
      </c>
      <c r="R13" s="24" t="s">
        <v>1105</v>
      </c>
      <c r="S13" s="24" t="s">
        <v>1101</v>
      </c>
      <c r="T13" s="24" t="s">
        <v>1102</v>
      </c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>
      <c r="A14" s="24">
        <v>917</v>
      </c>
      <c r="B14" s="24" t="s">
        <v>980</v>
      </c>
      <c r="C14" s="24" t="s">
        <v>1150</v>
      </c>
      <c r="D14" s="24" t="s">
        <v>1151</v>
      </c>
      <c r="E14" s="24" t="s">
        <v>1152</v>
      </c>
      <c r="F14" s="24" t="s">
        <v>1153</v>
      </c>
      <c r="G14" s="24" t="s">
        <v>1156</v>
      </c>
      <c r="H14" s="24" t="s">
        <v>1157</v>
      </c>
      <c r="I14" s="24" t="s">
        <v>1158</v>
      </c>
      <c r="J14" s="24" t="s">
        <v>1159</v>
      </c>
      <c r="K14" s="24" t="s">
        <v>1102</v>
      </c>
      <c r="L14" s="24" t="s">
        <v>1160</v>
      </c>
      <c r="M14" s="24" t="s">
        <v>1161</v>
      </c>
      <c r="N14" s="24" t="s">
        <v>1162</v>
      </c>
      <c r="O14" s="24" t="s">
        <v>1163</v>
      </c>
      <c r="P14" s="24">
        <v>402304</v>
      </c>
      <c r="Q14" s="24" t="s">
        <v>1164</v>
      </c>
      <c r="R14" s="24" t="s">
        <v>1100</v>
      </c>
      <c r="S14" s="24" t="s">
        <v>1101</v>
      </c>
      <c r="T14" s="24" t="s">
        <v>1102</v>
      </c>
      <c r="U14" s="24">
        <v>356</v>
      </c>
      <c r="V14" s="24"/>
      <c r="W14" s="24"/>
      <c r="X14" s="24">
        <v>900</v>
      </c>
      <c r="Y14" s="24">
        <v>356</v>
      </c>
      <c r="Z14" s="24">
        <v>381</v>
      </c>
      <c r="AA14" s="24">
        <v>358</v>
      </c>
      <c r="AB14" s="24">
        <v>479</v>
      </c>
      <c r="AC14" s="24">
        <v>348</v>
      </c>
      <c r="AD14" s="24">
        <v>320</v>
      </c>
      <c r="AE14" s="24">
        <v>328</v>
      </c>
      <c r="AF14" s="24">
        <v>279</v>
      </c>
      <c r="AG14" s="24">
        <v>360</v>
      </c>
      <c r="AH14" s="24">
        <v>307</v>
      </c>
      <c r="AI14" s="24">
        <v>361</v>
      </c>
      <c r="AJ14" s="24">
        <v>253</v>
      </c>
      <c r="AK14" s="24"/>
      <c r="AL14" s="24">
        <v>0</v>
      </c>
      <c r="AM14" s="24">
        <v>55</v>
      </c>
      <c r="AN14" s="24">
        <v>35</v>
      </c>
      <c r="AO14" s="24">
        <v>45</v>
      </c>
      <c r="AP14" s="24">
        <v>52</v>
      </c>
      <c r="AQ14" s="24">
        <v>43</v>
      </c>
      <c r="AR14" s="24">
        <v>39</v>
      </c>
      <c r="AS14" s="24">
        <v>38</v>
      </c>
      <c r="AT14" s="24">
        <v>43</v>
      </c>
      <c r="AU14" s="24">
        <v>21</v>
      </c>
      <c r="AV14" s="24">
        <v>50</v>
      </c>
      <c r="AW14" s="24">
        <v>29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>
      <c r="A15" s="24">
        <v>918</v>
      </c>
      <c r="B15" s="24" t="s">
        <v>980</v>
      </c>
      <c r="C15" s="24" t="s">
        <v>1150</v>
      </c>
      <c r="D15" s="24" t="s">
        <v>1151</v>
      </c>
      <c r="E15" s="24" t="s">
        <v>1152</v>
      </c>
      <c r="F15" s="24" t="s">
        <v>1153</v>
      </c>
      <c r="G15" s="24" t="s">
        <v>1165</v>
      </c>
      <c r="H15" s="24" t="s">
        <v>1166</v>
      </c>
      <c r="I15" s="24" t="s">
        <v>1167</v>
      </c>
      <c r="J15" s="24" t="s">
        <v>1168</v>
      </c>
      <c r="K15" s="24" t="s">
        <v>1102</v>
      </c>
      <c r="L15" s="24" t="s">
        <v>1169</v>
      </c>
      <c r="M15" s="24" t="s">
        <v>1170</v>
      </c>
      <c r="N15" s="24">
        <v>9422694544</v>
      </c>
      <c r="O15" s="24" t="s">
        <v>1171</v>
      </c>
      <c r="P15" s="24">
        <v>410101</v>
      </c>
      <c r="Q15" s="24" t="s">
        <v>1172</v>
      </c>
      <c r="R15" s="24" t="s">
        <v>1100</v>
      </c>
      <c r="S15" s="24" t="s">
        <v>1101</v>
      </c>
      <c r="T15" s="24" t="s">
        <v>1102</v>
      </c>
      <c r="U15" s="24">
        <v>76</v>
      </c>
      <c r="V15" s="24"/>
      <c r="W15" s="24"/>
      <c r="X15" s="24">
        <v>328</v>
      </c>
      <c r="Y15" s="24">
        <v>76</v>
      </c>
      <c r="Z15" s="24">
        <v>47</v>
      </c>
      <c r="AA15" s="24">
        <v>96</v>
      </c>
      <c r="AB15" s="24">
        <v>88</v>
      </c>
      <c r="AC15" s="24">
        <v>60</v>
      </c>
      <c r="AD15" s="24">
        <v>52</v>
      </c>
      <c r="AE15" s="24">
        <v>99</v>
      </c>
      <c r="AF15" s="24">
        <v>69</v>
      </c>
      <c r="AG15" s="24">
        <v>46</v>
      </c>
      <c r="AH15" s="24">
        <v>119</v>
      </c>
      <c r="AI15" s="24">
        <v>75</v>
      </c>
      <c r="AJ15" s="24">
        <v>67</v>
      </c>
      <c r="AK15" s="24"/>
      <c r="AL15" s="24">
        <v>0</v>
      </c>
      <c r="AM15" s="24">
        <v>6</v>
      </c>
      <c r="AN15" s="24">
        <v>6</v>
      </c>
      <c r="AO15" s="24">
        <v>0</v>
      </c>
      <c r="AP15" s="24">
        <v>7</v>
      </c>
      <c r="AQ15" s="24">
        <v>5</v>
      </c>
      <c r="AR15" s="24">
        <v>9</v>
      </c>
      <c r="AS15" s="24">
        <v>4</v>
      </c>
      <c r="AT15" s="24">
        <v>8</v>
      </c>
      <c r="AU15" s="24">
        <v>11</v>
      </c>
      <c r="AV15" s="24">
        <v>5</v>
      </c>
      <c r="AW15" s="24">
        <v>8</v>
      </c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>
      <c r="A16" s="24">
        <v>919</v>
      </c>
      <c r="B16" s="24" t="s">
        <v>980</v>
      </c>
      <c r="C16" s="24" t="s">
        <v>1150</v>
      </c>
      <c r="D16" s="24" t="s">
        <v>1151</v>
      </c>
      <c r="E16" s="24" t="s">
        <v>1152</v>
      </c>
      <c r="F16" s="24" t="s">
        <v>1153</v>
      </c>
      <c r="G16" s="24" t="s">
        <v>1173</v>
      </c>
      <c r="H16" s="24" t="s">
        <v>1174</v>
      </c>
      <c r="I16" s="24" t="s">
        <v>1167</v>
      </c>
      <c r="J16" s="24" t="s">
        <v>1168</v>
      </c>
      <c r="K16" s="24" t="s">
        <v>1102</v>
      </c>
      <c r="L16" s="24" t="s">
        <v>1175</v>
      </c>
      <c r="M16" s="24" t="s">
        <v>1176</v>
      </c>
      <c r="N16" s="24">
        <v>9850877138</v>
      </c>
      <c r="O16" s="24" t="s">
        <v>1177</v>
      </c>
      <c r="P16" s="24">
        <v>410101</v>
      </c>
      <c r="Q16" s="24" t="s">
        <v>1178</v>
      </c>
      <c r="R16" s="24" t="s">
        <v>1100</v>
      </c>
      <c r="S16" s="24" t="s">
        <v>1101</v>
      </c>
      <c r="T16" s="24" t="s">
        <v>1102</v>
      </c>
      <c r="U16" s="24">
        <v>54</v>
      </c>
      <c r="V16" s="24"/>
      <c r="W16" s="24"/>
      <c r="X16" s="24">
        <v>340</v>
      </c>
      <c r="Y16" s="24">
        <v>54</v>
      </c>
      <c r="Z16" s="24">
        <v>20</v>
      </c>
      <c r="AA16" s="24">
        <v>70</v>
      </c>
      <c r="AB16" s="24">
        <v>95</v>
      </c>
      <c r="AC16" s="24">
        <v>20</v>
      </c>
      <c r="AD16" s="24">
        <v>72</v>
      </c>
      <c r="AE16" s="24">
        <v>40</v>
      </c>
      <c r="AF16" s="24">
        <v>63</v>
      </c>
      <c r="AG16" s="24">
        <v>55</v>
      </c>
      <c r="AH16" s="24">
        <v>45</v>
      </c>
      <c r="AI16" s="24">
        <v>90</v>
      </c>
      <c r="AJ16" s="24">
        <v>70</v>
      </c>
      <c r="AK16" s="24"/>
      <c r="AL16" s="24">
        <v>0</v>
      </c>
      <c r="AM16" s="24">
        <v>10</v>
      </c>
      <c r="AN16" s="24">
        <v>15</v>
      </c>
      <c r="AO16" s="24">
        <v>15</v>
      </c>
      <c r="AP16" s="24">
        <v>5</v>
      </c>
      <c r="AQ16" s="24">
        <v>13</v>
      </c>
      <c r="AR16" s="24">
        <v>10</v>
      </c>
      <c r="AS16" s="24">
        <v>20</v>
      </c>
      <c r="AT16" s="24">
        <v>11</v>
      </c>
      <c r="AU16" s="24">
        <v>10</v>
      </c>
      <c r="AV16" s="24">
        <v>20</v>
      </c>
      <c r="AW16" s="24">
        <v>12</v>
      </c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>
      <c r="A17" s="24">
        <v>920</v>
      </c>
      <c r="B17" s="24" t="s">
        <v>980</v>
      </c>
      <c r="C17" s="24" t="s">
        <v>1150</v>
      </c>
      <c r="D17" s="24" t="s">
        <v>1151</v>
      </c>
      <c r="E17" s="24" t="s">
        <v>1152</v>
      </c>
      <c r="F17" s="24" t="s">
        <v>1153</v>
      </c>
      <c r="G17" s="24" t="s">
        <v>1179</v>
      </c>
      <c r="H17" s="24" t="s">
        <v>1180</v>
      </c>
      <c r="I17" s="24" t="s">
        <v>1158</v>
      </c>
      <c r="J17" s="24" t="s">
        <v>1181</v>
      </c>
      <c r="K17" s="24" t="s">
        <v>1102</v>
      </c>
      <c r="L17" s="24" t="s">
        <v>1182</v>
      </c>
      <c r="M17" s="24" t="s">
        <v>1183</v>
      </c>
      <c r="N17" s="24">
        <v>8104132092</v>
      </c>
      <c r="O17" s="24" t="s">
        <v>1184</v>
      </c>
      <c r="P17" s="24">
        <v>410206</v>
      </c>
      <c r="Q17" s="24" t="s">
        <v>1185</v>
      </c>
      <c r="R17" s="24" t="s">
        <v>1100</v>
      </c>
      <c r="S17" s="24" t="s">
        <v>1101</v>
      </c>
      <c r="T17" s="24" t="s">
        <v>1102</v>
      </c>
      <c r="U17" s="24">
        <v>125</v>
      </c>
      <c r="V17" s="24"/>
      <c r="W17" s="24"/>
      <c r="X17" s="24">
        <v>590</v>
      </c>
      <c r="Y17" s="24">
        <v>125</v>
      </c>
      <c r="Z17" s="24">
        <v>90</v>
      </c>
      <c r="AA17" s="24">
        <v>113</v>
      </c>
      <c r="AB17" s="24">
        <v>0</v>
      </c>
      <c r="AC17" s="24">
        <v>234</v>
      </c>
      <c r="AD17" s="24">
        <v>93</v>
      </c>
      <c r="AE17" s="24">
        <v>117</v>
      </c>
      <c r="AF17" s="24">
        <v>112</v>
      </c>
      <c r="AG17" s="24">
        <v>75</v>
      </c>
      <c r="AH17" s="24">
        <v>85</v>
      </c>
      <c r="AI17" s="24">
        <v>148</v>
      </c>
      <c r="AJ17" s="24">
        <v>150</v>
      </c>
      <c r="AK17" s="24"/>
      <c r="AL17" s="24">
        <v>0</v>
      </c>
      <c r="AM17" s="24">
        <v>10</v>
      </c>
      <c r="AN17" s="24">
        <v>10</v>
      </c>
      <c r="AO17" s="24">
        <v>0</v>
      </c>
      <c r="AP17" s="24">
        <v>10</v>
      </c>
      <c r="AQ17" s="24">
        <v>20</v>
      </c>
      <c r="AR17" s="24">
        <v>5</v>
      </c>
      <c r="AS17" s="24">
        <v>10</v>
      </c>
      <c r="AT17" s="24">
        <v>10</v>
      </c>
      <c r="AU17" s="24">
        <v>10</v>
      </c>
      <c r="AV17" s="24">
        <v>25</v>
      </c>
      <c r="AW17" s="24">
        <v>20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  <row r="18" spans="1:69">
      <c r="A18" s="24">
        <v>921</v>
      </c>
      <c r="B18" s="24" t="s">
        <v>980</v>
      </c>
      <c r="C18" s="24" t="s">
        <v>1150</v>
      </c>
      <c r="D18" s="24" t="s">
        <v>1151</v>
      </c>
      <c r="E18" s="24" t="s">
        <v>1152</v>
      </c>
      <c r="F18" s="24" t="s">
        <v>1153</v>
      </c>
      <c r="G18" s="24" t="s">
        <v>1186</v>
      </c>
      <c r="H18" s="24" t="s">
        <v>1187</v>
      </c>
      <c r="I18" s="24" t="s">
        <v>1158</v>
      </c>
      <c r="J18" s="24" t="s">
        <v>1188</v>
      </c>
      <c r="K18" s="24" t="s">
        <v>1102</v>
      </c>
      <c r="L18" s="24" t="s">
        <v>1189</v>
      </c>
      <c r="M18" s="24" t="s">
        <v>1190</v>
      </c>
      <c r="N18" s="24">
        <v>9822058405</v>
      </c>
      <c r="O18" s="24" t="s">
        <v>1191</v>
      </c>
      <c r="P18" s="24">
        <v>402107</v>
      </c>
      <c r="Q18" s="24" t="s">
        <v>1192</v>
      </c>
      <c r="R18" s="24" t="s">
        <v>1100</v>
      </c>
      <c r="S18" s="24" t="s">
        <v>1101</v>
      </c>
      <c r="T18" s="24" t="s">
        <v>1102</v>
      </c>
      <c r="U18" s="24">
        <v>550</v>
      </c>
      <c r="V18" s="24"/>
      <c r="W18" s="24"/>
      <c r="X18" s="24">
        <v>680</v>
      </c>
      <c r="Y18" s="24">
        <v>550</v>
      </c>
      <c r="Z18" s="24">
        <v>480</v>
      </c>
      <c r="AA18" s="24">
        <v>400</v>
      </c>
      <c r="AB18" s="24">
        <v>430</v>
      </c>
      <c r="AC18" s="24">
        <v>436</v>
      </c>
      <c r="AD18" s="24">
        <v>430</v>
      </c>
      <c r="AE18" s="24">
        <v>470</v>
      </c>
      <c r="AF18" s="24">
        <v>280</v>
      </c>
      <c r="AG18" s="24">
        <v>300</v>
      </c>
      <c r="AH18" s="24">
        <v>420</v>
      </c>
      <c r="AI18" s="24">
        <v>435</v>
      </c>
      <c r="AJ18" s="24">
        <v>250</v>
      </c>
      <c r="AK18" s="24"/>
      <c r="AL18" s="24">
        <v>0</v>
      </c>
      <c r="AM18" s="24">
        <v>95</v>
      </c>
      <c r="AN18" s="24">
        <v>30</v>
      </c>
      <c r="AO18" s="24">
        <v>70</v>
      </c>
      <c r="AP18" s="24">
        <v>50</v>
      </c>
      <c r="AQ18" s="24">
        <v>90</v>
      </c>
      <c r="AR18" s="24">
        <v>70</v>
      </c>
      <c r="AS18" s="24">
        <v>70</v>
      </c>
      <c r="AT18" s="24">
        <v>25</v>
      </c>
      <c r="AU18" s="24">
        <v>45</v>
      </c>
      <c r="AV18" s="24">
        <v>80</v>
      </c>
      <c r="AW18" s="24">
        <v>30</v>
      </c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</row>
    <row r="19" spans="1:69">
      <c r="A19" s="24">
        <v>922</v>
      </c>
      <c r="B19" s="24" t="s">
        <v>980</v>
      </c>
      <c r="C19" s="24" t="s">
        <v>1150</v>
      </c>
      <c r="D19" s="24" t="s">
        <v>1151</v>
      </c>
      <c r="E19" s="24" t="s">
        <v>1152</v>
      </c>
      <c r="F19" s="24" t="s">
        <v>1153</v>
      </c>
      <c r="G19" s="24" t="s">
        <v>1193</v>
      </c>
      <c r="H19" s="24" t="s">
        <v>1194</v>
      </c>
      <c r="I19" s="24" t="s">
        <v>1158</v>
      </c>
      <c r="J19" s="24" t="s">
        <v>1195</v>
      </c>
      <c r="K19" s="24" t="s">
        <v>1102</v>
      </c>
      <c r="L19" s="24" t="s">
        <v>1196</v>
      </c>
      <c r="M19" s="24" t="s">
        <v>1197</v>
      </c>
      <c r="N19" s="24">
        <v>9403090739</v>
      </c>
      <c r="O19" s="24" t="s">
        <v>1198</v>
      </c>
      <c r="P19" s="24">
        <v>402104</v>
      </c>
      <c r="Q19" s="24" t="s">
        <v>1199</v>
      </c>
      <c r="R19" s="24" t="s">
        <v>1100</v>
      </c>
      <c r="S19" s="24" t="s">
        <v>1101</v>
      </c>
      <c r="T19" s="24" t="s">
        <v>1102</v>
      </c>
      <c r="U19" s="24">
        <v>382</v>
      </c>
      <c r="V19" s="24"/>
      <c r="W19" s="24"/>
      <c r="X19" s="24">
        <v>710</v>
      </c>
      <c r="Y19" s="24">
        <v>382</v>
      </c>
      <c r="Z19" s="24">
        <v>332</v>
      </c>
      <c r="AA19" s="24">
        <v>477</v>
      </c>
      <c r="AB19" s="24">
        <v>368</v>
      </c>
      <c r="AC19" s="24">
        <v>407</v>
      </c>
      <c r="AD19" s="24">
        <v>409</v>
      </c>
      <c r="AE19" s="24">
        <v>311</v>
      </c>
      <c r="AF19" s="24">
        <v>334</v>
      </c>
      <c r="AG19" s="24">
        <v>256</v>
      </c>
      <c r="AH19" s="24">
        <v>399</v>
      </c>
      <c r="AI19" s="24">
        <v>425</v>
      </c>
      <c r="AJ19" s="24">
        <v>378</v>
      </c>
      <c r="AK19" s="24"/>
      <c r="AL19" s="24">
        <v>0</v>
      </c>
      <c r="AM19" s="24">
        <v>43</v>
      </c>
      <c r="AN19" s="24">
        <v>30</v>
      </c>
      <c r="AO19" s="24">
        <v>27</v>
      </c>
      <c r="AP19" s="24">
        <v>25</v>
      </c>
      <c r="AQ19" s="24">
        <v>31</v>
      </c>
      <c r="AR19" s="24">
        <v>23</v>
      </c>
      <c r="AS19" s="24">
        <v>24</v>
      </c>
      <c r="AT19" s="24">
        <v>29</v>
      </c>
      <c r="AU19" s="24">
        <v>32</v>
      </c>
      <c r="AV19" s="24">
        <v>27</v>
      </c>
      <c r="AW19" s="24">
        <v>21</v>
      </c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</row>
    <row r="20" spans="1:69">
      <c r="A20" s="24">
        <v>923</v>
      </c>
      <c r="B20" s="24" t="s">
        <v>980</v>
      </c>
      <c r="C20" s="24" t="s">
        <v>1150</v>
      </c>
      <c r="D20" s="24" t="s">
        <v>1151</v>
      </c>
      <c r="E20" s="24" t="s">
        <v>1152</v>
      </c>
      <c r="F20" s="24" t="s">
        <v>1153</v>
      </c>
      <c r="G20" s="24" t="s">
        <v>1200</v>
      </c>
      <c r="H20" s="24" t="s">
        <v>1201</v>
      </c>
      <c r="I20" s="24" t="s">
        <v>1158</v>
      </c>
      <c r="J20" s="24" t="s">
        <v>1202</v>
      </c>
      <c r="K20" s="24" t="s">
        <v>1102</v>
      </c>
      <c r="L20" s="24" t="s">
        <v>1203</v>
      </c>
      <c r="M20" s="24" t="s">
        <v>1204</v>
      </c>
      <c r="N20" s="24">
        <v>8237230723</v>
      </c>
      <c r="O20" s="24" t="s">
        <v>1205</v>
      </c>
      <c r="P20" s="24">
        <v>402301</v>
      </c>
      <c r="Q20" s="24" t="s">
        <v>1206</v>
      </c>
      <c r="R20" s="24" t="s">
        <v>1100</v>
      </c>
      <c r="S20" s="24" t="s">
        <v>1101</v>
      </c>
      <c r="T20" s="24" t="s">
        <v>1102</v>
      </c>
      <c r="U20" s="24">
        <v>162</v>
      </c>
      <c r="V20" s="24"/>
      <c r="W20" s="24"/>
      <c r="X20" s="24">
        <v>370</v>
      </c>
      <c r="Y20" s="24">
        <v>162</v>
      </c>
      <c r="Z20" s="24">
        <v>141</v>
      </c>
      <c r="AA20" s="24">
        <v>115</v>
      </c>
      <c r="AB20" s="24">
        <v>145</v>
      </c>
      <c r="AC20" s="24">
        <v>195</v>
      </c>
      <c r="AD20" s="24">
        <v>20</v>
      </c>
      <c r="AE20" s="24">
        <v>208</v>
      </c>
      <c r="AF20" s="24">
        <v>82</v>
      </c>
      <c r="AG20" s="24">
        <v>81</v>
      </c>
      <c r="AH20" s="24">
        <v>102</v>
      </c>
      <c r="AI20" s="24">
        <v>197</v>
      </c>
      <c r="AJ20" s="24">
        <v>63</v>
      </c>
      <c r="AK20" s="24"/>
      <c r="AL20" s="24">
        <v>0</v>
      </c>
      <c r="AM20" s="24">
        <v>10</v>
      </c>
      <c r="AN20" s="24">
        <v>8</v>
      </c>
      <c r="AO20" s="24">
        <v>12</v>
      </c>
      <c r="AP20" s="24">
        <v>25</v>
      </c>
      <c r="AQ20" s="24">
        <v>10</v>
      </c>
      <c r="AR20" s="24">
        <v>32</v>
      </c>
      <c r="AS20" s="24">
        <v>17</v>
      </c>
      <c r="AT20" s="24">
        <v>15</v>
      </c>
      <c r="AU20" s="24">
        <v>7</v>
      </c>
      <c r="AV20" s="24">
        <v>19</v>
      </c>
      <c r="AW20" s="24">
        <v>12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</row>
    <row r="21" spans="1:69">
      <c r="A21" s="24">
        <v>924</v>
      </c>
      <c r="B21" s="24" t="s">
        <v>980</v>
      </c>
      <c r="C21" s="24" t="s">
        <v>1150</v>
      </c>
      <c r="D21" s="24" t="s">
        <v>1151</v>
      </c>
      <c r="E21" s="24" t="s">
        <v>1152</v>
      </c>
      <c r="F21" s="24" t="s">
        <v>1153</v>
      </c>
      <c r="G21" s="24" t="s">
        <v>1207</v>
      </c>
      <c r="H21" s="24" t="s">
        <v>1208</v>
      </c>
      <c r="I21" s="24" t="s">
        <v>1102</v>
      </c>
      <c r="J21" s="24" t="s">
        <v>1102</v>
      </c>
      <c r="K21" s="24" t="s">
        <v>1102</v>
      </c>
      <c r="L21" s="24" t="s">
        <v>1102</v>
      </c>
      <c r="M21" s="24" t="s">
        <v>1102</v>
      </c>
      <c r="N21" s="24" t="s">
        <v>1102</v>
      </c>
      <c r="O21" s="24" t="s">
        <v>1102</v>
      </c>
      <c r="P21" s="24"/>
      <c r="Q21" s="24" t="s">
        <v>1102</v>
      </c>
      <c r="R21" s="24" t="s">
        <v>1105</v>
      </c>
      <c r="S21" s="24" t="s">
        <v>1101</v>
      </c>
      <c r="T21" s="24" t="s">
        <v>1102</v>
      </c>
      <c r="U21" s="24"/>
      <c r="V21" s="24"/>
      <c r="W21" s="24"/>
      <c r="X21" s="24"/>
      <c r="Y21" s="24">
        <v>0</v>
      </c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>
        <v>0</v>
      </c>
      <c r="AK21" s="24"/>
      <c r="AL21" s="24">
        <v>0</v>
      </c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>
        <v>0</v>
      </c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</row>
    <row r="22" spans="1:69">
      <c r="A22" s="24">
        <v>925</v>
      </c>
      <c r="B22" s="24" t="s">
        <v>980</v>
      </c>
      <c r="C22" s="24" t="s">
        <v>1150</v>
      </c>
      <c r="D22" s="24" t="s">
        <v>1151</v>
      </c>
      <c r="E22" s="24" t="s">
        <v>1152</v>
      </c>
      <c r="F22" s="24" t="s">
        <v>1153</v>
      </c>
      <c r="G22" s="24" t="s">
        <v>1209</v>
      </c>
      <c r="H22" s="24" t="s">
        <v>1210</v>
      </c>
      <c r="I22" s="24" t="s">
        <v>1158</v>
      </c>
      <c r="J22" s="24" t="s">
        <v>1211</v>
      </c>
      <c r="K22" s="24" t="s">
        <v>1102</v>
      </c>
      <c r="L22" s="24" t="s">
        <v>1212</v>
      </c>
      <c r="M22" s="24" t="s">
        <v>1213</v>
      </c>
      <c r="N22" s="24">
        <v>9773228121</v>
      </c>
      <c r="O22" s="24" t="s">
        <v>1214</v>
      </c>
      <c r="P22" s="24">
        <v>400702</v>
      </c>
      <c r="Q22" s="24" t="s">
        <v>1215</v>
      </c>
      <c r="R22" s="24" t="s">
        <v>1100</v>
      </c>
      <c r="S22" s="24" t="s">
        <v>1101</v>
      </c>
      <c r="T22" s="24" t="s">
        <v>1102</v>
      </c>
      <c r="U22" s="24">
        <v>270</v>
      </c>
      <c r="V22" s="24"/>
      <c r="W22" s="24"/>
      <c r="X22" s="24">
        <v>650</v>
      </c>
      <c r="Y22" s="24">
        <v>270</v>
      </c>
      <c r="Z22" s="24">
        <v>235</v>
      </c>
      <c r="AA22" s="24">
        <v>257</v>
      </c>
      <c r="AB22" s="24">
        <v>188</v>
      </c>
      <c r="AC22" s="24">
        <v>292</v>
      </c>
      <c r="AD22" s="24">
        <v>175</v>
      </c>
      <c r="AE22" s="24">
        <v>194</v>
      </c>
      <c r="AF22" s="24">
        <v>201</v>
      </c>
      <c r="AG22" s="24">
        <v>205</v>
      </c>
      <c r="AH22" s="24">
        <v>289</v>
      </c>
      <c r="AI22" s="24">
        <v>187</v>
      </c>
      <c r="AJ22" s="24">
        <v>220</v>
      </c>
      <c r="AK22" s="24"/>
      <c r="AL22" s="24">
        <v>0</v>
      </c>
      <c r="AM22" s="24">
        <v>15</v>
      </c>
      <c r="AN22" s="24">
        <v>13</v>
      </c>
      <c r="AO22" s="24">
        <v>10</v>
      </c>
      <c r="AP22" s="24">
        <v>15</v>
      </c>
      <c r="AQ22" s="24">
        <v>10</v>
      </c>
      <c r="AR22" s="24">
        <v>8</v>
      </c>
      <c r="AS22" s="24">
        <v>10</v>
      </c>
      <c r="AT22" s="24">
        <v>10</v>
      </c>
      <c r="AU22" s="24">
        <v>10</v>
      </c>
      <c r="AV22" s="24">
        <v>10</v>
      </c>
      <c r="AW22" s="24">
        <v>10</v>
      </c>
      <c r="AX22" s="24"/>
      <c r="AY22" s="24"/>
      <c r="AZ22" s="24">
        <v>50</v>
      </c>
      <c r="BA22" s="24">
        <v>68</v>
      </c>
      <c r="BB22" s="24">
        <v>0</v>
      </c>
      <c r="BC22" s="24">
        <v>20</v>
      </c>
      <c r="BD22" s="24">
        <v>0</v>
      </c>
      <c r="BE22" s="24">
        <v>0</v>
      </c>
      <c r="BF22" s="24">
        <v>0</v>
      </c>
      <c r="BG22" s="24">
        <v>0</v>
      </c>
      <c r="BH22" s="24">
        <v>0</v>
      </c>
      <c r="BI22" s="24">
        <v>0</v>
      </c>
      <c r="BJ22" s="24"/>
      <c r="BK22" s="24"/>
      <c r="BL22" s="24"/>
      <c r="BM22" s="24"/>
      <c r="BN22" s="24"/>
      <c r="BO22" s="24"/>
      <c r="BP22" s="24"/>
      <c r="BQ22" s="24"/>
    </row>
    <row r="23" spans="1:69">
      <c r="A23" s="24">
        <v>926</v>
      </c>
      <c r="B23" s="24" t="s">
        <v>980</v>
      </c>
      <c r="C23" s="24" t="s">
        <v>1150</v>
      </c>
      <c r="D23" s="24" t="s">
        <v>1151</v>
      </c>
      <c r="E23" s="24" t="s">
        <v>1152</v>
      </c>
      <c r="F23" s="24" t="s">
        <v>1153</v>
      </c>
      <c r="G23" s="24" t="s">
        <v>1216</v>
      </c>
      <c r="H23" s="24" t="s">
        <v>1217</v>
      </c>
      <c r="I23" s="24" t="s">
        <v>1102</v>
      </c>
      <c r="J23" s="24" t="s">
        <v>1102</v>
      </c>
      <c r="K23" s="24" t="s">
        <v>1102</v>
      </c>
      <c r="L23" s="24" t="s">
        <v>1102</v>
      </c>
      <c r="M23" s="24" t="s">
        <v>1102</v>
      </c>
      <c r="N23" s="24" t="s">
        <v>1102</v>
      </c>
      <c r="O23" s="24" t="s">
        <v>1102</v>
      </c>
      <c r="P23" s="24"/>
      <c r="Q23" s="24" t="s">
        <v>1102</v>
      </c>
      <c r="R23" s="24" t="s">
        <v>1105</v>
      </c>
      <c r="S23" s="24" t="s">
        <v>1101</v>
      </c>
      <c r="T23" s="24" t="s">
        <v>1102</v>
      </c>
      <c r="U23" s="24">
        <v>125</v>
      </c>
      <c r="V23" s="24"/>
      <c r="W23" s="24"/>
      <c r="X23" s="24"/>
      <c r="Y23" s="24">
        <v>125</v>
      </c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>
        <v>0</v>
      </c>
      <c r="AK23" s="24"/>
      <c r="AL23" s="24">
        <v>0</v>
      </c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>
        <v>0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</row>
    <row r="24" spans="1:69">
      <c r="A24" s="24">
        <v>927</v>
      </c>
      <c r="B24" s="24" t="s">
        <v>980</v>
      </c>
      <c r="C24" s="24" t="s">
        <v>1150</v>
      </c>
      <c r="D24" s="24" t="s">
        <v>1151</v>
      </c>
      <c r="E24" s="24" t="s">
        <v>1152</v>
      </c>
      <c r="F24" s="24" t="s">
        <v>1153</v>
      </c>
      <c r="G24" s="24" t="s">
        <v>1218</v>
      </c>
      <c r="H24" s="24" t="s">
        <v>1219</v>
      </c>
      <c r="I24" s="24" t="s">
        <v>1158</v>
      </c>
      <c r="J24" s="24" t="s">
        <v>1188</v>
      </c>
      <c r="K24" s="24" t="s">
        <v>1102</v>
      </c>
      <c r="L24" s="24" t="s">
        <v>1220</v>
      </c>
      <c r="M24" s="24" t="s">
        <v>1221</v>
      </c>
      <c r="N24" s="24">
        <v>9822136868</v>
      </c>
      <c r="O24" s="24" t="s">
        <v>1222</v>
      </c>
      <c r="P24" s="24">
        <v>402107</v>
      </c>
      <c r="Q24" s="24" t="s">
        <v>1223</v>
      </c>
      <c r="R24" s="24" t="s">
        <v>1100</v>
      </c>
      <c r="S24" s="24" t="s">
        <v>1101</v>
      </c>
      <c r="T24" s="24" t="s">
        <v>1102</v>
      </c>
      <c r="U24" s="24">
        <v>409</v>
      </c>
      <c r="V24" s="24"/>
      <c r="W24" s="24"/>
      <c r="X24" s="24">
        <v>660</v>
      </c>
      <c r="Y24" s="24">
        <v>409</v>
      </c>
      <c r="Z24" s="24">
        <v>312</v>
      </c>
      <c r="AA24" s="24">
        <v>255</v>
      </c>
      <c r="AB24" s="24">
        <v>262</v>
      </c>
      <c r="AC24" s="24">
        <v>326</v>
      </c>
      <c r="AD24" s="24">
        <v>273</v>
      </c>
      <c r="AE24" s="24">
        <v>306</v>
      </c>
      <c r="AF24" s="24">
        <v>285</v>
      </c>
      <c r="AG24" s="24">
        <v>275</v>
      </c>
      <c r="AH24" s="24">
        <v>330</v>
      </c>
      <c r="AI24" s="24">
        <v>410</v>
      </c>
      <c r="AJ24" s="24">
        <v>492</v>
      </c>
      <c r="AK24" s="24"/>
      <c r="AL24" s="24">
        <v>0</v>
      </c>
      <c r="AM24" s="24">
        <v>32</v>
      </c>
      <c r="AN24" s="24">
        <v>14</v>
      </c>
      <c r="AO24" s="24">
        <v>25</v>
      </c>
      <c r="AP24" s="24">
        <v>25</v>
      </c>
      <c r="AQ24" s="24">
        <v>37</v>
      </c>
      <c r="AR24" s="24">
        <v>18</v>
      </c>
      <c r="AS24" s="24">
        <v>39</v>
      </c>
      <c r="AT24" s="24">
        <v>19</v>
      </c>
      <c r="AU24" s="24">
        <v>39</v>
      </c>
      <c r="AV24" s="24">
        <v>46</v>
      </c>
      <c r="AW24" s="24">
        <v>37</v>
      </c>
      <c r="AX24" s="24"/>
      <c r="AY24" s="24"/>
      <c r="AZ24" s="24">
        <v>40</v>
      </c>
      <c r="BA24" s="24">
        <v>20</v>
      </c>
      <c r="BB24" s="24">
        <v>0</v>
      </c>
      <c r="BC24" s="24">
        <v>10</v>
      </c>
      <c r="BD24" s="24">
        <v>20</v>
      </c>
      <c r="BE24" s="24">
        <v>8</v>
      </c>
      <c r="BF24" s="24">
        <v>20</v>
      </c>
      <c r="BG24" s="24">
        <v>10</v>
      </c>
      <c r="BH24" s="24">
        <v>20</v>
      </c>
      <c r="BI24" s="24">
        <v>20</v>
      </c>
      <c r="BJ24" s="24"/>
      <c r="BK24" s="24"/>
      <c r="BL24" s="24"/>
      <c r="BM24" s="24"/>
      <c r="BN24" s="24"/>
      <c r="BO24" s="24"/>
      <c r="BP24" s="24"/>
      <c r="BQ24" s="24"/>
    </row>
    <row r="25" spans="1:69">
      <c r="A25" s="24">
        <v>928</v>
      </c>
      <c r="B25" s="24" t="s">
        <v>980</v>
      </c>
      <c r="C25" s="24" t="s">
        <v>1150</v>
      </c>
      <c r="D25" s="24" t="s">
        <v>1151</v>
      </c>
      <c r="E25" s="24" t="s">
        <v>1152</v>
      </c>
      <c r="F25" s="24" t="s">
        <v>1153</v>
      </c>
      <c r="G25" s="24" t="s">
        <v>1224</v>
      </c>
      <c r="H25" s="24" t="s">
        <v>1225</v>
      </c>
      <c r="I25" s="24" t="s">
        <v>1167</v>
      </c>
      <c r="J25" s="24" t="s">
        <v>1226</v>
      </c>
      <c r="K25" s="24" t="s">
        <v>1102</v>
      </c>
      <c r="L25" s="24" t="s">
        <v>1227</v>
      </c>
      <c r="M25" s="24" t="s">
        <v>1228</v>
      </c>
      <c r="N25" s="24" t="s">
        <v>1229</v>
      </c>
      <c r="O25" s="24" t="s">
        <v>1230</v>
      </c>
      <c r="P25" s="24">
        <v>410209</v>
      </c>
      <c r="Q25" s="24" t="s">
        <v>1231</v>
      </c>
      <c r="R25" s="24" t="s">
        <v>1100</v>
      </c>
      <c r="S25" s="24" t="s">
        <v>1101</v>
      </c>
      <c r="T25" s="24" t="s">
        <v>1102</v>
      </c>
      <c r="U25" s="24">
        <v>200</v>
      </c>
      <c r="V25" s="24"/>
      <c r="W25" s="24"/>
      <c r="X25" s="24">
        <v>540</v>
      </c>
      <c r="Y25" s="24">
        <v>200</v>
      </c>
      <c r="Z25" s="24">
        <v>72</v>
      </c>
      <c r="AA25" s="24">
        <v>171</v>
      </c>
      <c r="AB25" s="24">
        <v>200</v>
      </c>
      <c r="AC25" s="24">
        <v>256</v>
      </c>
      <c r="AD25" s="24">
        <v>184</v>
      </c>
      <c r="AE25" s="24">
        <v>192</v>
      </c>
      <c r="AF25" s="24">
        <v>148</v>
      </c>
      <c r="AG25" s="24">
        <v>176</v>
      </c>
      <c r="AH25" s="24">
        <v>243</v>
      </c>
      <c r="AI25" s="24">
        <v>184</v>
      </c>
      <c r="AJ25" s="24">
        <v>150</v>
      </c>
      <c r="AK25" s="24"/>
      <c r="AL25" s="24">
        <v>0</v>
      </c>
      <c r="AM25" s="24">
        <v>16</v>
      </c>
      <c r="AN25" s="24">
        <v>24</v>
      </c>
      <c r="AO25" s="24">
        <v>16</v>
      </c>
      <c r="AP25" s="24">
        <v>29</v>
      </c>
      <c r="AQ25" s="24">
        <v>26</v>
      </c>
      <c r="AR25" s="24">
        <v>30</v>
      </c>
      <c r="AS25" s="24">
        <v>16</v>
      </c>
      <c r="AT25" s="24">
        <v>19</v>
      </c>
      <c r="AU25" s="24">
        <v>13</v>
      </c>
      <c r="AV25" s="24">
        <v>34</v>
      </c>
      <c r="AW25" s="24">
        <v>22</v>
      </c>
      <c r="AX25" s="24"/>
      <c r="AY25" s="24"/>
      <c r="AZ25" s="24">
        <v>40</v>
      </c>
      <c r="BA25" s="24">
        <v>65</v>
      </c>
      <c r="BB25" s="24">
        <v>40</v>
      </c>
      <c r="BC25" s="24">
        <v>20</v>
      </c>
      <c r="BD25" s="24">
        <v>42</v>
      </c>
      <c r="BE25" s="24">
        <v>60</v>
      </c>
      <c r="BF25" s="24">
        <v>45</v>
      </c>
      <c r="BG25" s="24">
        <v>15</v>
      </c>
      <c r="BH25" s="24">
        <v>50</v>
      </c>
      <c r="BI25" s="24">
        <v>45</v>
      </c>
      <c r="BJ25" s="24"/>
      <c r="BK25" s="24"/>
      <c r="BL25" s="24"/>
      <c r="BM25" s="24"/>
      <c r="BN25" s="24"/>
      <c r="BO25" s="24"/>
      <c r="BP25" s="24"/>
      <c r="BQ25" s="24"/>
    </row>
    <row r="26" spans="1:69">
      <c r="A26" s="24">
        <v>929</v>
      </c>
      <c r="B26" s="24" t="s">
        <v>980</v>
      </c>
      <c r="C26" s="24" t="s">
        <v>1101</v>
      </c>
      <c r="D26" s="24" t="s">
        <v>1232</v>
      </c>
      <c r="E26" s="24" t="s">
        <v>1233</v>
      </c>
      <c r="F26" s="24" t="s">
        <v>1234</v>
      </c>
      <c r="G26" s="24" t="s">
        <v>1235</v>
      </c>
      <c r="H26" s="24" t="s">
        <v>1236</v>
      </c>
      <c r="I26" s="24" t="s">
        <v>1237</v>
      </c>
      <c r="J26" s="24" t="s">
        <v>1238</v>
      </c>
      <c r="K26" s="24" t="s">
        <v>1102</v>
      </c>
      <c r="L26" s="24" t="s">
        <v>1239</v>
      </c>
      <c r="M26" s="24" t="s">
        <v>1240</v>
      </c>
      <c r="N26" s="24" t="s">
        <v>1102</v>
      </c>
      <c r="O26" s="24" t="s">
        <v>1241</v>
      </c>
      <c r="P26" s="24"/>
      <c r="Q26" s="24" t="s">
        <v>991</v>
      </c>
      <c r="R26" s="24" t="s">
        <v>1105</v>
      </c>
      <c r="S26" s="24" t="s">
        <v>1242</v>
      </c>
      <c r="T26" s="24" t="s">
        <v>1102</v>
      </c>
      <c r="U26" s="24">
        <v>150</v>
      </c>
      <c r="V26" s="24">
        <v>20</v>
      </c>
      <c r="W26" s="24"/>
      <c r="X26" s="24">
        <v>170</v>
      </c>
      <c r="Y26" s="24">
        <v>150</v>
      </c>
      <c r="Z26" s="24">
        <v>45</v>
      </c>
      <c r="AA26" s="24">
        <v>68</v>
      </c>
      <c r="AB26" s="24">
        <v>83</v>
      </c>
      <c r="AC26" s="24">
        <v>68</v>
      </c>
      <c r="AD26" s="24">
        <v>57</v>
      </c>
      <c r="AE26" s="24">
        <v>93</v>
      </c>
      <c r="AF26" s="24">
        <v>41</v>
      </c>
      <c r="AG26" s="24">
        <v>85</v>
      </c>
      <c r="AH26" s="24">
        <v>34</v>
      </c>
      <c r="AI26" s="24">
        <v>68</v>
      </c>
      <c r="AJ26" s="24">
        <v>75</v>
      </c>
      <c r="AK26" s="24"/>
      <c r="AL26" s="24">
        <v>20</v>
      </c>
      <c r="AM26" s="24">
        <v>17</v>
      </c>
      <c r="AN26" s="24">
        <v>23</v>
      </c>
      <c r="AO26" s="24">
        <v>29</v>
      </c>
      <c r="AP26" s="24">
        <v>14</v>
      </c>
      <c r="AQ26" s="24">
        <v>24</v>
      </c>
      <c r="AR26" s="24">
        <v>32</v>
      </c>
      <c r="AS26" s="24">
        <v>11</v>
      </c>
      <c r="AT26" s="24">
        <v>17</v>
      </c>
      <c r="AU26" s="24">
        <v>27</v>
      </c>
      <c r="AV26" s="24">
        <v>25</v>
      </c>
      <c r="AW26" s="24">
        <v>24</v>
      </c>
      <c r="AX26" s="24"/>
      <c r="AY26" s="24"/>
      <c r="AZ26" s="24"/>
      <c r="BA26" s="24">
        <v>20</v>
      </c>
      <c r="BB26" s="24">
        <v>0</v>
      </c>
      <c r="BC26" s="24">
        <v>0</v>
      </c>
      <c r="BD26" s="24">
        <v>0</v>
      </c>
      <c r="BE26" s="24">
        <v>0</v>
      </c>
      <c r="BF26" s="24">
        <v>0</v>
      </c>
      <c r="BG26" s="24">
        <v>40</v>
      </c>
      <c r="BH26" s="24">
        <v>0</v>
      </c>
      <c r="BI26" s="24"/>
      <c r="BJ26" s="24"/>
      <c r="BK26" s="24"/>
      <c r="BL26" s="24"/>
      <c r="BM26" s="24"/>
      <c r="BN26" s="24"/>
      <c r="BO26" s="24"/>
      <c r="BP26" s="24"/>
      <c r="BQ26" s="24"/>
    </row>
    <row r="27" spans="1:69">
      <c r="A27" s="24">
        <v>930</v>
      </c>
      <c r="B27" s="24" t="s">
        <v>980</v>
      </c>
      <c r="C27" s="24" t="s">
        <v>1101</v>
      </c>
      <c r="D27" s="24" t="s">
        <v>1232</v>
      </c>
      <c r="E27" s="24" t="s">
        <v>1233</v>
      </c>
      <c r="F27" s="24" t="s">
        <v>1234</v>
      </c>
      <c r="G27" s="24" t="s">
        <v>1243</v>
      </c>
      <c r="H27" s="24" t="s">
        <v>1244</v>
      </c>
      <c r="I27" s="24" t="s">
        <v>1237</v>
      </c>
      <c r="J27" s="24" t="s">
        <v>1102</v>
      </c>
      <c r="K27" s="24" t="s">
        <v>1102</v>
      </c>
      <c r="L27" s="24" t="s">
        <v>1102</v>
      </c>
      <c r="M27" s="24" t="s">
        <v>1102</v>
      </c>
      <c r="N27" s="24" t="s">
        <v>1102</v>
      </c>
      <c r="O27" s="24" t="s">
        <v>1102</v>
      </c>
      <c r="P27" s="24"/>
      <c r="Q27" s="24" t="s">
        <v>1102</v>
      </c>
      <c r="R27" s="24" t="s">
        <v>1105</v>
      </c>
      <c r="S27" s="24" t="s">
        <v>1101</v>
      </c>
      <c r="T27" s="24" t="s">
        <v>1102</v>
      </c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>
        <v>0</v>
      </c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</row>
    <row r="28" spans="1:69">
      <c r="A28" s="24">
        <v>931</v>
      </c>
      <c r="B28" s="24" t="s">
        <v>980</v>
      </c>
      <c r="C28" s="24" t="s">
        <v>1101</v>
      </c>
      <c r="D28" s="24" t="s">
        <v>1232</v>
      </c>
      <c r="E28" s="24" t="s">
        <v>1233</v>
      </c>
      <c r="F28" s="24" t="s">
        <v>1234</v>
      </c>
      <c r="G28" s="24" t="s">
        <v>1245</v>
      </c>
      <c r="H28" s="24" t="s">
        <v>1246</v>
      </c>
      <c r="I28" s="24" t="s">
        <v>1237</v>
      </c>
      <c r="J28" s="24" t="s">
        <v>1102</v>
      </c>
      <c r="K28" s="24" t="s">
        <v>1102</v>
      </c>
      <c r="L28" s="24" t="s">
        <v>1102</v>
      </c>
      <c r="M28" s="24" t="s">
        <v>1102</v>
      </c>
      <c r="N28" s="24" t="s">
        <v>1102</v>
      </c>
      <c r="O28" s="24" t="s">
        <v>1102</v>
      </c>
      <c r="P28" s="24"/>
      <c r="Q28" s="24" t="s">
        <v>1102</v>
      </c>
      <c r="R28" s="24" t="s">
        <v>1105</v>
      </c>
      <c r="S28" s="24" t="s">
        <v>1101</v>
      </c>
      <c r="T28" s="24" t="s">
        <v>1102</v>
      </c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>
        <v>0</v>
      </c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</row>
    <row r="29" spans="1:69">
      <c r="A29" s="24">
        <v>932</v>
      </c>
      <c r="B29" s="24" t="s">
        <v>980</v>
      </c>
      <c r="C29" s="24" t="s">
        <v>1101</v>
      </c>
      <c r="D29" s="24" t="s">
        <v>1232</v>
      </c>
      <c r="E29" s="24" t="s">
        <v>1233</v>
      </c>
      <c r="F29" s="24" t="s">
        <v>1234</v>
      </c>
      <c r="G29" s="24" t="s">
        <v>1247</v>
      </c>
      <c r="H29" s="24" t="s">
        <v>1248</v>
      </c>
      <c r="I29" s="24" t="s">
        <v>1237</v>
      </c>
      <c r="J29" s="24" t="s">
        <v>1249</v>
      </c>
      <c r="K29" s="24" t="s">
        <v>1102</v>
      </c>
      <c r="L29" s="24" t="s">
        <v>1250</v>
      </c>
      <c r="M29" s="24" t="s">
        <v>1251</v>
      </c>
      <c r="N29" s="24" t="s">
        <v>1102</v>
      </c>
      <c r="O29" s="24" t="s">
        <v>1252</v>
      </c>
      <c r="P29" s="24"/>
      <c r="Q29" s="24" t="s">
        <v>991</v>
      </c>
      <c r="R29" s="24" t="s">
        <v>1105</v>
      </c>
      <c r="S29" s="24" t="s">
        <v>1242</v>
      </c>
      <c r="T29" s="24" t="s">
        <v>1102</v>
      </c>
      <c r="U29" s="24">
        <v>300</v>
      </c>
      <c r="V29" s="24">
        <v>80</v>
      </c>
      <c r="W29" s="24"/>
      <c r="X29" s="24">
        <v>380</v>
      </c>
      <c r="Y29" s="24">
        <v>300</v>
      </c>
      <c r="Z29" s="24">
        <v>174</v>
      </c>
      <c r="AA29" s="24">
        <v>284</v>
      </c>
      <c r="AB29" s="24">
        <v>273</v>
      </c>
      <c r="AC29" s="24">
        <v>241</v>
      </c>
      <c r="AD29" s="24">
        <v>279</v>
      </c>
      <c r="AE29" s="24">
        <v>165</v>
      </c>
      <c r="AF29" s="24">
        <v>111</v>
      </c>
      <c r="AG29" s="24">
        <v>200</v>
      </c>
      <c r="AH29" s="24">
        <v>178</v>
      </c>
      <c r="AI29" s="24">
        <v>178</v>
      </c>
      <c r="AJ29" s="24">
        <v>254</v>
      </c>
      <c r="AK29" s="24"/>
      <c r="AL29" s="24">
        <v>80</v>
      </c>
      <c r="AM29" s="24">
        <v>98</v>
      </c>
      <c r="AN29" s="24">
        <v>116</v>
      </c>
      <c r="AO29" s="24">
        <v>133</v>
      </c>
      <c r="AP29" s="24">
        <v>151</v>
      </c>
      <c r="AQ29" s="24">
        <v>122</v>
      </c>
      <c r="AR29" s="24">
        <v>69</v>
      </c>
      <c r="AS29" s="24">
        <v>33</v>
      </c>
      <c r="AT29" s="24">
        <v>84</v>
      </c>
      <c r="AU29" s="24">
        <v>87</v>
      </c>
      <c r="AV29" s="24">
        <v>70</v>
      </c>
      <c r="AW29" s="24">
        <v>65</v>
      </c>
      <c r="AX29" s="24"/>
      <c r="AY29" s="24"/>
      <c r="AZ29" s="24"/>
      <c r="BA29" s="24">
        <v>10</v>
      </c>
      <c r="BB29" s="24"/>
      <c r="BC29" s="24">
        <v>0</v>
      </c>
      <c r="BD29" s="24">
        <v>0</v>
      </c>
      <c r="BE29" s="24">
        <v>0</v>
      </c>
      <c r="BF29" s="24">
        <v>0</v>
      </c>
      <c r="BG29" s="24">
        <v>0</v>
      </c>
      <c r="BH29" s="24">
        <v>0</v>
      </c>
      <c r="BI29" s="24"/>
      <c r="BJ29" s="24"/>
      <c r="BK29" s="24"/>
      <c r="BL29" s="24"/>
      <c r="BM29" s="24"/>
      <c r="BN29" s="24"/>
      <c r="BO29" s="24"/>
      <c r="BP29" s="24"/>
      <c r="BQ29" s="24"/>
    </row>
    <row r="30" spans="1:69">
      <c r="A30" s="24">
        <v>933</v>
      </c>
      <c r="B30" s="24" t="s">
        <v>980</v>
      </c>
      <c r="C30" s="24" t="s">
        <v>1101</v>
      </c>
      <c r="D30" s="24" t="s">
        <v>1232</v>
      </c>
      <c r="E30" s="24" t="s">
        <v>1233</v>
      </c>
      <c r="F30" s="24" t="s">
        <v>1234</v>
      </c>
      <c r="G30" s="24" t="s">
        <v>1253</v>
      </c>
      <c r="H30" s="24" t="s">
        <v>1254</v>
      </c>
      <c r="I30" s="24" t="s">
        <v>1237</v>
      </c>
      <c r="J30" s="24" t="s">
        <v>1255</v>
      </c>
      <c r="K30" s="24" t="s">
        <v>1102</v>
      </c>
      <c r="L30" s="24" t="s">
        <v>1256</v>
      </c>
      <c r="M30" s="24" t="s">
        <v>1257</v>
      </c>
      <c r="N30" s="24" t="s">
        <v>1102</v>
      </c>
      <c r="O30" s="24" t="s">
        <v>1258</v>
      </c>
      <c r="P30" s="24"/>
      <c r="Q30" s="24" t="s">
        <v>991</v>
      </c>
      <c r="R30" s="24" t="s">
        <v>1105</v>
      </c>
      <c r="S30" s="24" t="s">
        <v>1242</v>
      </c>
      <c r="T30" s="24" t="s">
        <v>1102</v>
      </c>
      <c r="U30" s="24">
        <v>50</v>
      </c>
      <c r="V30" s="24">
        <v>25</v>
      </c>
      <c r="W30" s="24"/>
      <c r="X30" s="24">
        <v>75</v>
      </c>
      <c r="Y30" s="24">
        <v>50</v>
      </c>
      <c r="Z30" s="24">
        <v>16</v>
      </c>
      <c r="AA30" s="24"/>
      <c r="AB30" s="24">
        <v>40</v>
      </c>
      <c r="AC30" s="24">
        <v>34</v>
      </c>
      <c r="AD30" s="24">
        <v>46</v>
      </c>
      <c r="AE30" s="24">
        <v>28</v>
      </c>
      <c r="AF30" s="24">
        <v>52</v>
      </c>
      <c r="AG30" s="24">
        <v>22</v>
      </c>
      <c r="AH30" s="24">
        <v>14</v>
      </c>
      <c r="AI30" s="24">
        <v>25</v>
      </c>
      <c r="AJ30" s="24">
        <v>0</v>
      </c>
      <c r="AK30" s="24"/>
      <c r="AL30" s="24">
        <v>25</v>
      </c>
      <c r="AM30" s="24">
        <v>3</v>
      </c>
      <c r="AN30" s="24">
        <v>15</v>
      </c>
      <c r="AO30" s="24">
        <v>42</v>
      </c>
      <c r="AP30" s="24">
        <v>5</v>
      </c>
      <c r="AQ30" s="24">
        <v>18</v>
      </c>
      <c r="AR30" s="24">
        <v>14</v>
      </c>
      <c r="AS30" s="24">
        <v>7</v>
      </c>
      <c r="AT30" s="24">
        <v>8</v>
      </c>
      <c r="AU30" s="24">
        <v>25</v>
      </c>
      <c r="AV30" s="24">
        <v>14</v>
      </c>
      <c r="AW30" s="24"/>
      <c r="AX30" s="24"/>
      <c r="AY30" s="24"/>
      <c r="AZ30" s="24"/>
      <c r="BA30" s="24">
        <v>20</v>
      </c>
      <c r="BB30" s="24"/>
      <c r="BC30" s="24">
        <v>0</v>
      </c>
      <c r="BD30" s="24">
        <v>0</v>
      </c>
      <c r="BE30" s="24">
        <v>0</v>
      </c>
      <c r="BF30" s="24">
        <v>0</v>
      </c>
      <c r="BG30" s="24">
        <v>5</v>
      </c>
      <c r="BH30" s="24">
        <v>0</v>
      </c>
      <c r="BI30" s="24"/>
      <c r="BJ30" s="24"/>
      <c r="BK30" s="24"/>
      <c r="BL30" s="24"/>
      <c r="BM30" s="24"/>
      <c r="BN30" s="24"/>
      <c r="BO30" s="24"/>
      <c r="BP30" s="24"/>
      <c r="BQ30" s="24"/>
    </row>
    <row r="31" spans="1:69">
      <c r="A31" s="24">
        <v>934</v>
      </c>
      <c r="B31" s="24" t="s">
        <v>980</v>
      </c>
      <c r="C31" s="24" t="s">
        <v>1101</v>
      </c>
      <c r="D31" s="24" t="s">
        <v>1232</v>
      </c>
      <c r="E31" s="24" t="s">
        <v>1233</v>
      </c>
      <c r="F31" s="24" t="s">
        <v>1234</v>
      </c>
      <c r="G31" s="24"/>
      <c r="H31" s="24" t="s">
        <v>1259</v>
      </c>
      <c r="I31" s="24" t="s">
        <v>1260</v>
      </c>
      <c r="J31" s="24" t="s">
        <v>1261</v>
      </c>
      <c r="K31" s="24"/>
      <c r="L31" s="24" t="s">
        <v>1262</v>
      </c>
      <c r="M31" s="24" t="s">
        <v>1263</v>
      </c>
      <c r="N31" s="24" t="s">
        <v>1264</v>
      </c>
      <c r="O31" s="24" t="s">
        <v>1265</v>
      </c>
      <c r="P31" s="24">
        <v>411037</v>
      </c>
      <c r="Q31" s="24" t="s">
        <v>1266</v>
      </c>
      <c r="R31" s="24" t="s">
        <v>1105</v>
      </c>
      <c r="S31" s="24" t="s">
        <v>1267</v>
      </c>
      <c r="T31" s="24"/>
      <c r="U31" s="24"/>
      <c r="V31" s="24"/>
      <c r="W31" s="24"/>
      <c r="X31" s="24"/>
      <c r="Y31" s="24">
        <v>0</v>
      </c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>
        <v>0</v>
      </c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</row>
    <row r="32" spans="1:69">
      <c r="A32" s="24">
        <v>935</v>
      </c>
      <c r="B32" s="24" t="s">
        <v>980</v>
      </c>
      <c r="C32" s="24" t="s">
        <v>1101</v>
      </c>
      <c r="D32" s="24" t="s">
        <v>1232</v>
      </c>
      <c r="E32" s="24" t="s">
        <v>1233</v>
      </c>
      <c r="F32" s="24" t="s">
        <v>1234</v>
      </c>
      <c r="G32" s="24" t="s">
        <v>1268</v>
      </c>
      <c r="H32" s="24" t="s">
        <v>1269</v>
      </c>
      <c r="I32" s="24" t="s">
        <v>1237</v>
      </c>
      <c r="J32" s="24" t="s">
        <v>1270</v>
      </c>
      <c r="K32" s="24" t="s">
        <v>1102</v>
      </c>
      <c r="L32" s="24" t="s">
        <v>1271</v>
      </c>
      <c r="M32" s="24" t="s">
        <v>1272</v>
      </c>
      <c r="N32" s="24">
        <v>9822780149</v>
      </c>
      <c r="O32" s="24" t="s">
        <v>1273</v>
      </c>
      <c r="P32" s="24">
        <v>411039</v>
      </c>
      <c r="Q32" s="24" t="s">
        <v>1274</v>
      </c>
      <c r="R32" s="24" t="s">
        <v>1105</v>
      </c>
      <c r="S32" s="24" t="s">
        <v>1242</v>
      </c>
      <c r="T32" s="24" t="s">
        <v>1102</v>
      </c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>
        <v>0</v>
      </c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</row>
    <row r="33" spans="1:69">
      <c r="A33" s="24">
        <v>936</v>
      </c>
      <c r="B33" s="24" t="s">
        <v>980</v>
      </c>
      <c r="C33" s="24" t="s">
        <v>1101</v>
      </c>
      <c r="D33" s="24" t="s">
        <v>1232</v>
      </c>
      <c r="E33" s="24" t="s">
        <v>1233</v>
      </c>
      <c r="F33" s="24" t="s">
        <v>1234</v>
      </c>
      <c r="G33" s="24" t="s">
        <v>1275</v>
      </c>
      <c r="H33" s="24" t="s">
        <v>1276</v>
      </c>
      <c r="I33" s="24" t="s">
        <v>1234</v>
      </c>
      <c r="J33" s="24" t="s">
        <v>1277</v>
      </c>
      <c r="K33" s="24">
        <v>30</v>
      </c>
      <c r="L33" s="24" t="s">
        <v>1278</v>
      </c>
      <c r="M33" s="24" t="s">
        <v>1279</v>
      </c>
      <c r="N33" s="24" t="s">
        <v>1280</v>
      </c>
      <c r="O33" s="24" t="s">
        <v>1281</v>
      </c>
      <c r="P33" s="24">
        <v>411033</v>
      </c>
      <c r="Q33" s="24" t="s">
        <v>1282</v>
      </c>
      <c r="R33" s="24" t="s">
        <v>1105</v>
      </c>
      <c r="S33" s="24" t="s">
        <v>1101</v>
      </c>
      <c r="T33" s="24"/>
      <c r="U33" s="24"/>
      <c r="V33" s="24"/>
      <c r="W33" s="24"/>
      <c r="X33" s="24"/>
      <c r="Y33" s="24">
        <v>0</v>
      </c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>
        <v>0</v>
      </c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</row>
    <row r="34" spans="1:69">
      <c r="A34" s="24">
        <v>937</v>
      </c>
      <c r="B34" s="24" t="s">
        <v>980</v>
      </c>
      <c r="C34" s="24" t="s">
        <v>1101</v>
      </c>
      <c r="D34" s="24" t="s">
        <v>1232</v>
      </c>
      <c r="E34" s="24" t="s">
        <v>1233</v>
      </c>
      <c r="F34" s="24" t="s">
        <v>1234</v>
      </c>
      <c r="G34" s="24" t="s">
        <v>1283</v>
      </c>
      <c r="H34" s="24" t="s">
        <v>1284</v>
      </c>
      <c r="I34" s="24" t="s">
        <v>1237</v>
      </c>
      <c r="J34" s="24" t="s">
        <v>1255</v>
      </c>
      <c r="K34" s="24" t="s">
        <v>1102</v>
      </c>
      <c r="L34" s="24" t="s">
        <v>1109</v>
      </c>
      <c r="M34" s="24" t="s">
        <v>1285</v>
      </c>
      <c r="N34" s="24" t="s">
        <v>1102</v>
      </c>
      <c r="O34" s="24" t="s">
        <v>1286</v>
      </c>
      <c r="P34" s="24"/>
      <c r="Q34" s="24" t="s">
        <v>991</v>
      </c>
      <c r="R34" s="24" t="s">
        <v>1105</v>
      </c>
      <c r="S34" s="24" t="s">
        <v>1242</v>
      </c>
      <c r="T34" s="24" t="s">
        <v>1102</v>
      </c>
      <c r="U34" s="24"/>
      <c r="V34" s="24"/>
      <c r="W34" s="24"/>
      <c r="X34" s="24"/>
      <c r="Y34" s="24"/>
      <c r="Z34" s="24"/>
      <c r="AA34" s="24"/>
      <c r="AB34" s="24"/>
      <c r="AC34" s="24"/>
      <c r="AD34" s="24">
        <v>10</v>
      </c>
      <c r="AE34" s="24"/>
      <c r="AF34" s="24">
        <v>7</v>
      </c>
      <c r="AG34" s="24">
        <v>13</v>
      </c>
      <c r="AH34" s="24">
        <v>7</v>
      </c>
      <c r="AI34" s="24"/>
      <c r="AJ34" s="24">
        <v>0</v>
      </c>
      <c r="AK34" s="24"/>
      <c r="AL34" s="24"/>
      <c r="AM34" s="24"/>
      <c r="AN34" s="24"/>
      <c r="AO34" s="24"/>
      <c r="AP34" s="24"/>
      <c r="AQ34" s="24">
        <v>13</v>
      </c>
      <c r="AR34" s="24"/>
      <c r="AS34" s="24"/>
      <c r="AT34" s="24"/>
      <c r="AU34" s="24">
        <v>12</v>
      </c>
      <c r="AV34" s="24"/>
      <c r="AW34" s="24"/>
      <c r="AX34" s="24"/>
      <c r="AY34" s="24"/>
      <c r="AZ34" s="24"/>
      <c r="BA34" s="24"/>
      <c r="BB34" s="24"/>
      <c r="BC34" s="24">
        <v>0</v>
      </c>
      <c r="BD34" s="24">
        <v>0</v>
      </c>
      <c r="BE34" s="24">
        <v>0</v>
      </c>
      <c r="BF34" s="24">
        <v>0</v>
      </c>
      <c r="BG34" s="24">
        <v>0</v>
      </c>
      <c r="BH34" s="24">
        <v>15</v>
      </c>
      <c r="BI34" s="24"/>
      <c r="BJ34" s="24"/>
      <c r="BK34" s="24"/>
      <c r="BL34" s="24"/>
      <c r="BM34" s="24"/>
      <c r="BN34" s="24"/>
      <c r="BO34" s="24"/>
      <c r="BP34" s="24"/>
      <c r="BQ34" s="24"/>
    </row>
    <row r="35" spans="1:69">
      <c r="A35" s="24">
        <v>938</v>
      </c>
      <c r="B35" s="24" t="s">
        <v>980</v>
      </c>
      <c r="C35" s="24" t="s">
        <v>1101</v>
      </c>
      <c r="D35" s="24" t="s">
        <v>1232</v>
      </c>
      <c r="E35" s="24" t="s">
        <v>1233</v>
      </c>
      <c r="F35" s="24" t="s">
        <v>1234</v>
      </c>
      <c r="G35" s="24" t="s">
        <v>1287</v>
      </c>
      <c r="H35" s="24" t="s">
        <v>1288</v>
      </c>
      <c r="I35" s="24" t="s">
        <v>1237</v>
      </c>
      <c r="J35" s="24" t="s">
        <v>1289</v>
      </c>
      <c r="K35" s="24" t="s">
        <v>1102</v>
      </c>
      <c r="L35" s="24" t="s">
        <v>1290</v>
      </c>
      <c r="M35" s="24" t="s">
        <v>1291</v>
      </c>
      <c r="N35" s="24" t="s">
        <v>1102</v>
      </c>
      <c r="O35" s="24" t="s">
        <v>1292</v>
      </c>
      <c r="P35" s="24"/>
      <c r="Q35" s="24" t="s">
        <v>991</v>
      </c>
      <c r="R35" s="24" t="s">
        <v>1105</v>
      </c>
      <c r="S35" s="24" t="s">
        <v>1242</v>
      </c>
      <c r="T35" s="24" t="s">
        <v>1102</v>
      </c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>
        <v>0</v>
      </c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</row>
    <row r="36" spans="1:69">
      <c r="A36" s="24">
        <v>939</v>
      </c>
      <c r="B36" s="24" t="s">
        <v>980</v>
      </c>
      <c r="C36" s="24" t="s">
        <v>1101</v>
      </c>
      <c r="D36" s="24" t="s">
        <v>1232</v>
      </c>
      <c r="E36" s="24" t="s">
        <v>1233</v>
      </c>
      <c r="F36" s="24" t="s">
        <v>1234</v>
      </c>
      <c r="G36" s="24" t="s">
        <v>1293</v>
      </c>
      <c r="H36" s="24" t="s">
        <v>1294</v>
      </c>
      <c r="I36" s="24" t="s">
        <v>1237</v>
      </c>
      <c r="J36" s="24" t="s">
        <v>1102</v>
      </c>
      <c r="K36" s="24" t="s">
        <v>1102</v>
      </c>
      <c r="L36" s="24" t="s">
        <v>1102</v>
      </c>
      <c r="M36" s="24" t="s">
        <v>1102</v>
      </c>
      <c r="N36" s="24" t="s">
        <v>1102</v>
      </c>
      <c r="O36" s="24" t="s">
        <v>1102</v>
      </c>
      <c r="P36" s="24"/>
      <c r="Q36" s="24" t="s">
        <v>1102</v>
      </c>
      <c r="R36" s="24" t="s">
        <v>1105</v>
      </c>
      <c r="S36" s="24" t="s">
        <v>1101</v>
      </c>
      <c r="T36" s="24" t="s">
        <v>1102</v>
      </c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>
        <v>0</v>
      </c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</row>
    <row r="37" spans="1:69">
      <c r="A37" s="24">
        <v>940</v>
      </c>
      <c r="B37" s="24" t="s">
        <v>980</v>
      </c>
      <c r="C37" s="24" t="s">
        <v>1101</v>
      </c>
      <c r="D37" s="24" t="s">
        <v>1232</v>
      </c>
      <c r="E37" s="24" t="s">
        <v>1233</v>
      </c>
      <c r="F37" s="24" t="s">
        <v>1234</v>
      </c>
      <c r="G37" s="24" t="s">
        <v>1295</v>
      </c>
      <c r="H37" s="24" t="s">
        <v>1296</v>
      </c>
      <c r="I37" s="24" t="s">
        <v>1237</v>
      </c>
      <c r="J37" s="24" t="s">
        <v>1297</v>
      </c>
      <c r="K37" s="24" t="s">
        <v>1102</v>
      </c>
      <c r="L37" s="24" t="s">
        <v>1298</v>
      </c>
      <c r="M37" s="24" t="s">
        <v>1299</v>
      </c>
      <c r="N37" s="24" t="s">
        <v>1102</v>
      </c>
      <c r="O37" s="24" t="s">
        <v>1297</v>
      </c>
      <c r="P37" s="24"/>
      <c r="Q37" s="24" t="s">
        <v>991</v>
      </c>
      <c r="R37" s="24" t="s">
        <v>1105</v>
      </c>
      <c r="S37" s="24" t="s">
        <v>1242</v>
      </c>
      <c r="T37" s="24" t="s">
        <v>1102</v>
      </c>
      <c r="U37" s="24"/>
      <c r="V37" s="24"/>
      <c r="W37" s="24"/>
      <c r="X37" s="24"/>
      <c r="Y37" s="24"/>
      <c r="Z37" s="24"/>
      <c r="AA37" s="24">
        <v>1150</v>
      </c>
      <c r="AB37" s="24">
        <v>160</v>
      </c>
      <c r="AC37" s="24"/>
      <c r="AD37" s="24">
        <v>534</v>
      </c>
      <c r="AE37" s="24">
        <v>50</v>
      </c>
      <c r="AF37" s="24"/>
      <c r="AG37" s="24">
        <v>540</v>
      </c>
      <c r="AH37" s="24">
        <v>65</v>
      </c>
      <c r="AI37" s="24">
        <v>201</v>
      </c>
      <c r="AJ37" s="24">
        <v>0</v>
      </c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</row>
    <row r="38" spans="1:69">
      <c r="A38" s="24">
        <v>941</v>
      </c>
      <c r="B38" s="24" t="s">
        <v>980</v>
      </c>
      <c r="C38" s="24" t="s">
        <v>1101</v>
      </c>
      <c r="D38" s="24" t="s">
        <v>1232</v>
      </c>
      <c r="E38" s="24" t="s">
        <v>1233</v>
      </c>
      <c r="F38" s="24" t="s">
        <v>1234</v>
      </c>
      <c r="G38" s="24" t="s">
        <v>1300</v>
      </c>
      <c r="H38" s="24" t="s">
        <v>1301</v>
      </c>
      <c r="I38" s="24" t="s">
        <v>1237</v>
      </c>
      <c r="J38" s="24" t="s">
        <v>1102</v>
      </c>
      <c r="K38" s="24" t="s">
        <v>1102</v>
      </c>
      <c r="L38" s="24" t="s">
        <v>1102</v>
      </c>
      <c r="M38" s="24" t="s">
        <v>1102</v>
      </c>
      <c r="N38" s="24" t="s">
        <v>1102</v>
      </c>
      <c r="O38" s="24" t="s">
        <v>1102</v>
      </c>
      <c r="P38" s="24"/>
      <c r="Q38" s="24" t="s">
        <v>1102</v>
      </c>
      <c r="R38" s="24" t="s">
        <v>1105</v>
      </c>
      <c r="S38" s="24" t="s">
        <v>1101</v>
      </c>
      <c r="T38" s="24" t="s">
        <v>1102</v>
      </c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>
        <v>0</v>
      </c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</row>
    <row r="39" spans="1:69">
      <c r="A39" s="24">
        <v>942</v>
      </c>
      <c r="B39" s="24" t="s">
        <v>980</v>
      </c>
      <c r="C39" s="24" t="s">
        <v>1101</v>
      </c>
      <c r="D39" s="24" t="s">
        <v>1232</v>
      </c>
      <c r="E39" s="24" t="s">
        <v>1233</v>
      </c>
      <c r="F39" s="24" t="s">
        <v>1234</v>
      </c>
      <c r="G39" s="24" t="s">
        <v>1302</v>
      </c>
      <c r="H39" s="24" t="s">
        <v>1303</v>
      </c>
      <c r="I39" s="24" t="s">
        <v>1237</v>
      </c>
      <c r="J39" s="24" t="s">
        <v>1102</v>
      </c>
      <c r="K39" s="24" t="s">
        <v>1102</v>
      </c>
      <c r="L39" s="24" t="s">
        <v>1102</v>
      </c>
      <c r="M39" s="24" t="s">
        <v>1102</v>
      </c>
      <c r="N39" s="24" t="s">
        <v>1102</v>
      </c>
      <c r="O39" s="24" t="s">
        <v>1102</v>
      </c>
      <c r="P39" s="24"/>
      <c r="Q39" s="24" t="s">
        <v>1102</v>
      </c>
      <c r="R39" s="24" t="s">
        <v>1105</v>
      </c>
      <c r="S39" s="24" t="s">
        <v>1101</v>
      </c>
      <c r="T39" s="24" t="s">
        <v>1102</v>
      </c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>
        <v>0</v>
      </c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</row>
    <row r="40" spans="1:69">
      <c r="A40" s="24">
        <v>943</v>
      </c>
      <c r="B40" s="24" t="s">
        <v>980</v>
      </c>
      <c r="C40" s="24" t="s">
        <v>1101</v>
      </c>
      <c r="D40" s="24" t="s">
        <v>1232</v>
      </c>
      <c r="E40" s="24" t="s">
        <v>1233</v>
      </c>
      <c r="F40" s="24" t="s">
        <v>1234</v>
      </c>
      <c r="G40" s="24" t="s">
        <v>1304</v>
      </c>
      <c r="H40" s="24" t="s">
        <v>1305</v>
      </c>
      <c r="I40" s="24" t="s">
        <v>1237</v>
      </c>
      <c r="J40" s="24" t="s">
        <v>1102</v>
      </c>
      <c r="K40" s="24" t="s">
        <v>1102</v>
      </c>
      <c r="L40" s="24" t="s">
        <v>1102</v>
      </c>
      <c r="M40" s="24" t="s">
        <v>1102</v>
      </c>
      <c r="N40" s="24" t="s">
        <v>1102</v>
      </c>
      <c r="O40" s="24" t="s">
        <v>1102</v>
      </c>
      <c r="P40" s="24"/>
      <c r="Q40" s="24" t="s">
        <v>1102</v>
      </c>
      <c r="R40" s="24" t="s">
        <v>1105</v>
      </c>
      <c r="S40" s="24" t="s">
        <v>1101</v>
      </c>
      <c r="T40" s="24" t="s">
        <v>1102</v>
      </c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>
        <v>0</v>
      </c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</row>
    <row r="41" spans="1:69">
      <c r="A41" s="24">
        <v>944</v>
      </c>
      <c r="B41" s="24" t="s">
        <v>980</v>
      </c>
      <c r="C41" s="24" t="s">
        <v>1306</v>
      </c>
      <c r="D41" s="24" t="s">
        <v>1307</v>
      </c>
      <c r="E41" s="24" t="s">
        <v>1155</v>
      </c>
      <c r="F41" s="24" t="s">
        <v>1308</v>
      </c>
      <c r="G41" s="24" t="s">
        <v>1102</v>
      </c>
      <c r="H41" s="24" t="s">
        <v>1309</v>
      </c>
      <c r="I41" s="24" t="s">
        <v>1310</v>
      </c>
      <c r="J41" s="24" t="s">
        <v>1311</v>
      </c>
      <c r="K41" s="24">
        <v>115</v>
      </c>
      <c r="L41" s="24" t="s">
        <v>1312</v>
      </c>
      <c r="M41" s="24" t="s">
        <v>1313</v>
      </c>
      <c r="N41" s="24">
        <v>9049097545</v>
      </c>
      <c r="O41" s="24" t="s">
        <v>1314</v>
      </c>
      <c r="P41" s="24">
        <v>416602</v>
      </c>
      <c r="Q41" s="24" t="s">
        <v>1315</v>
      </c>
      <c r="R41" s="24" t="s">
        <v>1105</v>
      </c>
      <c r="S41" s="24" t="s">
        <v>1101</v>
      </c>
      <c r="T41" s="24" t="s">
        <v>1102</v>
      </c>
      <c r="U41" s="24">
        <v>173</v>
      </c>
      <c r="V41" s="24">
        <v>45</v>
      </c>
      <c r="W41" s="24"/>
      <c r="X41" s="24">
        <v>445</v>
      </c>
      <c r="Y41" s="24">
        <v>173</v>
      </c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>
        <v>0</v>
      </c>
      <c r="AK41" s="24"/>
      <c r="AL41" s="24">
        <v>45</v>
      </c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>
        <v>0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>
        <v>0</v>
      </c>
      <c r="BK41" s="24"/>
      <c r="BL41" s="24"/>
      <c r="BM41" s="24"/>
      <c r="BN41" s="24"/>
      <c r="BO41" s="24"/>
      <c r="BP41" s="24"/>
      <c r="BQ41" s="24"/>
    </row>
    <row r="42" spans="1:69">
      <c r="A42" s="24">
        <v>945</v>
      </c>
      <c r="B42" s="24" t="s">
        <v>980</v>
      </c>
      <c r="C42" s="24" t="s">
        <v>1306</v>
      </c>
      <c r="D42" s="24" t="s">
        <v>1307</v>
      </c>
      <c r="E42" s="24" t="s">
        <v>1155</v>
      </c>
      <c r="F42" s="24" t="s">
        <v>1308</v>
      </c>
      <c r="G42" s="24" t="s">
        <v>1316</v>
      </c>
      <c r="H42" s="24" t="s">
        <v>1317</v>
      </c>
      <c r="I42" s="24" t="s">
        <v>1318</v>
      </c>
      <c r="J42" s="24" t="s">
        <v>1319</v>
      </c>
      <c r="K42" s="24">
        <v>12</v>
      </c>
      <c r="L42" s="24" t="s">
        <v>1320</v>
      </c>
      <c r="M42" s="24" t="s">
        <v>1321</v>
      </c>
      <c r="N42" s="24">
        <v>9730509494</v>
      </c>
      <c r="O42" s="24" t="s">
        <v>1322</v>
      </c>
      <c r="P42" s="24">
        <v>415611</v>
      </c>
      <c r="Q42" s="24" t="s">
        <v>1323</v>
      </c>
      <c r="R42" s="24" t="s">
        <v>1105</v>
      </c>
      <c r="S42" s="24" t="s">
        <v>1101</v>
      </c>
      <c r="T42" s="24" t="s">
        <v>1102</v>
      </c>
      <c r="U42" s="24">
        <v>1100</v>
      </c>
      <c r="V42" s="24">
        <v>35</v>
      </c>
      <c r="W42" s="24"/>
      <c r="X42" s="24">
        <v>1035</v>
      </c>
      <c r="Y42" s="24">
        <v>1100</v>
      </c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>
        <v>444</v>
      </c>
      <c r="AK42" s="24"/>
      <c r="AL42" s="24">
        <v>35</v>
      </c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>
        <v>9</v>
      </c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>
        <v>0</v>
      </c>
      <c r="BK42" s="24"/>
      <c r="BL42" s="24"/>
      <c r="BM42" s="24"/>
      <c r="BN42" s="24"/>
      <c r="BO42" s="24"/>
      <c r="BP42" s="24"/>
      <c r="BQ42" s="24"/>
    </row>
    <row r="43" spans="1:69">
      <c r="A43" s="24">
        <v>946</v>
      </c>
      <c r="B43" s="24" t="s">
        <v>980</v>
      </c>
      <c r="C43" s="24" t="s">
        <v>1306</v>
      </c>
      <c r="D43" s="24" t="s">
        <v>1307</v>
      </c>
      <c r="E43" s="24" t="s">
        <v>1155</v>
      </c>
      <c r="F43" s="24" t="s">
        <v>1308</v>
      </c>
      <c r="G43" s="24" t="s">
        <v>1324</v>
      </c>
      <c r="H43" s="24" t="s">
        <v>1325</v>
      </c>
      <c r="I43" s="24" t="s">
        <v>1310</v>
      </c>
      <c r="J43" s="24" t="s">
        <v>1326</v>
      </c>
      <c r="K43" s="24">
        <v>115</v>
      </c>
      <c r="L43" s="24" t="s">
        <v>1102</v>
      </c>
      <c r="M43" s="24" t="s">
        <v>1327</v>
      </c>
      <c r="N43" s="24">
        <v>9689541618</v>
      </c>
      <c r="O43" s="24" t="s">
        <v>1328</v>
      </c>
      <c r="P43" s="24">
        <v>416602</v>
      </c>
      <c r="Q43" s="24" t="s">
        <v>1329</v>
      </c>
      <c r="R43" s="24" t="s">
        <v>1105</v>
      </c>
      <c r="S43" s="24" t="s">
        <v>1101</v>
      </c>
      <c r="T43" s="24" t="s">
        <v>1102</v>
      </c>
      <c r="U43" s="24">
        <v>640</v>
      </c>
      <c r="V43" s="24">
        <v>70</v>
      </c>
      <c r="W43" s="24"/>
      <c r="X43" s="24">
        <v>1170</v>
      </c>
      <c r="Y43" s="24">
        <v>640</v>
      </c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>
        <v>555</v>
      </c>
      <c r="AK43" s="24"/>
      <c r="AL43" s="24">
        <v>70</v>
      </c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>
        <v>15</v>
      </c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>
        <v>100</v>
      </c>
      <c r="BK43" s="24"/>
      <c r="BL43" s="24"/>
      <c r="BM43" s="24"/>
      <c r="BN43" s="24"/>
      <c r="BO43" s="24"/>
      <c r="BP43" s="24"/>
      <c r="BQ43" s="24"/>
    </row>
    <row r="44" spans="1:69">
      <c r="A44" s="24">
        <v>947</v>
      </c>
      <c r="B44" s="24" t="s">
        <v>980</v>
      </c>
      <c r="C44" s="24" t="s">
        <v>1101</v>
      </c>
      <c r="D44" s="24" t="s">
        <v>1330</v>
      </c>
      <c r="E44" s="24" t="s">
        <v>1331</v>
      </c>
      <c r="F44" s="24" t="s">
        <v>1332</v>
      </c>
      <c r="G44" s="24" t="s">
        <v>1102</v>
      </c>
      <c r="H44" s="24" t="s">
        <v>1333</v>
      </c>
      <c r="I44" s="24" t="s">
        <v>1334</v>
      </c>
      <c r="J44" s="24" t="s">
        <v>1335</v>
      </c>
      <c r="K44" s="24" t="s">
        <v>1102</v>
      </c>
      <c r="L44" s="24" t="s">
        <v>1336</v>
      </c>
      <c r="M44" s="24" t="s">
        <v>1337</v>
      </c>
      <c r="N44" s="24">
        <v>9923273838</v>
      </c>
      <c r="O44" s="24" t="s">
        <v>1338</v>
      </c>
      <c r="P44" s="24">
        <v>416001</v>
      </c>
      <c r="Q44" s="24" t="s">
        <v>1339</v>
      </c>
      <c r="R44" s="24" t="s">
        <v>1100</v>
      </c>
      <c r="S44" s="24" t="s">
        <v>1101</v>
      </c>
      <c r="T44" s="24" t="s">
        <v>1102</v>
      </c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>
        <v>0</v>
      </c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>
        <v>0</v>
      </c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</row>
    <row r="45" spans="1:69">
      <c r="A45" s="24">
        <v>948</v>
      </c>
      <c r="B45" s="24" t="s">
        <v>980</v>
      </c>
      <c r="C45" s="24" t="s">
        <v>1101</v>
      </c>
      <c r="D45" s="24" t="s">
        <v>1330</v>
      </c>
      <c r="E45" s="24" t="s">
        <v>1331</v>
      </c>
      <c r="F45" s="24" t="s">
        <v>1332</v>
      </c>
      <c r="G45" s="24" t="s">
        <v>1340</v>
      </c>
      <c r="H45" s="24" t="s">
        <v>1341</v>
      </c>
      <c r="I45" s="24" t="s">
        <v>1342</v>
      </c>
      <c r="J45" s="24" t="s">
        <v>1343</v>
      </c>
      <c r="K45" s="24">
        <v>18</v>
      </c>
      <c r="L45" s="24" t="s">
        <v>1344</v>
      </c>
      <c r="M45" s="24" t="s">
        <v>1345</v>
      </c>
      <c r="N45" s="24">
        <v>9922816996</v>
      </c>
      <c r="O45" s="24" t="s">
        <v>1346</v>
      </c>
      <c r="P45" s="24">
        <v>416112</v>
      </c>
      <c r="Q45" s="24" t="s">
        <v>1102</v>
      </c>
      <c r="R45" s="24" t="s">
        <v>1100</v>
      </c>
      <c r="S45" s="24" t="s">
        <v>1101</v>
      </c>
      <c r="T45" s="24" t="s">
        <v>1102</v>
      </c>
      <c r="U45" s="24">
        <v>233</v>
      </c>
      <c r="V45" s="24">
        <v>5</v>
      </c>
      <c r="W45" s="24"/>
      <c r="X45" s="24">
        <v>205</v>
      </c>
      <c r="Y45" s="24">
        <v>233</v>
      </c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>
        <v>103</v>
      </c>
      <c r="AK45" s="24"/>
      <c r="AL45" s="24">
        <v>5</v>
      </c>
      <c r="AM45" s="24"/>
      <c r="AN45" s="24"/>
      <c r="AO45" s="24"/>
      <c r="AP45" s="24"/>
      <c r="AQ45" s="24"/>
      <c r="AR45" s="24"/>
      <c r="AS45" s="24"/>
      <c r="AT45" s="24"/>
      <c r="AU45" s="24"/>
      <c r="AV45" s="24">
        <v>2</v>
      </c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</row>
    <row r="46" spans="1:69">
      <c r="A46" s="24">
        <v>949</v>
      </c>
      <c r="B46" s="24" t="s">
        <v>980</v>
      </c>
      <c r="C46" s="24" t="s">
        <v>1101</v>
      </c>
      <c r="D46" s="24" t="s">
        <v>1330</v>
      </c>
      <c r="E46" s="24" t="s">
        <v>1331</v>
      </c>
      <c r="F46" s="24" t="s">
        <v>1332</v>
      </c>
      <c r="G46" s="24" t="s">
        <v>1347</v>
      </c>
      <c r="H46" s="24" t="s">
        <v>1348</v>
      </c>
      <c r="I46" s="24" t="s">
        <v>1102</v>
      </c>
      <c r="J46" s="24" t="s">
        <v>1102</v>
      </c>
      <c r="K46" s="24" t="s">
        <v>1102</v>
      </c>
      <c r="L46" s="24" t="s">
        <v>1102</v>
      </c>
      <c r="M46" s="24" t="s">
        <v>1102</v>
      </c>
      <c r="N46" s="24" t="s">
        <v>1102</v>
      </c>
      <c r="O46" s="24" t="s">
        <v>1102</v>
      </c>
      <c r="P46" s="24"/>
      <c r="Q46" s="24" t="s">
        <v>1102</v>
      </c>
      <c r="R46" s="24" t="s">
        <v>1105</v>
      </c>
      <c r="S46" s="24" t="s">
        <v>1101</v>
      </c>
      <c r="T46" s="24" t="s">
        <v>1102</v>
      </c>
      <c r="U46" s="24"/>
      <c r="V46" s="24"/>
      <c r="W46" s="24"/>
      <c r="X46" s="24"/>
      <c r="Y46" s="24">
        <v>0</v>
      </c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>
        <v>0</v>
      </c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>
        <v>0</v>
      </c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</row>
    <row r="47" spans="1:69">
      <c r="A47" s="24">
        <v>950</v>
      </c>
      <c r="B47" s="24" t="s">
        <v>980</v>
      </c>
      <c r="C47" s="24" t="s">
        <v>1101</v>
      </c>
      <c r="D47" s="24" t="s">
        <v>1330</v>
      </c>
      <c r="E47" s="24" t="s">
        <v>1331</v>
      </c>
      <c r="F47" s="24" t="s">
        <v>1332</v>
      </c>
      <c r="G47" s="24" t="s">
        <v>1349</v>
      </c>
      <c r="H47" s="24" t="s">
        <v>1350</v>
      </c>
      <c r="I47" s="24" t="s">
        <v>1332</v>
      </c>
      <c r="J47" s="24" t="s">
        <v>1351</v>
      </c>
      <c r="K47" s="24">
        <v>10</v>
      </c>
      <c r="L47" s="24" t="s">
        <v>991</v>
      </c>
      <c r="M47" s="24" t="s">
        <v>1352</v>
      </c>
      <c r="N47" s="24">
        <v>9370655884</v>
      </c>
      <c r="O47" s="24" t="s">
        <v>1353</v>
      </c>
      <c r="P47" s="24">
        <v>416006</v>
      </c>
      <c r="Q47" s="24" t="s">
        <v>1102</v>
      </c>
      <c r="R47" s="24" t="s">
        <v>1100</v>
      </c>
      <c r="S47" s="24" t="s">
        <v>1101</v>
      </c>
      <c r="T47" s="24" t="s">
        <v>1102</v>
      </c>
      <c r="U47" s="24">
        <v>143</v>
      </c>
      <c r="V47" s="24">
        <v>5</v>
      </c>
      <c r="W47" s="24"/>
      <c r="X47" s="24">
        <v>255</v>
      </c>
      <c r="Y47" s="24">
        <v>143</v>
      </c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>
        <v>115</v>
      </c>
      <c r="AK47" s="24"/>
      <c r="AL47" s="24">
        <v>5</v>
      </c>
      <c r="AM47" s="24"/>
      <c r="AN47" s="24"/>
      <c r="AO47" s="24"/>
      <c r="AP47" s="24"/>
      <c r="AQ47" s="24"/>
      <c r="AR47" s="24"/>
      <c r="AS47" s="24"/>
      <c r="AT47" s="24"/>
      <c r="AU47" s="24"/>
      <c r="AV47" s="24">
        <v>0</v>
      </c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</row>
    <row r="48" spans="1:69">
      <c r="A48" s="24">
        <v>951</v>
      </c>
      <c r="B48" s="24" t="s">
        <v>980</v>
      </c>
      <c r="C48" s="24" t="s">
        <v>1101</v>
      </c>
      <c r="D48" s="24" t="s">
        <v>1330</v>
      </c>
      <c r="E48" s="24" t="s">
        <v>1331</v>
      </c>
      <c r="F48" s="24" t="s">
        <v>1332</v>
      </c>
      <c r="G48" s="24" t="s">
        <v>1354</v>
      </c>
      <c r="H48" s="24" t="s">
        <v>1355</v>
      </c>
      <c r="I48" s="24" t="s">
        <v>1342</v>
      </c>
      <c r="J48" s="24" t="s">
        <v>1356</v>
      </c>
      <c r="K48" s="24">
        <v>14</v>
      </c>
      <c r="L48" s="24" t="s">
        <v>1357</v>
      </c>
      <c r="M48" s="24" t="s">
        <v>1358</v>
      </c>
      <c r="N48" s="24">
        <v>9970111870</v>
      </c>
      <c r="O48" s="24" t="s">
        <v>1359</v>
      </c>
      <c r="P48" s="24">
        <v>416010</v>
      </c>
      <c r="Q48" s="24" t="s">
        <v>1102</v>
      </c>
      <c r="R48" s="24" t="s">
        <v>1100</v>
      </c>
      <c r="S48" s="24" t="s">
        <v>1101</v>
      </c>
      <c r="T48" s="24" t="s">
        <v>1102</v>
      </c>
      <c r="U48" s="24">
        <v>422</v>
      </c>
      <c r="V48" s="24">
        <v>15</v>
      </c>
      <c r="W48" s="24"/>
      <c r="X48" s="24">
        <v>615</v>
      </c>
      <c r="Y48" s="24">
        <v>422</v>
      </c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>
        <v>428</v>
      </c>
      <c r="AK48" s="24"/>
      <c r="AL48" s="24">
        <v>15</v>
      </c>
      <c r="AM48" s="24"/>
      <c r="AN48" s="24"/>
      <c r="AO48" s="24"/>
      <c r="AP48" s="24"/>
      <c r="AQ48" s="24"/>
      <c r="AR48" s="24"/>
      <c r="AS48" s="24"/>
      <c r="AT48" s="24"/>
      <c r="AU48" s="24"/>
      <c r="AV48" s="24">
        <v>8</v>
      </c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</row>
    <row r="49" spans="1:69">
      <c r="A49" s="24">
        <v>952</v>
      </c>
      <c r="B49" s="24" t="s">
        <v>980</v>
      </c>
      <c r="C49" s="24" t="s">
        <v>1101</v>
      </c>
      <c r="D49" s="24" t="s">
        <v>1330</v>
      </c>
      <c r="E49" s="24" t="s">
        <v>1331</v>
      </c>
      <c r="F49" s="24" t="s">
        <v>1332</v>
      </c>
      <c r="G49" s="24" t="s">
        <v>1360</v>
      </c>
      <c r="H49" s="24" t="s">
        <v>1361</v>
      </c>
      <c r="I49" s="24" t="s">
        <v>1342</v>
      </c>
      <c r="J49" s="24" t="s">
        <v>1356</v>
      </c>
      <c r="K49" s="24">
        <v>14</v>
      </c>
      <c r="L49" s="24" t="s">
        <v>1362</v>
      </c>
      <c r="M49" s="24" t="s">
        <v>1363</v>
      </c>
      <c r="N49" s="24">
        <v>9673303185</v>
      </c>
      <c r="O49" s="24" t="s">
        <v>1364</v>
      </c>
      <c r="P49" s="24">
        <v>416010</v>
      </c>
      <c r="Q49" s="24" t="s">
        <v>1102</v>
      </c>
      <c r="R49" s="24" t="s">
        <v>1100</v>
      </c>
      <c r="S49" s="24" t="s">
        <v>1101</v>
      </c>
      <c r="T49" s="24" t="s">
        <v>1102</v>
      </c>
      <c r="U49" s="24">
        <v>362</v>
      </c>
      <c r="V49" s="24">
        <v>10</v>
      </c>
      <c r="W49" s="24"/>
      <c r="X49" s="24">
        <v>310</v>
      </c>
      <c r="Y49" s="24">
        <v>362</v>
      </c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>
        <v>210</v>
      </c>
      <c r="AK49" s="24"/>
      <c r="AL49" s="24">
        <v>10</v>
      </c>
      <c r="AM49" s="24"/>
      <c r="AN49" s="24"/>
      <c r="AO49" s="24"/>
      <c r="AP49" s="24"/>
      <c r="AQ49" s="24"/>
      <c r="AR49" s="24"/>
      <c r="AS49" s="24"/>
      <c r="AT49" s="24"/>
      <c r="AU49" s="24"/>
      <c r="AV49" s="24">
        <v>11</v>
      </c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</row>
    <row r="50" spans="1:69">
      <c r="A50" s="24">
        <v>953</v>
      </c>
      <c r="B50" s="24" t="s">
        <v>980</v>
      </c>
      <c r="C50" s="24" t="s">
        <v>1101</v>
      </c>
      <c r="D50" s="24" t="s">
        <v>1330</v>
      </c>
      <c r="E50" s="24" t="s">
        <v>1331</v>
      </c>
      <c r="F50" s="24" t="s">
        <v>1332</v>
      </c>
      <c r="G50" s="24" t="s">
        <v>1365</v>
      </c>
      <c r="H50" s="24" t="s">
        <v>1366</v>
      </c>
      <c r="I50" s="24" t="s">
        <v>1102</v>
      </c>
      <c r="J50" s="24" t="s">
        <v>1102</v>
      </c>
      <c r="K50" s="24" t="s">
        <v>1102</v>
      </c>
      <c r="L50" s="24" t="s">
        <v>1102</v>
      </c>
      <c r="M50" s="24" t="s">
        <v>1102</v>
      </c>
      <c r="N50" s="24" t="s">
        <v>1102</v>
      </c>
      <c r="O50" s="24" t="s">
        <v>1102</v>
      </c>
      <c r="P50" s="24"/>
      <c r="Q50" s="24" t="s">
        <v>1102</v>
      </c>
      <c r="R50" s="24" t="s">
        <v>1105</v>
      </c>
      <c r="S50" s="24" t="s">
        <v>1101</v>
      </c>
      <c r="T50" s="24" t="s">
        <v>1102</v>
      </c>
      <c r="U50" s="24"/>
      <c r="V50" s="24"/>
      <c r="W50" s="24"/>
      <c r="X50" s="24"/>
      <c r="Y50" s="24">
        <v>0</v>
      </c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>
        <v>0</v>
      </c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>
        <v>0</v>
      </c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</row>
    <row r="51" spans="1:69">
      <c r="A51" s="24">
        <v>954</v>
      </c>
      <c r="B51" s="24" t="s">
        <v>980</v>
      </c>
      <c r="C51" s="24" t="s">
        <v>1101</v>
      </c>
      <c r="D51" s="24" t="s">
        <v>1330</v>
      </c>
      <c r="E51" s="24" t="s">
        <v>1331</v>
      </c>
      <c r="F51" s="24" t="s">
        <v>1332</v>
      </c>
      <c r="G51" s="24" t="s">
        <v>1367</v>
      </c>
      <c r="H51" s="24" t="s">
        <v>1368</v>
      </c>
      <c r="I51" s="24" t="s">
        <v>1342</v>
      </c>
      <c r="J51" s="24" t="s">
        <v>1369</v>
      </c>
      <c r="K51" s="24">
        <v>35</v>
      </c>
      <c r="L51" s="24" t="s">
        <v>991</v>
      </c>
      <c r="M51" s="24" t="s">
        <v>1370</v>
      </c>
      <c r="N51" s="24">
        <v>7219172222</v>
      </c>
      <c r="O51" s="24" t="s">
        <v>1371</v>
      </c>
      <c r="P51" s="24">
        <v>416101</v>
      </c>
      <c r="Q51" s="24" t="s">
        <v>1102</v>
      </c>
      <c r="R51" s="24" t="s">
        <v>1100</v>
      </c>
      <c r="S51" s="24" t="s">
        <v>1101</v>
      </c>
      <c r="T51" s="24" t="s">
        <v>1102</v>
      </c>
      <c r="U51" s="24">
        <v>181</v>
      </c>
      <c r="V51" s="24">
        <v>5</v>
      </c>
      <c r="W51" s="24"/>
      <c r="X51" s="24">
        <v>205</v>
      </c>
      <c r="Y51" s="24">
        <v>181</v>
      </c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>
        <v>101</v>
      </c>
      <c r="AK51" s="24"/>
      <c r="AL51" s="24">
        <v>5</v>
      </c>
      <c r="AM51" s="24"/>
      <c r="AN51" s="24"/>
      <c r="AO51" s="24"/>
      <c r="AP51" s="24"/>
      <c r="AQ51" s="24"/>
      <c r="AR51" s="24"/>
      <c r="AS51" s="24"/>
      <c r="AT51" s="24"/>
      <c r="AU51" s="24"/>
      <c r="AV51" s="24">
        <v>1</v>
      </c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</row>
    <row r="52" spans="1:69">
      <c r="A52" s="24">
        <v>955</v>
      </c>
      <c r="B52" s="24" t="s">
        <v>980</v>
      </c>
      <c r="C52" s="24" t="s">
        <v>1101</v>
      </c>
      <c r="D52" s="24" t="s">
        <v>1330</v>
      </c>
      <c r="E52" s="24" t="s">
        <v>1331</v>
      </c>
      <c r="F52" s="24" t="s">
        <v>1332</v>
      </c>
      <c r="G52" s="24" t="s">
        <v>1372</v>
      </c>
      <c r="H52" s="24" t="s">
        <v>1373</v>
      </c>
      <c r="I52" s="24" t="s">
        <v>1332</v>
      </c>
      <c r="J52" s="24" t="s">
        <v>1351</v>
      </c>
      <c r="K52" s="24">
        <v>11</v>
      </c>
      <c r="L52" s="24" t="s">
        <v>1374</v>
      </c>
      <c r="M52" s="24" t="s">
        <v>1375</v>
      </c>
      <c r="N52" s="24">
        <v>9860132323</v>
      </c>
      <c r="O52" s="24" t="s">
        <v>1376</v>
      </c>
      <c r="P52" s="24">
        <v>416012</v>
      </c>
      <c r="Q52" s="24" t="s">
        <v>1102</v>
      </c>
      <c r="R52" s="24" t="s">
        <v>1100</v>
      </c>
      <c r="S52" s="24" t="s">
        <v>1101</v>
      </c>
      <c r="T52" s="24" t="s">
        <v>1102</v>
      </c>
      <c r="U52" s="24">
        <v>1160</v>
      </c>
      <c r="V52" s="24">
        <v>15</v>
      </c>
      <c r="W52" s="24"/>
      <c r="X52" s="24">
        <v>1265</v>
      </c>
      <c r="Y52" s="24">
        <v>1160</v>
      </c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>
        <v>696</v>
      </c>
      <c r="AK52" s="24"/>
      <c r="AL52" s="24">
        <v>15</v>
      </c>
      <c r="AM52" s="24"/>
      <c r="AN52" s="24"/>
      <c r="AO52" s="24"/>
      <c r="AP52" s="24"/>
      <c r="AQ52" s="24"/>
      <c r="AR52" s="24"/>
      <c r="AS52" s="24"/>
      <c r="AT52" s="24"/>
      <c r="AU52" s="24"/>
      <c r="AV52" s="24">
        <v>10</v>
      </c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</row>
    <row r="53" spans="1:69">
      <c r="A53" s="24">
        <v>956</v>
      </c>
      <c r="B53" s="24" t="s">
        <v>980</v>
      </c>
      <c r="C53" s="24" t="s">
        <v>1101</v>
      </c>
      <c r="D53" s="24" t="s">
        <v>1330</v>
      </c>
      <c r="E53" s="24" t="s">
        <v>1331</v>
      </c>
      <c r="F53" s="24" t="s">
        <v>1332</v>
      </c>
      <c r="G53" s="24" t="s">
        <v>1377</v>
      </c>
      <c r="H53" s="24" t="s">
        <v>1378</v>
      </c>
      <c r="I53" s="24" t="s">
        <v>1342</v>
      </c>
      <c r="J53" s="24" t="s">
        <v>1379</v>
      </c>
      <c r="K53" s="24">
        <v>20</v>
      </c>
      <c r="L53" s="24" t="s">
        <v>1380</v>
      </c>
      <c r="M53" s="24" t="s">
        <v>1381</v>
      </c>
      <c r="N53" s="24">
        <v>9890942963</v>
      </c>
      <c r="O53" s="24" t="s">
        <v>1382</v>
      </c>
      <c r="P53" s="24">
        <v>416116</v>
      </c>
      <c r="Q53" s="24" t="s">
        <v>1102</v>
      </c>
      <c r="R53" s="24" t="s">
        <v>1100</v>
      </c>
      <c r="S53" s="24" t="s">
        <v>1101</v>
      </c>
      <c r="T53" s="24" t="s">
        <v>1102</v>
      </c>
      <c r="U53" s="24">
        <v>173</v>
      </c>
      <c r="V53" s="24">
        <v>5</v>
      </c>
      <c r="W53" s="24"/>
      <c r="X53" s="24">
        <v>305</v>
      </c>
      <c r="Y53" s="24">
        <v>173</v>
      </c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>
        <v>118</v>
      </c>
      <c r="AK53" s="24"/>
      <c r="AL53" s="24">
        <v>5</v>
      </c>
      <c r="AM53" s="24"/>
      <c r="AN53" s="24"/>
      <c r="AO53" s="24"/>
      <c r="AP53" s="24"/>
      <c r="AQ53" s="24"/>
      <c r="AR53" s="24"/>
      <c r="AS53" s="24"/>
      <c r="AT53" s="24"/>
      <c r="AU53" s="24"/>
      <c r="AV53" s="24">
        <v>2</v>
      </c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</row>
    <row r="54" spans="1:69">
      <c r="A54" s="24">
        <v>957</v>
      </c>
      <c r="B54" s="24" t="s">
        <v>980</v>
      </c>
      <c r="C54" s="24" t="s">
        <v>1101</v>
      </c>
      <c r="D54" s="24" t="s">
        <v>1330</v>
      </c>
      <c r="E54" s="24" t="s">
        <v>1331</v>
      </c>
      <c r="F54" s="24" t="s">
        <v>1332</v>
      </c>
      <c r="G54" s="24" t="s">
        <v>1383</v>
      </c>
      <c r="H54" s="24" t="s">
        <v>1384</v>
      </c>
      <c r="I54" s="24" t="s">
        <v>1342</v>
      </c>
      <c r="J54" s="24" t="s">
        <v>1385</v>
      </c>
      <c r="K54" s="24">
        <v>20</v>
      </c>
      <c r="L54" s="24" t="s">
        <v>1386</v>
      </c>
      <c r="M54" s="24" t="s">
        <v>1387</v>
      </c>
      <c r="N54" s="24">
        <v>9923190301</v>
      </c>
      <c r="O54" s="24" t="s">
        <v>1388</v>
      </c>
      <c r="P54" s="24">
        <v>416011</v>
      </c>
      <c r="Q54" s="24" t="s">
        <v>1102</v>
      </c>
      <c r="R54" s="24" t="s">
        <v>1100</v>
      </c>
      <c r="S54" s="24" t="s">
        <v>1101</v>
      </c>
      <c r="T54" s="24" t="s">
        <v>1102</v>
      </c>
      <c r="U54" s="24">
        <v>771</v>
      </c>
      <c r="V54" s="24">
        <v>5</v>
      </c>
      <c r="W54" s="24"/>
      <c r="X54" s="24">
        <v>705</v>
      </c>
      <c r="Y54" s="24">
        <v>771</v>
      </c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>
        <v>387</v>
      </c>
      <c r="AK54" s="24"/>
      <c r="AL54" s="24">
        <v>5</v>
      </c>
      <c r="AM54" s="24"/>
      <c r="AN54" s="24"/>
      <c r="AO54" s="24"/>
      <c r="AP54" s="24"/>
      <c r="AQ54" s="24"/>
      <c r="AR54" s="24"/>
      <c r="AS54" s="24"/>
      <c r="AT54" s="24"/>
      <c r="AU54" s="24"/>
      <c r="AV54" s="24">
        <v>0</v>
      </c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</row>
    <row r="55" spans="1:69">
      <c r="A55" s="24">
        <v>958</v>
      </c>
      <c r="B55" s="24" t="s">
        <v>980</v>
      </c>
      <c r="C55" s="24" t="s">
        <v>1101</v>
      </c>
      <c r="D55" s="24" t="s">
        <v>1330</v>
      </c>
      <c r="E55" s="24" t="s">
        <v>1331</v>
      </c>
      <c r="F55" s="24" t="s">
        <v>1332</v>
      </c>
      <c r="G55" s="24" t="s">
        <v>1389</v>
      </c>
      <c r="H55" s="24" t="s">
        <v>1390</v>
      </c>
      <c r="I55" s="24" t="s">
        <v>1342</v>
      </c>
      <c r="J55" s="24" t="s">
        <v>1391</v>
      </c>
      <c r="K55" s="24">
        <v>21</v>
      </c>
      <c r="L55" s="24" t="s">
        <v>1392</v>
      </c>
      <c r="M55" s="24" t="s">
        <v>1393</v>
      </c>
      <c r="N55" s="24">
        <v>7020115117</v>
      </c>
      <c r="O55" s="24" t="s">
        <v>1394</v>
      </c>
      <c r="P55" s="24">
        <v>416216</v>
      </c>
      <c r="Q55" s="24" t="s">
        <v>1102</v>
      </c>
      <c r="R55" s="24" t="s">
        <v>1100</v>
      </c>
      <c r="S55" s="24" t="s">
        <v>1101</v>
      </c>
      <c r="T55" s="24" t="s">
        <v>1102</v>
      </c>
      <c r="U55" s="24">
        <v>204</v>
      </c>
      <c r="V55" s="24">
        <v>5</v>
      </c>
      <c r="W55" s="24"/>
      <c r="X55" s="24">
        <v>305</v>
      </c>
      <c r="Y55" s="24">
        <v>204</v>
      </c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>
        <v>126</v>
      </c>
      <c r="AK55" s="24"/>
      <c r="AL55" s="24">
        <v>5</v>
      </c>
      <c r="AM55" s="24"/>
      <c r="AN55" s="24"/>
      <c r="AO55" s="24"/>
      <c r="AP55" s="24"/>
      <c r="AQ55" s="24"/>
      <c r="AR55" s="24"/>
      <c r="AS55" s="24"/>
      <c r="AT55" s="24"/>
      <c r="AU55" s="24"/>
      <c r="AV55" s="24">
        <v>3</v>
      </c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</row>
    <row r="56" spans="1:69">
      <c r="A56" s="24">
        <v>959</v>
      </c>
      <c r="B56" s="24" t="s">
        <v>980</v>
      </c>
      <c r="C56" s="24" t="s">
        <v>1101</v>
      </c>
      <c r="D56" s="24" t="s">
        <v>1330</v>
      </c>
      <c r="E56" s="24" t="s">
        <v>1331</v>
      </c>
      <c r="F56" s="24" t="s">
        <v>1332</v>
      </c>
      <c r="G56" s="24" t="s">
        <v>1395</v>
      </c>
      <c r="H56" s="24" t="s">
        <v>1396</v>
      </c>
      <c r="I56" s="24" t="s">
        <v>1342</v>
      </c>
      <c r="J56" s="24" t="s">
        <v>1397</v>
      </c>
      <c r="K56" s="24">
        <v>49</v>
      </c>
      <c r="L56" s="24" t="s">
        <v>1398</v>
      </c>
      <c r="M56" s="24" t="s">
        <v>1399</v>
      </c>
      <c r="N56" s="24">
        <v>9545128609</v>
      </c>
      <c r="O56" s="24" t="s">
        <v>1400</v>
      </c>
      <c r="P56" s="24">
        <v>416235</v>
      </c>
      <c r="Q56" s="24" t="s">
        <v>1102</v>
      </c>
      <c r="R56" s="24" t="s">
        <v>1100</v>
      </c>
      <c r="S56" s="24" t="s">
        <v>1101</v>
      </c>
      <c r="T56" s="24" t="s">
        <v>1102</v>
      </c>
      <c r="U56" s="24">
        <v>650</v>
      </c>
      <c r="V56" s="24">
        <v>50</v>
      </c>
      <c r="W56" s="24"/>
      <c r="X56" s="24">
        <v>800</v>
      </c>
      <c r="Y56" s="24">
        <v>650</v>
      </c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>
        <v>414</v>
      </c>
      <c r="AK56" s="24"/>
      <c r="AL56" s="24">
        <v>50</v>
      </c>
      <c r="AM56" s="24"/>
      <c r="AN56" s="24"/>
      <c r="AO56" s="24"/>
      <c r="AP56" s="24"/>
      <c r="AQ56" s="24"/>
      <c r="AR56" s="24"/>
      <c r="AS56" s="24"/>
      <c r="AT56" s="24"/>
      <c r="AU56" s="24"/>
      <c r="AV56" s="24">
        <v>24</v>
      </c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</row>
    <row r="57" spans="1:69">
      <c r="A57" s="24">
        <v>960</v>
      </c>
      <c r="B57" s="24" t="s">
        <v>980</v>
      </c>
      <c r="C57" s="24" t="s">
        <v>1101</v>
      </c>
      <c r="D57" s="24" t="s">
        <v>1330</v>
      </c>
      <c r="E57" s="24" t="s">
        <v>1331</v>
      </c>
      <c r="F57" s="24" t="s">
        <v>1332</v>
      </c>
      <c r="G57" s="24" t="s">
        <v>1401</v>
      </c>
      <c r="H57" s="24" t="s">
        <v>1402</v>
      </c>
      <c r="I57" s="24" t="s">
        <v>1342</v>
      </c>
      <c r="J57" s="24" t="s">
        <v>1403</v>
      </c>
      <c r="K57" s="24">
        <v>52</v>
      </c>
      <c r="L57" s="24" t="s">
        <v>991</v>
      </c>
      <c r="M57" s="24" t="s">
        <v>1404</v>
      </c>
      <c r="N57" s="24">
        <v>9881081772</v>
      </c>
      <c r="O57" s="24" t="s">
        <v>1405</v>
      </c>
      <c r="P57" s="24">
        <v>416209</v>
      </c>
      <c r="Q57" s="24" t="s">
        <v>1102</v>
      </c>
      <c r="R57" s="24" t="s">
        <v>1100</v>
      </c>
      <c r="S57" s="24" t="s">
        <v>1101</v>
      </c>
      <c r="T57" s="24" t="s">
        <v>1102</v>
      </c>
      <c r="U57" s="24">
        <v>173</v>
      </c>
      <c r="V57" s="24">
        <v>5</v>
      </c>
      <c r="W57" s="24"/>
      <c r="X57" s="24">
        <v>205</v>
      </c>
      <c r="Y57" s="24">
        <v>173</v>
      </c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>
        <v>76</v>
      </c>
      <c r="AK57" s="24"/>
      <c r="AL57" s="24">
        <v>5</v>
      </c>
      <c r="AM57" s="24"/>
      <c r="AN57" s="24"/>
      <c r="AO57" s="24"/>
      <c r="AP57" s="24"/>
      <c r="AQ57" s="24"/>
      <c r="AR57" s="24"/>
      <c r="AS57" s="24"/>
      <c r="AT57" s="24"/>
      <c r="AU57" s="24"/>
      <c r="AV57" s="24">
        <v>0</v>
      </c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</row>
    <row r="58" spans="1:69">
      <c r="A58" s="24">
        <v>961</v>
      </c>
      <c r="B58" s="24" t="s">
        <v>980</v>
      </c>
      <c r="C58" s="24" t="s">
        <v>1406</v>
      </c>
      <c r="D58" s="24" t="s">
        <v>1407</v>
      </c>
      <c r="E58" s="24" t="s">
        <v>1408</v>
      </c>
      <c r="F58" s="24" t="s">
        <v>1409</v>
      </c>
      <c r="G58" s="24" t="s">
        <v>1410</v>
      </c>
      <c r="H58" s="24" t="s">
        <v>1411</v>
      </c>
      <c r="I58" s="24" t="s">
        <v>1167</v>
      </c>
      <c r="J58" s="24" t="s">
        <v>1412</v>
      </c>
      <c r="K58" s="24">
        <v>23</v>
      </c>
      <c r="L58" s="24" t="s">
        <v>1413</v>
      </c>
      <c r="M58" s="24" t="s">
        <v>1414</v>
      </c>
      <c r="N58" s="24">
        <v>9819502049</v>
      </c>
      <c r="O58" s="24" t="s">
        <v>1415</v>
      </c>
      <c r="P58" s="24">
        <v>421202</v>
      </c>
      <c r="Q58" s="24" t="s">
        <v>1416</v>
      </c>
      <c r="R58" s="24" t="s">
        <v>1105</v>
      </c>
      <c r="S58" s="24" t="s">
        <v>1417</v>
      </c>
      <c r="T58" s="24" t="s">
        <v>1418</v>
      </c>
      <c r="U58" s="24">
        <v>1854</v>
      </c>
      <c r="V58" s="24">
        <v>86</v>
      </c>
      <c r="W58" s="24"/>
      <c r="X58" s="24">
        <v>3400</v>
      </c>
      <c r="Y58" s="24">
        <v>1854</v>
      </c>
      <c r="Z58" s="24">
        <v>1612</v>
      </c>
      <c r="AA58" s="24">
        <v>1808</v>
      </c>
      <c r="AB58" s="24">
        <v>1850</v>
      </c>
      <c r="AC58" s="24">
        <v>2015</v>
      </c>
      <c r="AD58" s="24">
        <v>1932</v>
      </c>
      <c r="AE58" s="24">
        <v>1739</v>
      </c>
      <c r="AF58" s="24">
        <v>1669</v>
      </c>
      <c r="AG58" s="24">
        <v>1578</v>
      </c>
      <c r="AH58" s="24">
        <v>1906</v>
      </c>
      <c r="AI58" s="24">
        <v>1947</v>
      </c>
      <c r="AJ58" s="24">
        <v>1613</v>
      </c>
      <c r="AK58" s="24"/>
      <c r="AL58" s="24">
        <v>86</v>
      </c>
      <c r="AM58" s="24">
        <v>80</v>
      </c>
      <c r="AN58" s="24">
        <v>80</v>
      </c>
      <c r="AO58" s="24">
        <v>97</v>
      </c>
      <c r="AP58" s="24">
        <v>111</v>
      </c>
      <c r="AQ58" s="24">
        <v>116</v>
      </c>
      <c r="AR58" s="24">
        <v>116</v>
      </c>
      <c r="AS58" s="24">
        <v>121</v>
      </c>
      <c r="AT58" s="24">
        <v>102</v>
      </c>
      <c r="AU58" s="24">
        <v>122</v>
      </c>
      <c r="AV58" s="24">
        <v>145</v>
      </c>
      <c r="AW58" s="24">
        <v>105</v>
      </c>
      <c r="AX58" s="24"/>
      <c r="AY58" s="24"/>
      <c r="AZ58" s="24">
        <v>148</v>
      </c>
      <c r="BA58" s="24">
        <v>198</v>
      </c>
      <c r="BB58" s="24">
        <v>50</v>
      </c>
      <c r="BC58" s="24">
        <v>11</v>
      </c>
      <c r="BD58" s="24">
        <v>47</v>
      </c>
      <c r="BE58" s="24">
        <v>21</v>
      </c>
      <c r="BF58" s="24">
        <v>61</v>
      </c>
      <c r="BG58" s="24">
        <v>22</v>
      </c>
      <c r="BH58" s="24">
        <v>33</v>
      </c>
      <c r="BI58" s="24">
        <v>0</v>
      </c>
      <c r="BJ58" s="24"/>
      <c r="BK58" s="24"/>
      <c r="BL58" s="24"/>
      <c r="BM58" s="24"/>
      <c r="BN58" s="24"/>
      <c r="BO58" s="24"/>
      <c r="BP58" s="24"/>
      <c r="BQ58" s="24"/>
    </row>
    <row r="59" spans="1:69">
      <c r="A59" s="24">
        <v>962</v>
      </c>
      <c r="B59" s="24" t="s">
        <v>980</v>
      </c>
      <c r="C59" s="24" t="s">
        <v>1406</v>
      </c>
      <c r="D59" s="24" t="s">
        <v>1407</v>
      </c>
      <c r="E59" s="24" t="s">
        <v>1408</v>
      </c>
      <c r="F59" s="24" t="s">
        <v>1409</v>
      </c>
      <c r="G59" s="24" t="s">
        <v>1419</v>
      </c>
      <c r="H59" s="24" t="s">
        <v>1420</v>
      </c>
      <c r="I59" s="24" t="s">
        <v>1167</v>
      </c>
      <c r="J59" s="24" t="s">
        <v>1421</v>
      </c>
      <c r="K59" s="24">
        <v>73</v>
      </c>
      <c r="L59" s="24" t="s">
        <v>1422</v>
      </c>
      <c r="M59" s="24" t="s">
        <v>1423</v>
      </c>
      <c r="N59" s="24">
        <v>9322669909</v>
      </c>
      <c r="O59" s="24" t="s">
        <v>1424</v>
      </c>
      <c r="P59" s="24">
        <v>401305</v>
      </c>
      <c r="Q59" s="24" t="s">
        <v>1425</v>
      </c>
      <c r="R59" s="24" t="s">
        <v>1105</v>
      </c>
      <c r="S59" s="24" t="s">
        <v>1101</v>
      </c>
      <c r="T59" s="24" t="s">
        <v>1418</v>
      </c>
      <c r="U59" s="24"/>
      <c r="V59" s="24"/>
      <c r="W59" s="24"/>
      <c r="X59" s="24">
        <v>300</v>
      </c>
      <c r="Y59" s="24">
        <v>0</v>
      </c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>
        <v>0</v>
      </c>
      <c r="AK59" s="24"/>
      <c r="AL59" s="24">
        <v>0</v>
      </c>
      <c r="AM59" s="24">
        <v>93</v>
      </c>
      <c r="AN59" s="24">
        <v>93</v>
      </c>
      <c r="AO59" s="24">
        <v>102</v>
      </c>
      <c r="AP59" s="24">
        <v>158</v>
      </c>
      <c r="AQ59" s="24">
        <v>233</v>
      </c>
      <c r="AR59" s="24">
        <v>142</v>
      </c>
      <c r="AS59" s="24">
        <v>150</v>
      </c>
      <c r="AT59" s="24">
        <v>156</v>
      </c>
      <c r="AU59" s="24">
        <v>156</v>
      </c>
      <c r="AV59" s="24">
        <v>203</v>
      </c>
      <c r="AW59" s="24">
        <v>0</v>
      </c>
      <c r="AX59" s="24"/>
      <c r="AY59" s="24"/>
      <c r="AZ59" s="24">
        <v>30</v>
      </c>
      <c r="BA59" s="24">
        <v>22</v>
      </c>
      <c r="BB59" s="24">
        <v>11</v>
      </c>
      <c r="BC59" s="24">
        <v>5</v>
      </c>
      <c r="BD59" s="24">
        <v>0</v>
      </c>
      <c r="BE59" s="24">
        <v>5</v>
      </c>
      <c r="BF59" s="24">
        <v>10</v>
      </c>
      <c r="BG59" s="24"/>
      <c r="BH59" s="24">
        <v>11</v>
      </c>
      <c r="BI59" s="24">
        <v>0</v>
      </c>
      <c r="BJ59" s="24">
        <v>22</v>
      </c>
      <c r="BK59" s="24"/>
      <c r="BL59" s="24"/>
      <c r="BM59" s="24"/>
      <c r="BN59" s="24"/>
      <c r="BO59" s="24"/>
      <c r="BP59" s="24"/>
      <c r="BQ59" s="24"/>
    </row>
    <row r="60" spans="1:69">
      <c r="A60" s="24">
        <v>963</v>
      </c>
      <c r="B60" s="24" t="s">
        <v>980</v>
      </c>
      <c r="C60" s="24" t="s">
        <v>1406</v>
      </c>
      <c r="D60" s="24" t="s">
        <v>1407</v>
      </c>
      <c r="E60" s="24" t="s">
        <v>1408</v>
      </c>
      <c r="F60" s="24" t="s">
        <v>1409</v>
      </c>
      <c r="G60" s="24" t="s">
        <v>1426</v>
      </c>
      <c r="H60" s="24" t="s">
        <v>1427</v>
      </c>
      <c r="I60" s="24" t="s">
        <v>1167</v>
      </c>
      <c r="J60" s="24" t="s">
        <v>1428</v>
      </c>
      <c r="K60" s="24">
        <v>26</v>
      </c>
      <c r="L60" s="24" t="s">
        <v>1429</v>
      </c>
      <c r="M60" s="24" t="s">
        <v>1430</v>
      </c>
      <c r="N60" s="24">
        <v>9819487872</v>
      </c>
      <c r="O60" s="24" t="s">
        <v>1431</v>
      </c>
      <c r="P60" s="24">
        <v>421301</v>
      </c>
      <c r="Q60" s="24" t="s">
        <v>1432</v>
      </c>
      <c r="R60" s="24" t="s">
        <v>1105</v>
      </c>
      <c r="S60" s="24" t="s">
        <v>1433</v>
      </c>
      <c r="T60" s="24" t="s">
        <v>1418</v>
      </c>
      <c r="U60" s="24">
        <v>1395</v>
      </c>
      <c r="V60" s="24">
        <v>181</v>
      </c>
      <c r="W60" s="24"/>
      <c r="X60" s="24">
        <v>3730</v>
      </c>
      <c r="Y60" s="24">
        <v>1395</v>
      </c>
      <c r="Z60" s="24">
        <v>1213</v>
      </c>
      <c r="AA60" s="24">
        <v>1303</v>
      </c>
      <c r="AB60" s="24">
        <v>1418</v>
      </c>
      <c r="AC60" s="24">
        <v>1517</v>
      </c>
      <c r="AD60" s="24">
        <v>1406</v>
      </c>
      <c r="AE60" s="24">
        <v>1522</v>
      </c>
      <c r="AF60" s="24">
        <v>1617</v>
      </c>
      <c r="AG60" s="24">
        <v>1126</v>
      </c>
      <c r="AH60" s="24">
        <v>1303</v>
      </c>
      <c r="AI60" s="24">
        <v>1446</v>
      </c>
      <c r="AJ60" s="24">
        <v>1509</v>
      </c>
      <c r="AK60" s="24"/>
      <c r="AL60" s="24">
        <v>181</v>
      </c>
      <c r="AM60" s="24">
        <v>140</v>
      </c>
      <c r="AN60" s="24">
        <v>134</v>
      </c>
      <c r="AO60" s="24">
        <v>131</v>
      </c>
      <c r="AP60" s="24">
        <v>183</v>
      </c>
      <c r="AQ60" s="24">
        <v>179</v>
      </c>
      <c r="AR60" s="24">
        <v>198</v>
      </c>
      <c r="AS60" s="24">
        <v>169</v>
      </c>
      <c r="AT60" s="24">
        <v>163</v>
      </c>
      <c r="AU60" s="24">
        <v>192</v>
      </c>
      <c r="AV60" s="24">
        <v>182</v>
      </c>
      <c r="AW60" s="24">
        <v>194</v>
      </c>
      <c r="AX60" s="24"/>
      <c r="AY60" s="24"/>
      <c r="AZ60" s="24">
        <v>56</v>
      </c>
      <c r="BA60" s="24">
        <v>33</v>
      </c>
      <c r="BB60" s="24">
        <v>11</v>
      </c>
      <c r="BC60" s="24">
        <v>5</v>
      </c>
      <c r="BD60" s="24">
        <v>21</v>
      </c>
      <c r="BE60" s="24">
        <v>22</v>
      </c>
      <c r="BF60" s="24">
        <v>22</v>
      </c>
      <c r="BG60" s="24"/>
      <c r="BH60" s="24">
        <v>22</v>
      </c>
      <c r="BI60" s="24">
        <v>0</v>
      </c>
      <c r="BJ60" s="24">
        <v>22</v>
      </c>
      <c r="BK60" s="24"/>
      <c r="BL60" s="24"/>
      <c r="BM60" s="24"/>
      <c r="BN60" s="24"/>
      <c r="BO60" s="24"/>
      <c r="BP60" s="24"/>
      <c r="BQ60" s="24"/>
    </row>
    <row r="61" spans="1:69">
      <c r="A61" s="24">
        <v>964</v>
      </c>
      <c r="B61" s="24" t="s">
        <v>980</v>
      </c>
      <c r="C61" s="24" t="s">
        <v>1406</v>
      </c>
      <c r="D61" s="24" t="s">
        <v>1407</v>
      </c>
      <c r="E61" s="24" t="s">
        <v>1408</v>
      </c>
      <c r="F61" s="24" t="s">
        <v>1409</v>
      </c>
      <c r="G61" s="24" t="s">
        <v>1434</v>
      </c>
      <c r="H61" s="24" t="s">
        <v>1435</v>
      </c>
      <c r="I61" s="24" t="s">
        <v>1167</v>
      </c>
      <c r="J61" s="24" t="s">
        <v>1436</v>
      </c>
      <c r="K61" s="24">
        <v>24</v>
      </c>
      <c r="L61" s="24" t="s">
        <v>1437</v>
      </c>
      <c r="M61" s="24" t="s">
        <v>1438</v>
      </c>
      <c r="N61" s="24">
        <v>8483020202</v>
      </c>
      <c r="O61" s="24" t="s">
        <v>1439</v>
      </c>
      <c r="P61" s="24">
        <v>421501</v>
      </c>
      <c r="Q61" s="24" t="s">
        <v>1440</v>
      </c>
      <c r="R61" s="24" t="s">
        <v>1105</v>
      </c>
      <c r="S61" s="24" t="s">
        <v>1441</v>
      </c>
      <c r="T61" s="24" t="s">
        <v>1418</v>
      </c>
      <c r="U61" s="24">
        <v>853</v>
      </c>
      <c r="V61" s="24">
        <v>25</v>
      </c>
      <c r="W61" s="24"/>
      <c r="X61" s="24">
        <v>1760</v>
      </c>
      <c r="Y61" s="24">
        <v>853</v>
      </c>
      <c r="Z61" s="24">
        <v>742</v>
      </c>
      <c r="AA61" s="24">
        <v>823</v>
      </c>
      <c r="AB61" s="24">
        <v>1101</v>
      </c>
      <c r="AC61" s="24">
        <v>703</v>
      </c>
      <c r="AD61" s="24">
        <v>1011</v>
      </c>
      <c r="AE61" s="24">
        <v>1105</v>
      </c>
      <c r="AF61" s="24">
        <v>1147</v>
      </c>
      <c r="AG61" s="24">
        <v>531</v>
      </c>
      <c r="AH61" s="24">
        <v>708</v>
      </c>
      <c r="AI61" s="24">
        <v>994</v>
      </c>
      <c r="AJ61" s="24">
        <v>704</v>
      </c>
      <c r="AK61" s="24"/>
      <c r="AL61" s="24">
        <v>25</v>
      </c>
      <c r="AM61" s="24">
        <v>52</v>
      </c>
      <c r="AN61" s="24">
        <v>65</v>
      </c>
      <c r="AO61" s="24">
        <v>68</v>
      </c>
      <c r="AP61" s="24">
        <v>35</v>
      </c>
      <c r="AQ61" s="24">
        <v>74</v>
      </c>
      <c r="AR61" s="24">
        <v>66</v>
      </c>
      <c r="AS61" s="24">
        <v>68</v>
      </c>
      <c r="AT61" s="24">
        <v>50</v>
      </c>
      <c r="AU61" s="24">
        <v>50</v>
      </c>
      <c r="AV61" s="24">
        <v>56</v>
      </c>
      <c r="AW61" s="24">
        <v>68</v>
      </c>
      <c r="AX61" s="24"/>
      <c r="AY61" s="24"/>
      <c r="AZ61" s="24">
        <v>63</v>
      </c>
      <c r="BA61" s="24">
        <v>44</v>
      </c>
      <c r="BB61" s="24">
        <v>0</v>
      </c>
      <c r="BC61" s="24">
        <v>5</v>
      </c>
      <c r="BD61" s="24">
        <v>11</v>
      </c>
      <c r="BE61" s="24">
        <v>16</v>
      </c>
      <c r="BF61" s="24">
        <v>11</v>
      </c>
      <c r="BG61" s="24"/>
      <c r="BH61" s="24">
        <v>21</v>
      </c>
      <c r="BI61" s="24">
        <v>0</v>
      </c>
      <c r="BJ61" s="24">
        <v>22</v>
      </c>
      <c r="BK61" s="24"/>
      <c r="BL61" s="24"/>
      <c r="BM61" s="24"/>
      <c r="BN61" s="24"/>
      <c r="BO61" s="24"/>
      <c r="BP61" s="24"/>
      <c r="BQ61" s="24"/>
    </row>
    <row r="62" spans="1:69">
      <c r="A62" s="24">
        <v>965</v>
      </c>
      <c r="B62" s="24" t="s">
        <v>980</v>
      </c>
      <c r="C62" s="24" t="s">
        <v>1406</v>
      </c>
      <c r="D62" s="24" t="s">
        <v>1407</v>
      </c>
      <c r="E62" s="24" t="s">
        <v>1408</v>
      </c>
      <c r="F62" s="24" t="s">
        <v>1409</v>
      </c>
      <c r="G62" s="24" t="s">
        <v>1442</v>
      </c>
      <c r="H62" s="24" t="s">
        <v>1443</v>
      </c>
      <c r="I62" s="24" t="s">
        <v>1167</v>
      </c>
      <c r="J62" s="24" t="s">
        <v>1412</v>
      </c>
      <c r="K62" s="24">
        <v>23</v>
      </c>
      <c r="L62" s="24" t="s">
        <v>1444</v>
      </c>
      <c r="M62" s="24" t="s">
        <v>1445</v>
      </c>
      <c r="N62" s="24" t="s">
        <v>1446</v>
      </c>
      <c r="O62" s="24" t="s">
        <v>1447</v>
      </c>
      <c r="P62" s="24">
        <v>421201</v>
      </c>
      <c r="Q62" s="24" t="s">
        <v>1448</v>
      </c>
      <c r="R62" s="24" t="s">
        <v>1105</v>
      </c>
      <c r="S62" s="24" t="s">
        <v>1449</v>
      </c>
      <c r="T62" s="24" t="s">
        <v>1418</v>
      </c>
      <c r="U62" s="24">
        <v>1189</v>
      </c>
      <c r="V62" s="24">
        <v>204</v>
      </c>
      <c r="W62" s="24"/>
      <c r="X62" s="24">
        <v>4350</v>
      </c>
      <c r="Y62" s="24">
        <v>1189</v>
      </c>
      <c r="Z62" s="24">
        <v>0</v>
      </c>
      <c r="AA62" s="24">
        <v>918</v>
      </c>
      <c r="AB62" s="24">
        <v>754</v>
      </c>
      <c r="AC62" s="24">
        <v>1581</v>
      </c>
      <c r="AD62" s="24">
        <v>1499</v>
      </c>
      <c r="AE62" s="24">
        <v>1314</v>
      </c>
      <c r="AF62" s="24">
        <v>1193</v>
      </c>
      <c r="AG62" s="24">
        <v>1219</v>
      </c>
      <c r="AH62" s="24">
        <v>1260</v>
      </c>
      <c r="AI62" s="24">
        <v>1423</v>
      </c>
      <c r="AJ62" s="24">
        <v>1030</v>
      </c>
      <c r="AK62" s="24"/>
      <c r="AL62" s="24">
        <v>204</v>
      </c>
      <c r="AM62" s="24">
        <v>0</v>
      </c>
      <c r="AN62" s="24">
        <v>76</v>
      </c>
      <c r="AO62" s="24">
        <v>49</v>
      </c>
      <c r="AP62" s="24">
        <v>99</v>
      </c>
      <c r="AQ62" s="24">
        <v>115</v>
      </c>
      <c r="AR62" s="24">
        <v>117</v>
      </c>
      <c r="AS62" s="24">
        <v>81</v>
      </c>
      <c r="AT62" s="24">
        <v>96</v>
      </c>
      <c r="AU62" s="24">
        <v>100</v>
      </c>
      <c r="AV62" s="24">
        <v>103</v>
      </c>
      <c r="AW62" s="24">
        <v>85</v>
      </c>
      <c r="AX62" s="24"/>
      <c r="AY62" s="24"/>
      <c r="AZ62" s="24">
        <v>0</v>
      </c>
      <c r="BA62" s="24">
        <v>77</v>
      </c>
      <c r="BB62" s="24">
        <v>16</v>
      </c>
      <c r="BC62" s="24">
        <v>15</v>
      </c>
      <c r="BD62" s="24">
        <v>28</v>
      </c>
      <c r="BE62" s="24">
        <v>22</v>
      </c>
      <c r="BF62" s="24">
        <v>38</v>
      </c>
      <c r="BG62" s="24"/>
      <c r="BH62" s="24">
        <v>16</v>
      </c>
      <c r="BI62" s="24">
        <v>0</v>
      </c>
      <c r="BJ62" s="24">
        <v>32</v>
      </c>
      <c r="BK62" s="24"/>
      <c r="BL62" s="24"/>
      <c r="BM62" s="24"/>
      <c r="BN62" s="24"/>
      <c r="BO62" s="24"/>
      <c r="BP62" s="24"/>
      <c r="BQ62" s="24"/>
    </row>
    <row r="63" spans="1:69">
      <c r="A63" s="24">
        <v>966</v>
      </c>
      <c r="B63" s="24" t="s">
        <v>980</v>
      </c>
      <c r="C63" s="24" t="s">
        <v>1406</v>
      </c>
      <c r="D63" s="24" t="s">
        <v>1407</v>
      </c>
      <c r="E63" s="24" t="s">
        <v>1408</v>
      </c>
      <c r="F63" s="24" t="s">
        <v>1409</v>
      </c>
      <c r="G63" s="24" t="s">
        <v>1450</v>
      </c>
      <c r="H63" s="24" t="s">
        <v>1451</v>
      </c>
      <c r="I63" s="24" t="s">
        <v>1167</v>
      </c>
      <c r="J63" s="24" t="s">
        <v>1452</v>
      </c>
      <c r="K63" s="24">
        <v>61</v>
      </c>
      <c r="L63" s="24" t="s">
        <v>1453</v>
      </c>
      <c r="M63" s="24" t="s">
        <v>1454</v>
      </c>
      <c r="N63" s="24">
        <v>9860222905</v>
      </c>
      <c r="O63" s="24" t="s">
        <v>1455</v>
      </c>
      <c r="P63" s="24">
        <v>401204</v>
      </c>
      <c r="Q63" s="24" t="s">
        <v>1456</v>
      </c>
      <c r="R63" s="24" t="s">
        <v>1105</v>
      </c>
      <c r="S63" s="24" t="s">
        <v>1101</v>
      </c>
      <c r="T63" s="24" t="s">
        <v>1418</v>
      </c>
      <c r="U63" s="24">
        <v>577</v>
      </c>
      <c r="V63" s="24">
        <v>87</v>
      </c>
      <c r="W63" s="24"/>
      <c r="X63" s="24">
        <v>1400</v>
      </c>
      <c r="Y63" s="24">
        <v>577</v>
      </c>
      <c r="Z63" s="24">
        <v>410</v>
      </c>
      <c r="AA63" s="24">
        <v>417</v>
      </c>
      <c r="AB63" s="24">
        <v>605</v>
      </c>
      <c r="AC63" s="24">
        <v>703</v>
      </c>
      <c r="AD63" s="24">
        <v>708</v>
      </c>
      <c r="AE63" s="24">
        <v>700</v>
      </c>
      <c r="AF63" s="24">
        <v>700</v>
      </c>
      <c r="AG63" s="24">
        <v>555</v>
      </c>
      <c r="AH63" s="24">
        <v>617</v>
      </c>
      <c r="AI63" s="24">
        <v>698</v>
      </c>
      <c r="AJ63" s="24">
        <v>450</v>
      </c>
      <c r="AK63" s="24"/>
      <c r="AL63" s="24">
        <v>87</v>
      </c>
      <c r="AM63" s="24">
        <v>50</v>
      </c>
      <c r="AN63" s="24">
        <v>73</v>
      </c>
      <c r="AO63" s="24">
        <v>116</v>
      </c>
      <c r="AP63" s="24">
        <v>93</v>
      </c>
      <c r="AQ63" s="24">
        <v>152</v>
      </c>
      <c r="AR63" s="24">
        <v>151</v>
      </c>
      <c r="AS63" s="24">
        <v>152</v>
      </c>
      <c r="AT63" s="24">
        <v>151</v>
      </c>
      <c r="AU63" s="24">
        <v>111</v>
      </c>
      <c r="AV63" s="24">
        <v>74</v>
      </c>
      <c r="AW63" s="24">
        <v>72</v>
      </c>
      <c r="AX63" s="24"/>
      <c r="AY63" s="24"/>
      <c r="AZ63" s="24">
        <v>95</v>
      </c>
      <c r="BA63" s="24">
        <v>99</v>
      </c>
      <c r="BB63" s="24">
        <v>0</v>
      </c>
      <c r="BC63" s="24">
        <v>0</v>
      </c>
      <c r="BD63" s="24">
        <v>44</v>
      </c>
      <c r="BE63" s="24">
        <v>33</v>
      </c>
      <c r="BF63" s="24">
        <v>22</v>
      </c>
      <c r="BG63" s="24">
        <v>30</v>
      </c>
      <c r="BH63" s="24">
        <v>33</v>
      </c>
      <c r="BI63" s="24">
        <v>0</v>
      </c>
      <c r="BJ63" s="24">
        <v>44</v>
      </c>
      <c r="BK63" s="24"/>
      <c r="BL63" s="24"/>
      <c r="BM63" s="24"/>
      <c r="BN63" s="24"/>
      <c r="BO63" s="24"/>
      <c r="BP63" s="24"/>
      <c r="BQ63" s="24"/>
    </row>
    <row r="64" spans="1:69">
      <c r="A64" s="24">
        <v>967</v>
      </c>
      <c r="B64" s="24" t="s">
        <v>980</v>
      </c>
      <c r="C64" s="24" t="s">
        <v>1406</v>
      </c>
      <c r="D64" s="24" t="s">
        <v>1407</v>
      </c>
      <c r="E64" s="24" t="s">
        <v>1408</v>
      </c>
      <c r="F64" s="24" t="s">
        <v>1409</v>
      </c>
      <c r="G64" s="24" t="s">
        <v>1457</v>
      </c>
      <c r="H64" s="24" t="s">
        <v>1458</v>
      </c>
      <c r="I64" s="24" t="s">
        <v>1167</v>
      </c>
      <c r="J64" s="24" t="s">
        <v>1459</v>
      </c>
      <c r="K64" s="24">
        <v>98</v>
      </c>
      <c r="L64" s="24" t="s">
        <v>1460</v>
      </c>
      <c r="M64" s="24" t="s">
        <v>1461</v>
      </c>
      <c r="N64" s="24">
        <v>7030190600</v>
      </c>
      <c r="O64" s="24" t="s">
        <v>1462</v>
      </c>
      <c r="P64" s="24">
        <v>421303</v>
      </c>
      <c r="Q64" s="24" t="s">
        <v>1463</v>
      </c>
      <c r="R64" s="24" t="s">
        <v>1105</v>
      </c>
      <c r="S64" s="24" t="s">
        <v>1101</v>
      </c>
      <c r="T64" s="24" t="s">
        <v>1418</v>
      </c>
      <c r="U64" s="24">
        <v>588</v>
      </c>
      <c r="V64" s="24">
        <v>91</v>
      </c>
      <c r="W64" s="24"/>
      <c r="X64" s="24">
        <v>1225</v>
      </c>
      <c r="Y64" s="24">
        <v>588</v>
      </c>
      <c r="Z64" s="24">
        <v>310</v>
      </c>
      <c r="AA64" s="24">
        <v>451</v>
      </c>
      <c r="AB64" s="24">
        <v>550</v>
      </c>
      <c r="AC64" s="24">
        <v>650</v>
      </c>
      <c r="AD64" s="24">
        <v>836</v>
      </c>
      <c r="AE64" s="24">
        <v>781</v>
      </c>
      <c r="AF64" s="24">
        <v>790</v>
      </c>
      <c r="AG64" s="24">
        <v>663</v>
      </c>
      <c r="AH64" s="24">
        <v>687</v>
      </c>
      <c r="AI64" s="24">
        <v>615</v>
      </c>
      <c r="AJ64" s="24">
        <v>510</v>
      </c>
      <c r="AK64" s="24"/>
      <c r="AL64" s="24">
        <v>91</v>
      </c>
      <c r="AM64" s="24">
        <v>51</v>
      </c>
      <c r="AN64" s="24">
        <v>100</v>
      </c>
      <c r="AO64" s="24">
        <v>94</v>
      </c>
      <c r="AP64" s="24">
        <v>125</v>
      </c>
      <c r="AQ64" s="24">
        <v>125</v>
      </c>
      <c r="AR64" s="24">
        <v>125</v>
      </c>
      <c r="AS64" s="24">
        <v>85</v>
      </c>
      <c r="AT64" s="24">
        <v>125</v>
      </c>
      <c r="AU64" s="24">
        <v>92</v>
      </c>
      <c r="AV64" s="24">
        <v>92</v>
      </c>
      <c r="AW64" s="24">
        <v>83</v>
      </c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>
        <v>0</v>
      </c>
      <c r="BK64" s="24"/>
      <c r="BL64" s="24"/>
      <c r="BM64" s="24"/>
      <c r="BN64" s="24"/>
      <c r="BO64" s="24"/>
      <c r="BP64" s="24"/>
      <c r="BQ64" s="24"/>
    </row>
    <row r="65" spans="1:69">
      <c r="A65" s="24">
        <v>968</v>
      </c>
      <c r="B65" s="24" t="s">
        <v>980</v>
      </c>
      <c r="C65" s="24" t="s">
        <v>1406</v>
      </c>
      <c r="D65" s="24" t="s">
        <v>1407</v>
      </c>
      <c r="E65" s="24" t="s">
        <v>1408</v>
      </c>
      <c r="F65" s="24" t="s">
        <v>1409</v>
      </c>
      <c r="G65" s="24" t="s">
        <v>1464</v>
      </c>
      <c r="H65" s="24" t="s">
        <v>1465</v>
      </c>
      <c r="I65" s="24" t="s">
        <v>1167</v>
      </c>
      <c r="J65" s="24" t="s">
        <v>1466</v>
      </c>
      <c r="K65" s="24">
        <v>28</v>
      </c>
      <c r="L65" s="24" t="s">
        <v>1467</v>
      </c>
      <c r="M65" s="24" t="s">
        <v>1468</v>
      </c>
      <c r="N65" s="24">
        <v>9822282102</v>
      </c>
      <c r="O65" s="24" t="s">
        <v>1469</v>
      </c>
      <c r="P65" s="24">
        <v>421005</v>
      </c>
      <c r="Q65" s="24" t="s">
        <v>1470</v>
      </c>
      <c r="R65" s="24" t="s">
        <v>1105</v>
      </c>
      <c r="S65" s="24" t="s">
        <v>1471</v>
      </c>
      <c r="T65" s="24" t="s">
        <v>1418</v>
      </c>
      <c r="U65" s="24">
        <v>1324</v>
      </c>
      <c r="V65" s="24">
        <v>119</v>
      </c>
      <c r="W65" s="24"/>
      <c r="X65" s="24">
        <v>2015</v>
      </c>
      <c r="Y65" s="24">
        <v>1324</v>
      </c>
      <c r="Z65" s="24">
        <v>1151</v>
      </c>
      <c r="AA65" s="24">
        <v>1165</v>
      </c>
      <c r="AB65" s="24">
        <v>1215</v>
      </c>
      <c r="AC65" s="24">
        <v>1361</v>
      </c>
      <c r="AD65" s="24">
        <v>1299</v>
      </c>
      <c r="AE65" s="24">
        <v>1307</v>
      </c>
      <c r="AF65" s="24">
        <v>1326</v>
      </c>
      <c r="AG65" s="24">
        <v>1078</v>
      </c>
      <c r="AH65" s="24">
        <v>1349</v>
      </c>
      <c r="AI65" s="24">
        <v>1419</v>
      </c>
      <c r="AJ65" s="24">
        <v>1253</v>
      </c>
      <c r="AK65" s="24"/>
      <c r="AL65" s="24">
        <v>119</v>
      </c>
      <c r="AM65" s="24">
        <v>75</v>
      </c>
      <c r="AN65" s="24">
        <v>51</v>
      </c>
      <c r="AO65" s="24">
        <v>75</v>
      </c>
      <c r="AP65" s="24">
        <v>100</v>
      </c>
      <c r="AQ65" s="24">
        <v>90</v>
      </c>
      <c r="AR65" s="24">
        <v>95</v>
      </c>
      <c r="AS65" s="24">
        <v>100</v>
      </c>
      <c r="AT65" s="24">
        <v>81</v>
      </c>
      <c r="AU65" s="24">
        <v>96</v>
      </c>
      <c r="AV65" s="24">
        <v>85</v>
      </c>
      <c r="AW65" s="24">
        <v>106</v>
      </c>
      <c r="AX65" s="24"/>
      <c r="AY65" s="24"/>
      <c r="AZ65" s="24">
        <v>191</v>
      </c>
      <c r="BA65" s="24">
        <v>135</v>
      </c>
      <c r="BB65" s="24">
        <v>55</v>
      </c>
      <c r="BC65" s="24">
        <v>12</v>
      </c>
      <c r="BD65" s="24">
        <v>44</v>
      </c>
      <c r="BE65" s="24">
        <v>55</v>
      </c>
      <c r="BF65" s="24">
        <v>87</v>
      </c>
      <c r="BG65" s="24">
        <v>-10</v>
      </c>
      <c r="BH65" s="24">
        <v>34</v>
      </c>
      <c r="BI65" s="24">
        <v>0</v>
      </c>
      <c r="BJ65" s="24">
        <v>63</v>
      </c>
      <c r="BK65" s="24"/>
      <c r="BL65" s="24"/>
      <c r="BM65" s="24"/>
      <c r="BN65" s="24"/>
      <c r="BO65" s="24"/>
      <c r="BP65" s="24"/>
      <c r="BQ65" s="24"/>
    </row>
    <row r="66" spans="1:69">
      <c r="A66" s="24">
        <v>969</v>
      </c>
      <c r="B66" s="24" t="s">
        <v>980</v>
      </c>
      <c r="C66" s="24" t="s">
        <v>1406</v>
      </c>
      <c r="D66" s="24" t="s">
        <v>1407</v>
      </c>
      <c r="E66" s="24" t="s">
        <v>1408</v>
      </c>
      <c r="F66" s="24" t="s">
        <v>1409</v>
      </c>
      <c r="G66" s="24" t="s">
        <v>1472</v>
      </c>
      <c r="H66" s="24" t="s">
        <v>1473</v>
      </c>
      <c r="I66" s="24" t="s">
        <v>1167</v>
      </c>
      <c r="J66" s="24" t="s">
        <v>1474</v>
      </c>
      <c r="K66" s="24">
        <v>52</v>
      </c>
      <c r="L66" s="24" t="s">
        <v>1475</v>
      </c>
      <c r="M66" s="24" t="s">
        <v>1476</v>
      </c>
      <c r="N66" s="24" t="s">
        <v>1477</v>
      </c>
      <c r="O66" s="24" t="s">
        <v>1478</v>
      </c>
      <c r="P66" s="24">
        <v>421401</v>
      </c>
      <c r="Q66" s="24" t="s">
        <v>1479</v>
      </c>
      <c r="R66" s="24" t="s">
        <v>1105</v>
      </c>
      <c r="S66" s="24" t="s">
        <v>1101</v>
      </c>
      <c r="T66" s="24" t="s">
        <v>1418</v>
      </c>
      <c r="U66" s="24">
        <v>230</v>
      </c>
      <c r="V66" s="24">
        <v>46</v>
      </c>
      <c r="W66" s="24"/>
      <c r="X66" s="24">
        <v>1315</v>
      </c>
      <c r="Y66" s="24">
        <v>230</v>
      </c>
      <c r="Z66" s="24">
        <v>181</v>
      </c>
      <c r="AA66" s="24">
        <v>227</v>
      </c>
      <c r="AB66" s="24">
        <v>235</v>
      </c>
      <c r="AC66" s="24">
        <v>389</v>
      </c>
      <c r="AD66" s="24">
        <v>332</v>
      </c>
      <c r="AE66" s="24">
        <v>207</v>
      </c>
      <c r="AF66" s="24">
        <v>206</v>
      </c>
      <c r="AG66" s="24">
        <v>270</v>
      </c>
      <c r="AH66" s="24">
        <v>255</v>
      </c>
      <c r="AI66" s="24">
        <v>264</v>
      </c>
      <c r="AJ66" s="24">
        <v>176</v>
      </c>
      <c r="AK66" s="24"/>
      <c r="AL66" s="24">
        <v>46</v>
      </c>
      <c r="AM66" s="24">
        <v>40</v>
      </c>
      <c r="AN66" s="24">
        <v>41</v>
      </c>
      <c r="AO66" s="24">
        <v>30</v>
      </c>
      <c r="AP66" s="24">
        <v>60</v>
      </c>
      <c r="AQ66" s="24">
        <v>65</v>
      </c>
      <c r="AR66" s="24">
        <v>57</v>
      </c>
      <c r="AS66" s="24">
        <v>46</v>
      </c>
      <c r="AT66" s="24">
        <v>46</v>
      </c>
      <c r="AU66" s="24">
        <v>42</v>
      </c>
      <c r="AV66" s="24">
        <v>50</v>
      </c>
      <c r="AW66" s="24">
        <v>30</v>
      </c>
      <c r="AX66" s="24"/>
      <c r="AY66" s="24"/>
      <c r="AZ66" s="24">
        <v>0</v>
      </c>
      <c r="BA66" s="24">
        <v>121</v>
      </c>
      <c r="BB66" s="24">
        <v>0</v>
      </c>
      <c r="BC66" s="24">
        <v>-20</v>
      </c>
      <c r="BD66" s="24">
        <v>0</v>
      </c>
      <c r="BE66" s="24">
        <v>0</v>
      </c>
      <c r="BF66" s="24">
        <v>22</v>
      </c>
      <c r="BG66" s="24"/>
      <c r="BH66" s="24">
        <v>22</v>
      </c>
      <c r="BI66" s="24">
        <v>0</v>
      </c>
      <c r="BJ66" s="24">
        <v>11</v>
      </c>
      <c r="BK66" s="24"/>
      <c r="BL66" s="24"/>
      <c r="BM66" s="24"/>
      <c r="BN66" s="24"/>
      <c r="BO66" s="24"/>
      <c r="BP66" s="24"/>
      <c r="BQ66" s="24"/>
    </row>
    <row r="67" spans="1:69">
      <c r="A67" s="24">
        <v>970</v>
      </c>
      <c r="B67" s="24" t="s">
        <v>980</v>
      </c>
      <c r="C67" s="24" t="s">
        <v>1406</v>
      </c>
      <c r="D67" s="24" t="s">
        <v>1407</v>
      </c>
      <c r="E67" s="24" t="s">
        <v>1408</v>
      </c>
      <c r="F67" s="24" t="s">
        <v>1409</v>
      </c>
      <c r="G67" s="24" t="s">
        <v>1480</v>
      </c>
      <c r="H67" s="24" t="s">
        <v>1481</v>
      </c>
      <c r="I67" s="24" t="s">
        <v>1167</v>
      </c>
      <c r="J67" s="24" t="s">
        <v>1482</v>
      </c>
      <c r="K67" s="24">
        <v>34</v>
      </c>
      <c r="L67" s="24" t="s">
        <v>1483</v>
      </c>
      <c r="M67" s="24" t="s">
        <v>1484</v>
      </c>
      <c r="N67" s="24" t="s">
        <v>1485</v>
      </c>
      <c r="O67" s="24" t="s">
        <v>1486</v>
      </c>
      <c r="P67" s="24">
        <v>421302</v>
      </c>
      <c r="Q67" s="24" t="s">
        <v>1487</v>
      </c>
      <c r="R67" s="24" t="s">
        <v>1105</v>
      </c>
      <c r="S67" s="24" t="s">
        <v>1488</v>
      </c>
      <c r="T67" s="24" t="s">
        <v>1418</v>
      </c>
      <c r="U67" s="24">
        <v>726</v>
      </c>
      <c r="V67" s="24">
        <v>230</v>
      </c>
      <c r="W67" s="24"/>
      <c r="X67" s="24">
        <v>1100</v>
      </c>
      <c r="Y67" s="24">
        <v>726</v>
      </c>
      <c r="Z67" s="24">
        <v>512</v>
      </c>
      <c r="AA67" s="24">
        <v>514</v>
      </c>
      <c r="AB67" s="24">
        <v>604</v>
      </c>
      <c r="AC67" s="24">
        <v>905</v>
      </c>
      <c r="AD67" s="24">
        <v>910</v>
      </c>
      <c r="AE67" s="24">
        <v>905</v>
      </c>
      <c r="AF67" s="24">
        <v>906</v>
      </c>
      <c r="AG67" s="24">
        <v>905</v>
      </c>
      <c r="AH67" s="24">
        <v>910</v>
      </c>
      <c r="AI67" s="24">
        <v>736</v>
      </c>
      <c r="AJ67" s="24">
        <v>649</v>
      </c>
      <c r="AK67" s="24"/>
      <c r="AL67" s="24">
        <v>230</v>
      </c>
      <c r="AM67" s="24">
        <v>200</v>
      </c>
      <c r="AN67" s="24">
        <v>92</v>
      </c>
      <c r="AO67" s="24">
        <v>141</v>
      </c>
      <c r="AP67" s="24">
        <v>202</v>
      </c>
      <c r="AQ67" s="24">
        <v>200</v>
      </c>
      <c r="AR67" s="24">
        <v>201</v>
      </c>
      <c r="AS67" s="24">
        <v>200</v>
      </c>
      <c r="AT67" s="24">
        <v>205</v>
      </c>
      <c r="AU67" s="24">
        <v>200</v>
      </c>
      <c r="AV67" s="24">
        <v>207</v>
      </c>
      <c r="AW67" s="24">
        <v>117</v>
      </c>
      <c r="AX67" s="24"/>
      <c r="AY67" s="24"/>
      <c r="AZ67" s="24">
        <v>32</v>
      </c>
      <c r="BA67" s="24">
        <v>11</v>
      </c>
      <c r="BB67" s="24">
        <v>11</v>
      </c>
      <c r="BC67" s="24">
        <v>0</v>
      </c>
      <c r="BD67" s="24">
        <v>0</v>
      </c>
      <c r="BE67" s="24">
        <v>11</v>
      </c>
      <c r="BF67" s="24">
        <v>0</v>
      </c>
      <c r="BG67" s="24">
        <v>11</v>
      </c>
      <c r="BH67" s="24"/>
      <c r="BI67" s="24">
        <v>0</v>
      </c>
      <c r="BJ67" s="24">
        <v>22</v>
      </c>
      <c r="BK67" s="24"/>
      <c r="BL67" s="24"/>
      <c r="BM67" s="24"/>
      <c r="BN67" s="24"/>
      <c r="BO67" s="24"/>
      <c r="BP67" s="24"/>
      <c r="BQ67" s="24"/>
    </row>
    <row r="68" spans="1:69">
      <c r="A68" s="24">
        <v>971</v>
      </c>
      <c r="B68" s="24" t="s">
        <v>980</v>
      </c>
      <c r="C68" s="24" t="s">
        <v>1406</v>
      </c>
      <c r="D68" s="24" t="s">
        <v>1407</v>
      </c>
      <c r="E68" s="24" t="s">
        <v>1408</v>
      </c>
      <c r="F68" s="24" t="s">
        <v>1409</v>
      </c>
      <c r="G68" s="24" t="s">
        <v>1489</v>
      </c>
      <c r="H68" s="24" t="s">
        <v>1490</v>
      </c>
      <c r="I68" s="24" t="s">
        <v>1167</v>
      </c>
      <c r="J68" s="24" t="s">
        <v>1491</v>
      </c>
      <c r="K68" s="24">
        <v>59</v>
      </c>
      <c r="L68" s="24" t="s">
        <v>1492</v>
      </c>
      <c r="M68" s="24" t="s">
        <v>1493</v>
      </c>
      <c r="N68" s="24" t="s">
        <v>1494</v>
      </c>
      <c r="O68" s="24" t="s">
        <v>1495</v>
      </c>
      <c r="P68" s="24">
        <v>421601</v>
      </c>
      <c r="Q68" s="24" t="s">
        <v>1496</v>
      </c>
      <c r="R68" s="24" t="s">
        <v>1105</v>
      </c>
      <c r="S68" s="24" t="s">
        <v>1101</v>
      </c>
      <c r="T68" s="24" t="s">
        <v>1418</v>
      </c>
      <c r="U68" s="24">
        <v>299</v>
      </c>
      <c r="V68" s="24">
        <v>51</v>
      </c>
      <c r="W68" s="24"/>
      <c r="X68" s="24">
        <v>1265</v>
      </c>
      <c r="Y68" s="24">
        <v>299</v>
      </c>
      <c r="Z68" s="24">
        <v>169</v>
      </c>
      <c r="AA68" s="24">
        <v>282</v>
      </c>
      <c r="AB68" s="24">
        <v>376</v>
      </c>
      <c r="AC68" s="24">
        <v>362</v>
      </c>
      <c r="AD68" s="24">
        <v>335</v>
      </c>
      <c r="AE68" s="24">
        <v>317</v>
      </c>
      <c r="AF68" s="24">
        <v>298</v>
      </c>
      <c r="AG68" s="24">
        <v>303</v>
      </c>
      <c r="AH68" s="24">
        <v>308</v>
      </c>
      <c r="AI68" s="24">
        <v>316</v>
      </c>
      <c r="AJ68" s="24">
        <v>258</v>
      </c>
      <c r="AK68" s="24"/>
      <c r="AL68" s="24">
        <v>51</v>
      </c>
      <c r="AM68" s="24">
        <v>41</v>
      </c>
      <c r="AN68" s="24">
        <v>36</v>
      </c>
      <c r="AO68" s="24">
        <v>50</v>
      </c>
      <c r="AP68" s="24">
        <v>56</v>
      </c>
      <c r="AQ68" s="24">
        <v>65</v>
      </c>
      <c r="AR68" s="24">
        <v>59</v>
      </c>
      <c r="AS68" s="24">
        <v>47</v>
      </c>
      <c r="AT68" s="24">
        <v>56</v>
      </c>
      <c r="AU68" s="24">
        <v>51</v>
      </c>
      <c r="AV68" s="24">
        <v>55</v>
      </c>
      <c r="AW68" s="24">
        <v>53</v>
      </c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>
        <v>0</v>
      </c>
      <c r="BK68" s="24"/>
      <c r="BL68" s="24"/>
      <c r="BM68" s="24"/>
      <c r="BN68" s="24"/>
      <c r="BO68" s="24"/>
      <c r="BP68" s="24"/>
      <c r="BQ68" s="24"/>
    </row>
    <row r="69" spans="1:69">
      <c r="A69" s="24">
        <v>972</v>
      </c>
      <c r="B69" s="24" t="s">
        <v>980</v>
      </c>
      <c r="C69" s="24" t="s">
        <v>1406</v>
      </c>
      <c r="D69" s="24" t="s">
        <v>1407</v>
      </c>
      <c r="E69" s="24" t="s">
        <v>1408</v>
      </c>
      <c r="F69" s="24" t="s">
        <v>1409</v>
      </c>
      <c r="G69" s="24" t="s">
        <v>1497</v>
      </c>
      <c r="H69" s="24" t="s">
        <v>1498</v>
      </c>
      <c r="I69" s="24" t="s">
        <v>1167</v>
      </c>
      <c r="J69" s="24" t="s">
        <v>1459</v>
      </c>
      <c r="K69" s="24">
        <v>98</v>
      </c>
      <c r="L69" s="24" t="s">
        <v>1499</v>
      </c>
      <c r="M69" s="24" t="s">
        <v>1500</v>
      </c>
      <c r="N69" s="24">
        <v>9130826811</v>
      </c>
      <c r="O69" s="24" t="s">
        <v>1501</v>
      </c>
      <c r="P69" s="24">
        <v>421303</v>
      </c>
      <c r="Q69" s="24" t="s">
        <v>1502</v>
      </c>
      <c r="R69" s="24" t="s">
        <v>1105</v>
      </c>
      <c r="S69" s="24" t="s">
        <v>1101</v>
      </c>
      <c r="T69" s="24" t="s">
        <v>1418</v>
      </c>
      <c r="U69" s="24">
        <v>225</v>
      </c>
      <c r="V69" s="24">
        <v>93</v>
      </c>
      <c r="W69" s="24"/>
      <c r="X69" s="24">
        <v>880</v>
      </c>
      <c r="Y69" s="24">
        <v>225</v>
      </c>
      <c r="Z69" s="24">
        <v>125</v>
      </c>
      <c r="AA69" s="24">
        <v>150</v>
      </c>
      <c r="AB69" s="24">
        <v>155</v>
      </c>
      <c r="AC69" s="24">
        <v>226</v>
      </c>
      <c r="AD69" s="24">
        <v>230</v>
      </c>
      <c r="AE69" s="24">
        <v>231</v>
      </c>
      <c r="AF69" s="24">
        <v>170</v>
      </c>
      <c r="AG69" s="24">
        <v>204</v>
      </c>
      <c r="AH69" s="24">
        <v>171</v>
      </c>
      <c r="AI69" s="24">
        <v>265</v>
      </c>
      <c r="AJ69" s="24">
        <v>216</v>
      </c>
      <c r="AK69" s="24"/>
      <c r="AL69" s="24">
        <v>93</v>
      </c>
      <c r="AM69" s="24">
        <v>30</v>
      </c>
      <c r="AN69" s="24">
        <v>40</v>
      </c>
      <c r="AO69" s="24">
        <v>80</v>
      </c>
      <c r="AP69" s="24">
        <v>25</v>
      </c>
      <c r="AQ69" s="24">
        <v>80</v>
      </c>
      <c r="AR69" s="24">
        <v>80</v>
      </c>
      <c r="AS69" s="24">
        <v>35</v>
      </c>
      <c r="AT69" s="24">
        <v>80</v>
      </c>
      <c r="AU69" s="24">
        <v>81</v>
      </c>
      <c r="AV69" s="24">
        <v>55</v>
      </c>
      <c r="AW69" s="24">
        <v>80</v>
      </c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>
        <v>0</v>
      </c>
      <c r="BK69" s="24"/>
      <c r="BL69" s="24"/>
      <c r="BM69" s="24"/>
      <c r="BN69" s="24"/>
      <c r="BO69" s="24"/>
      <c r="BP69" s="24"/>
      <c r="BQ69" s="24"/>
    </row>
    <row r="70" spans="1:69">
      <c r="A70" s="24">
        <v>973</v>
      </c>
      <c r="B70" s="24" t="s">
        <v>980</v>
      </c>
      <c r="C70" s="24" t="s">
        <v>1406</v>
      </c>
      <c r="D70" s="24" t="s">
        <v>1407</v>
      </c>
      <c r="E70" s="24" t="s">
        <v>1408</v>
      </c>
      <c r="F70" s="24" t="s">
        <v>1409</v>
      </c>
      <c r="G70" s="24" t="s">
        <v>1503</v>
      </c>
      <c r="H70" s="24" t="s">
        <v>1504</v>
      </c>
      <c r="I70" s="24" t="s">
        <v>1167</v>
      </c>
      <c r="J70" s="24" t="s">
        <v>1505</v>
      </c>
      <c r="K70" s="24">
        <v>38</v>
      </c>
      <c r="L70" s="24" t="s">
        <v>1506</v>
      </c>
      <c r="M70" s="24" t="s">
        <v>1507</v>
      </c>
      <c r="N70" s="24" t="s">
        <v>1508</v>
      </c>
      <c r="O70" s="24" t="s">
        <v>1509</v>
      </c>
      <c r="P70" s="24">
        <v>421605</v>
      </c>
      <c r="Q70" s="24" t="s">
        <v>1510</v>
      </c>
      <c r="R70" s="24" t="s">
        <v>1105</v>
      </c>
      <c r="S70" s="24" t="s">
        <v>1511</v>
      </c>
      <c r="T70" s="24" t="s">
        <v>1418</v>
      </c>
      <c r="U70" s="24"/>
      <c r="V70" s="24"/>
      <c r="W70" s="24"/>
      <c r="X70" s="24">
        <v>150</v>
      </c>
      <c r="Y70" s="24">
        <v>0</v>
      </c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>
        <v>0</v>
      </c>
      <c r="AK70" s="24"/>
      <c r="AL70" s="24">
        <v>0</v>
      </c>
      <c r="AM70" s="24">
        <v>42</v>
      </c>
      <c r="AN70" s="24">
        <v>52</v>
      </c>
      <c r="AO70" s="24">
        <v>91</v>
      </c>
      <c r="AP70" s="24">
        <v>99</v>
      </c>
      <c r="AQ70" s="24">
        <v>106</v>
      </c>
      <c r="AR70" s="24">
        <v>114</v>
      </c>
      <c r="AS70" s="24">
        <v>98</v>
      </c>
      <c r="AT70" s="24">
        <v>77</v>
      </c>
      <c r="AU70" s="24">
        <v>82</v>
      </c>
      <c r="AV70" s="24">
        <v>126</v>
      </c>
      <c r="AW70" s="24">
        <v>111</v>
      </c>
      <c r="AX70" s="24"/>
      <c r="AY70" s="24"/>
      <c r="AZ70" s="24">
        <v>151</v>
      </c>
      <c r="BA70" s="24">
        <v>154</v>
      </c>
      <c r="BB70" s="24">
        <v>10</v>
      </c>
      <c r="BC70" s="24">
        <v>0</v>
      </c>
      <c r="BD70" s="24">
        <v>66</v>
      </c>
      <c r="BE70" s="24">
        <v>18</v>
      </c>
      <c r="BF70" s="24">
        <v>55</v>
      </c>
      <c r="BG70" s="24"/>
      <c r="BH70" s="24">
        <v>22</v>
      </c>
      <c r="BI70" s="24">
        <v>0</v>
      </c>
      <c r="BJ70" s="24">
        <v>44</v>
      </c>
      <c r="BK70" s="24"/>
      <c r="BL70" s="24"/>
      <c r="BM70" s="24"/>
      <c r="BN70" s="24"/>
      <c r="BO70" s="24"/>
      <c r="BP70" s="24"/>
      <c r="BQ70" s="24"/>
    </row>
    <row r="71" spans="1:69">
      <c r="A71" s="24">
        <v>974</v>
      </c>
      <c r="B71" s="24" t="s">
        <v>980</v>
      </c>
      <c r="C71" s="24" t="s">
        <v>1406</v>
      </c>
      <c r="D71" s="24" t="s">
        <v>1407</v>
      </c>
      <c r="E71" s="24" t="s">
        <v>1408</v>
      </c>
      <c r="F71" s="24" t="s">
        <v>1409</v>
      </c>
      <c r="G71" s="24" t="s">
        <v>1512</v>
      </c>
      <c r="H71" s="24" t="s">
        <v>1513</v>
      </c>
      <c r="I71" s="24" t="s">
        <v>1167</v>
      </c>
      <c r="J71" s="24" t="s">
        <v>1466</v>
      </c>
      <c r="K71" s="24">
        <v>28</v>
      </c>
      <c r="L71" s="24" t="s">
        <v>1514</v>
      </c>
      <c r="M71" s="24" t="s">
        <v>1515</v>
      </c>
      <c r="N71" s="24" t="s">
        <v>1516</v>
      </c>
      <c r="O71" s="24" t="s">
        <v>1517</v>
      </c>
      <c r="P71" s="24">
        <v>421003</v>
      </c>
      <c r="Q71" s="24" t="s">
        <v>1518</v>
      </c>
      <c r="R71" s="24" t="s">
        <v>1105</v>
      </c>
      <c r="S71" s="24" t="s">
        <v>1519</v>
      </c>
      <c r="T71" s="24" t="s">
        <v>1418</v>
      </c>
      <c r="U71" s="24">
        <v>1639</v>
      </c>
      <c r="V71" s="24">
        <v>91</v>
      </c>
      <c r="W71" s="24"/>
      <c r="X71" s="24">
        <v>3680</v>
      </c>
      <c r="Y71" s="24">
        <v>1639</v>
      </c>
      <c r="Z71" s="24">
        <v>1425</v>
      </c>
      <c r="AA71" s="24">
        <v>1603</v>
      </c>
      <c r="AB71" s="24">
        <v>1763</v>
      </c>
      <c r="AC71" s="24">
        <v>1234</v>
      </c>
      <c r="AD71" s="24">
        <v>2452</v>
      </c>
      <c r="AE71" s="24">
        <v>1443</v>
      </c>
      <c r="AF71" s="24">
        <v>1994</v>
      </c>
      <c r="AG71" s="24">
        <v>1631</v>
      </c>
      <c r="AH71" s="24">
        <v>1333</v>
      </c>
      <c r="AI71" s="24">
        <v>2023</v>
      </c>
      <c r="AJ71" s="24">
        <v>1634</v>
      </c>
      <c r="AK71" s="24"/>
      <c r="AL71" s="24">
        <v>91</v>
      </c>
      <c r="AM71" s="24">
        <v>177</v>
      </c>
      <c r="AN71" s="24">
        <v>161</v>
      </c>
      <c r="AO71" s="24">
        <v>185</v>
      </c>
      <c r="AP71" s="24">
        <v>103</v>
      </c>
      <c r="AQ71" s="24">
        <v>333</v>
      </c>
      <c r="AR71" s="24">
        <v>280</v>
      </c>
      <c r="AS71" s="24">
        <v>194</v>
      </c>
      <c r="AT71" s="24">
        <v>198</v>
      </c>
      <c r="AU71" s="24">
        <v>156</v>
      </c>
      <c r="AV71" s="24">
        <v>262</v>
      </c>
      <c r="AW71" s="24">
        <v>148</v>
      </c>
      <c r="AX71" s="24"/>
      <c r="AY71" s="24"/>
      <c r="AZ71" s="24">
        <v>148</v>
      </c>
      <c r="BA71" s="24">
        <v>308</v>
      </c>
      <c r="BB71" s="24">
        <v>0</v>
      </c>
      <c r="BC71" s="24">
        <v>33</v>
      </c>
      <c r="BD71" s="24">
        <v>75</v>
      </c>
      <c r="BE71" s="24">
        <v>87</v>
      </c>
      <c r="BF71" s="24">
        <v>120</v>
      </c>
      <c r="BG71" s="24"/>
      <c r="BH71" s="24">
        <v>63</v>
      </c>
      <c r="BI71" s="24">
        <v>0</v>
      </c>
      <c r="BJ71" s="24">
        <v>88</v>
      </c>
      <c r="BK71" s="24"/>
      <c r="BL71" s="24"/>
      <c r="BM71" s="24"/>
      <c r="BN71" s="24"/>
      <c r="BO71" s="24"/>
      <c r="BP71" s="24"/>
      <c r="BQ71" s="24"/>
    </row>
    <row r="72" spans="1:69">
      <c r="A72" s="24">
        <v>975</v>
      </c>
      <c r="B72" s="24" t="s">
        <v>980</v>
      </c>
      <c r="C72" s="24" t="s">
        <v>1406</v>
      </c>
      <c r="D72" s="24" t="s">
        <v>1407</v>
      </c>
      <c r="E72" s="24" t="s">
        <v>1408</v>
      </c>
      <c r="F72" s="24" t="s">
        <v>1409</v>
      </c>
      <c r="G72" s="24" t="s">
        <v>1520</v>
      </c>
      <c r="H72" s="24" t="s">
        <v>1521</v>
      </c>
      <c r="I72" s="24" t="s">
        <v>1167</v>
      </c>
      <c r="J72" s="24" t="s">
        <v>1522</v>
      </c>
      <c r="K72" s="24">
        <v>29</v>
      </c>
      <c r="L72" s="24" t="s">
        <v>1523</v>
      </c>
      <c r="M72" s="24" t="s">
        <v>1524</v>
      </c>
      <c r="N72" s="24" t="s">
        <v>1525</v>
      </c>
      <c r="O72" s="24" t="s">
        <v>1526</v>
      </c>
      <c r="P72" s="24">
        <v>421503</v>
      </c>
      <c r="Q72" s="24" t="s">
        <v>1527</v>
      </c>
      <c r="R72" s="24" t="s">
        <v>1105</v>
      </c>
      <c r="S72" s="24" t="s">
        <v>1528</v>
      </c>
      <c r="T72" s="24" t="s">
        <v>1418</v>
      </c>
      <c r="U72" s="24">
        <v>769</v>
      </c>
      <c r="V72" s="24">
        <v>91</v>
      </c>
      <c r="W72" s="24"/>
      <c r="X72" s="24">
        <v>1565</v>
      </c>
      <c r="Y72" s="24">
        <v>769</v>
      </c>
      <c r="Z72" s="24">
        <v>514</v>
      </c>
      <c r="AA72" s="24">
        <v>701</v>
      </c>
      <c r="AB72" s="24">
        <v>708</v>
      </c>
      <c r="AC72" s="24">
        <v>733</v>
      </c>
      <c r="AD72" s="24">
        <v>713</v>
      </c>
      <c r="AE72" s="24">
        <v>812</v>
      </c>
      <c r="AF72" s="24">
        <v>711</v>
      </c>
      <c r="AG72" s="24">
        <v>676</v>
      </c>
      <c r="AH72" s="24">
        <v>711</v>
      </c>
      <c r="AI72" s="24">
        <v>830</v>
      </c>
      <c r="AJ72" s="24">
        <v>609</v>
      </c>
      <c r="AK72" s="24"/>
      <c r="AL72" s="24">
        <v>91</v>
      </c>
      <c r="AM72" s="24">
        <v>64</v>
      </c>
      <c r="AN72" s="24">
        <v>57</v>
      </c>
      <c r="AO72" s="24">
        <v>68</v>
      </c>
      <c r="AP72" s="24">
        <v>64</v>
      </c>
      <c r="AQ72" s="24">
        <v>94</v>
      </c>
      <c r="AR72" s="24">
        <v>100</v>
      </c>
      <c r="AS72" s="24">
        <v>71</v>
      </c>
      <c r="AT72" s="24">
        <v>48</v>
      </c>
      <c r="AU72" s="24">
        <v>87</v>
      </c>
      <c r="AV72" s="24">
        <v>85</v>
      </c>
      <c r="AW72" s="24">
        <v>101</v>
      </c>
      <c r="AX72" s="24"/>
      <c r="AY72" s="24"/>
      <c r="AZ72" s="24">
        <v>128</v>
      </c>
      <c r="BA72" s="24">
        <v>97</v>
      </c>
      <c r="BB72" s="24">
        <v>36</v>
      </c>
      <c r="BC72" s="24">
        <v>0</v>
      </c>
      <c r="BD72" s="24">
        <v>0</v>
      </c>
      <c r="BE72" s="24">
        <v>22</v>
      </c>
      <c r="BF72" s="24">
        <v>44</v>
      </c>
      <c r="BG72" s="24"/>
      <c r="BH72" s="24">
        <v>44</v>
      </c>
      <c r="BI72" s="24">
        <v>0</v>
      </c>
      <c r="BJ72" s="24">
        <v>44</v>
      </c>
      <c r="BK72" s="24"/>
      <c r="BL72" s="24"/>
      <c r="BM72" s="24"/>
      <c r="BN72" s="24"/>
      <c r="BO72" s="24"/>
      <c r="BP72" s="24"/>
      <c r="BQ72" s="24"/>
    </row>
    <row r="73" spans="1:69">
      <c r="A73" s="24">
        <v>976</v>
      </c>
      <c r="B73" s="24" t="s">
        <v>980</v>
      </c>
      <c r="C73" s="24" t="s">
        <v>1406</v>
      </c>
      <c r="D73" s="24" t="s">
        <v>1407</v>
      </c>
      <c r="E73" s="24" t="s">
        <v>1408</v>
      </c>
      <c r="F73" s="24" t="s">
        <v>1409</v>
      </c>
      <c r="G73" s="24" t="s">
        <v>1529</v>
      </c>
      <c r="H73" s="24" t="s">
        <v>1530</v>
      </c>
      <c r="I73" s="24" t="s">
        <v>1167</v>
      </c>
      <c r="J73" s="24" t="s">
        <v>1531</v>
      </c>
      <c r="K73" s="24">
        <v>35</v>
      </c>
      <c r="L73" s="24" t="s">
        <v>991</v>
      </c>
      <c r="M73" s="24" t="s">
        <v>1532</v>
      </c>
      <c r="N73" s="24">
        <v>9372344452</v>
      </c>
      <c r="O73" s="24" t="s">
        <v>1533</v>
      </c>
      <c r="P73" s="24">
        <v>421302</v>
      </c>
      <c r="Q73" s="24" t="s">
        <v>1534</v>
      </c>
      <c r="R73" s="24" t="s">
        <v>1105</v>
      </c>
      <c r="S73" s="24" t="s">
        <v>1101</v>
      </c>
      <c r="T73" s="24" t="s">
        <v>1418</v>
      </c>
      <c r="U73" s="24">
        <v>107</v>
      </c>
      <c r="V73" s="24">
        <v>173</v>
      </c>
      <c r="W73" s="24"/>
      <c r="X73" s="24">
        <v>1300</v>
      </c>
      <c r="Y73" s="24">
        <v>107</v>
      </c>
      <c r="Z73" s="24">
        <v>77</v>
      </c>
      <c r="AA73" s="24">
        <v>0</v>
      </c>
      <c r="AB73" s="24">
        <v>0</v>
      </c>
      <c r="AC73" s="24"/>
      <c r="AD73" s="24">
        <v>0</v>
      </c>
      <c r="AE73" s="24"/>
      <c r="AF73" s="24">
        <v>0</v>
      </c>
      <c r="AG73" s="24"/>
      <c r="AH73" s="24"/>
      <c r="AI73" s="24">
        <v>193</v>
      </c>
      <c r="AJ73" s="24">
        <v>155</v>
      </c>
      <c r="AK73" s="24"/>
      <c r="AL73" s="24">
        <v>173</v>
      </c>
      <c r="AM73" s="24">
        <v>13</v>
      </c>
      <c r="AN73" s="24">
        <v>0</v>
      </c>
      <c r="AO73" s="24">
        <v>0</v>
      </c>
      <c r="AP73" s="24">
        <v>0</v>
      </c>
      <c r="AQ73" s="24">
        <v>0</v>
      </c>
      <c r="AR73" s="24">
        <v>0</v>
      </c>
      <c r="AS73" s="24">
        <v>0</v>
      </c>
      <c r="AT73" s="24">
        <v>0</v>
      </c>
      <c r="AU73" s="24">
        <v>0</v>
      </c>
      <c r="AV73" s="24">
        <v>30</v>
      </c>
      <c r="AW73" s="24">
        <v>53</v>
      </c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>
        <v>0</v>
      </c>
      <c r="BK73" s="24"/>
      <c r="BL73" s="24"/>
      <c r="BM73" s="24"/>
      <c r="BN73" s="24"/>
      <c r="BO73" s="24"/>
      <c r="BP73" s="24"/>
      <c r="BQ73" s="24"/>
    </row>
    <row r="74" spans="1:69">
      <c r="A74" s="24">
        <v>977</v>
      </c>
      <c r="B74" s="24" t="s">
        <v>980</v>
      </c>
      <c r="C74" s="24" t="s">
        <v>1406</v>
      </c>
      <c r="D74" s="24" t="s">
        <v>1407</v>
      </c>
      <c r="E74" s="24" t="s">
        <v>1408</v>
      </c>
      <c r="F74" s="24" t="s">
        <v>1409</v>
      </c>
      <c r="G74" s="24" t="s">
        <v>1535</v>
      </c>
      <c r="H74" s="24" t="s">
        <v>1536</v>
      </c>
      <c r="I74" s="24" t="s">
        <v>1167</v>
      </c>
      <c r="J74" s="24" t="s">
        <v>1537</v>
      </c>
      <c r="K74" s="24">
        <v>23</v>
      </c>
      <c r="L74" s="24" t="s">
        <v>1538</v>
      </c>
      <c r="M74" s="24" t="s">
        <v>1539</v>
      </c>
      <c r="N74" s="24">
        <v>9322658747</v>
      </c>
      <c r="O74" s="24" t="s">
        <v>1540</v>
      </c>
      <c r="P74" s="24">
        <v>400612</v>
      </c>
      <c r="Q74" s="24" t="s">
        <v>1541</v>
      </c>
      <c r="R74" s="24" t="s">
        <v>1105</v>
      </c>
      <c r="S74" s="24" t="s">
        <v>1542</v>
      </c>
      <c r="T74" s="24" t="s">
        <v>1418</v>
      </c>
      <c r="U74" s="24">
        <v>1025</v>
      </c>
      <c r="V74" s="24">
        <v>106</v>
      </c>
      <c r="W74" s="24"/>
      <c r="X74" s="24">
        <v>2530</v>
      </c>
      <c r="Y74" s="24">
        <v>1025</v>
      </c>
      <c r="Z74" s="24">
        <v>891</v>
      </c>
      <c r="AA74" s="24">
        <v>1015</v>
      </c>
      <c r="AB74" s="24">
        <v>1103</v>
      </c>
      <c r="AC74" s="24">
        <v>1118</v>
      </c>
      <c r="AD74" s="24">
        <v>1015</v>
      </c>
      <c r="AE74" s="24">
        <v>1021</v>
      </c>
      <c r="AF74" s="24">
        <v>1046</v>
      </c>
      <c r="AG74" s="24">
        <v>412</v>
      </c>
      <c r="AH74" s="24">
        <v>1011</v>
      </c>
      <c r="AI74" s="24">
        <v>1106</v>
      </c>
      <c r="AJ74" s="24">
        <v>805</v>
      </c>
      <c r="AK74" s="24"/>
      <c r="AL74" s="24">
        <v>106</v>
      </c>
      <c r="AM74" s="24">
        <v>71</v>
      </c>
      <c r="AN74" s="24">
        <v>46</v>
      </c>
      <c r="AO74" s="24">
        <v>102</v>
      </c>
      <c r="AP74" s="24">
        <v>95</v>
      </c>
      <c r="AQ74" s="24">
        <v>103</v>
      </c>
      <c r="AR74" s="24">
        <v>97</v>
      </c>
      <c r="AS74" s="24">
        <v>113</v>
      </c>
      <c r="AT74" s="24">
        <v>38</v>
      </c>
      <c r="AU74" s="24">
        <v>118</v>
      </c>
      <c r="AV74" s="24">
        <v>103</v>
      </c>
      <c r="AW74" s="24">
        <v>114</v>
      </c>
      <c r="AX74" s="24"/>
      <c r="AY74" s="24"/>
      <c r="AZ74" s="24">
        <v>11</v>
      </c>
      <c r="BA74" s="24">
        <v>143</v>
      </c>
      <c r="BB74" s="24">
        <v>44</v>
      </c>
      <c r="BC74" s="24">
        <v>0</v>
      </c>
      <c r="BD74" s="24">
        <v>0</v>
      </c>
      <c r="BE74" s="24">
        <v>22</v>
      </c>
      <c r="BF74" s="24">
        <v>55</v>
      </c>
      <c r="BG74" s="24">
        <v>-31</v>
      </c>
      <c r="BH74" s="24">
        <v>22</v>
      </c>
      <c r="BI74" s="24">
        <v>0</v>
      </c>
      <c r="BJ74" s="24">
        <v>22</v>
      </c>
      <c r="BK74" s="24"/>
      <c r="BL74" s="24"/>
      <c r="BM74" s="24"/>
      <c r="BN74" s="24"/>
      <c r="BO74" s="24"/>
      <c r="BP74" s="24"/>
      <c r="BQ74" s="24"/>
    </row>
    <row r="75" spans="1:69">
      <c r="A75" s="24">
        <v>978</v>
      </c>
      <c r="B75" s="24" t="s">
        <v>980</v>
      </c>
      <c r="C75" s="24" t="s">
        <v>1406</v>
      </c>
      <c r="D75" s="24" t="s">
        <v>1407</v>
      </c>
      <c r="E75" s="24" t="s">
        <v>1408</v>
      </c>
      <c r="F75" s="24" t="s">
        <v>1409</v>
      </c>
      <c r="G75" s="24" t="s">
        <v>1543</v>
      </c>
      <c r="H75" s="24" t="s">
        <v>1544</v>
      </c>
      <c r="I75" s="24" t="s">
        <v>1167</v>
      </c>
      <c r="J75" s="24" t="s">
        <v>1545</v>
      </c>
      <c r="K75" s="24">
        <v>27</v>
      </c>
      <c r="L75" s="24" t="s">
        <v>1546</v>
      </c>
      <c r="M75" s="24" t="s">
        <v>1547</v>
      </c>
      <c r="N75" s="24">
        <v>9867536677</v>
      </c>
      <c r="O75" s="24" t="s">
        <v>1548</v>
      </c>
      <c r="P75" s="24">
        <v>400708</v>
      </c>
      <c r="Q75" s="24" t="s">
        <v>1549</v>
      </c>
      <c r="R75" s="24" t="s">
        <v>1105</v>
      </c>
      <c r="S75" s="24" t="s">
        <v>1550</v>
      </c>
      <c r="T75" s="24" t="s">
        <v>1418</v>
      </c>
      <c r="U75" s="24">
        <v>759</v>
      </c>
      <c r="V75" s="24">
        <v>8</v>
      </c>
      <c r="W75" s="24"/>
      <c r="X75" s="24">
        <v>1300</v>
      </c>
      <c r="Y75" s="24">
        <v>759</v>
      </c>
      <c r="Z75" s="24">
        <v>660</v>
      </c>
      <c r="AA75" s="24">
        <v>756</v>
      </c>
      <c r="AB75" s="24">
        <v>803</v>
      </c>
      <c r="AC75" s="24">
        <v>1160</v>
      </c>
      <c r="AD75" s="24">
        <v>807</v>
      </c>
      <c r="AE75" s="24">
        <v>816</v>
      </c>
      <c r="AF75" s="24">
        <v>820</v>
      </c>
      <c r="AG75" s="24">
        <v>702</v>
      </c>
      <c r="AH75" s="24">
        <v>854</v>
      </c>
      <c r="AI75" s="24">
        <v>860</v>
      </c>
      <c r="AJ75" s="24">
        <v>709</v>
      </c>
      <c r="AK75" s="24"/>
      <c r="AL75" s="24">
        <v>8</v>
      </c>
      <c r="AM75" s="24">
        <v>150</v>
      </c>
      <c r="AN75" s="24">
        <v>90</v>
      </c>
      <c r="AO75" s="24">
        <v>151</v>
      </c>
      <c r="AP75" s="24">
        <v>153</v>
      </c>
      <c r="AQ75" s="24">
        <v>155</v>
      </c>
      <c r="AR75" s="24">
        <v>154</v>
      </c>
      <c r="AS75" s="24">
        <v>153</v>
      </c>
      <c r="AT75" s="24">
        <v>152</v>
      </c>
      <c r="AU75" s="24">
        <v>151</v>
      </c>
      <c r="AV75" s="24">
        <v>216</v>
      </c>
      <c r="AW75" s="24">
        <v>155</v>
      </c>
      <c r="AX75" s="24"/>
      <c r="AY75" s="24"/>
      <c r="AZ75" s="24">
        <v>30</v>
      </c>
      <c r="BA75" s="24">
        <v>11</v>
      </c>
      <c r="BB75" s="24">
        <v>0</v>
      </c>
      <c r="BC75" s="24">
        <v>0</v>
      </c>
      <c r="BD75" s="24">
        <v>0</v>
      </c>
      <c r="BE75" s="24">
        <v>11</v>
      </c>
      <c r="BF75" s="24">
        <v>0</v>
      </c>
      <c r="BG75" s="24"/>
      <c r="BH75" s="24">
        <v>11</v>
      </c>
      <c r="BI75" s="24">
        <v>0</v>
      </c>
      <c r="BJ75" s="24">
        <v>11</v>
      </c>
      <c r="BK75" s="24"/>
      <c r="BL75" s="24"/>
      <c r="BM75" s="24"/>
      <c r="BN75" s="24"/>
      <c r="BO75" s="24"/>
      <c r="BP75" s="24"/>
      <c r="BQ75" s="24"/>
    </row>
    <row r="76" spans="1:69">
      <c r="A76" s="24">
        <v>979</v>
      </c>
      <c r="B76" s="24" t="s">
        <v>980</v>
      </c>
      <c r="C76" s="24" t="s">
        <v>1406</v>
      </c>
      <c r="D76" s="24" t="s">
        <v>1407</v>
      </c>
      <c r="E76" s="24" t="s">
        <v>1408</v>
      </c>
      <c r="F76" s="24" t="s">
        <v>1409</v>
      </c>
      <c r="G76" s="24" t="s">
        <v>1551</v>
      </c>
      <c r="H76" s="24" t="s">
        <v>1552</v>
      </c>
      <c r="I76" s="24" t="s">
        <v>1167</v>
      </c>
      <c r="J76" s="24" t="s">
        <v>1102</v>
      </c>
      <c r="K76" s="24" t="s">
        <v>1102</v>
      </c>
      <c r="L76" s="24" t="s">
        <v>1102</v>
      </c>
      <c r="M76" s="24" t="s">
        <v>1102</v>
      </c>
      <c r="N76" s="24" t="s">
        <v>1102</v>
      </c>
      <c r="O76" s="24" t="s">
        <v>1102</v>
      </c>
      <c r="P76" s="24"/>
      <c r="Q76" s="24" t="s">
        <v>1102</v>
      </c>
      <c r="R76" s="24" t="s">
        <v>1105</v>
      </c>
      <c r="S76" s="24" t="s">
        <v>1101</v>
      </c>
      <c r="T76" s="24" t="s">
        <v>1102</v>
      </c>
      <c r="U76" s="24">
        <v>115</v>
      </c>
      <c r="V76" s="24">
        <v>74</v>
      </c>
      <c r="W76" s="24"/>
      <c r="X76" s="24"/>
      <c r="Y76" s="24">
        <v>115</v>
      </c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>
        <v>32</v>
      </c>
      <c r="AK76" s="24"/>
      <c r="AL76" s="24">
        <v>74</v>
      </c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>
        <v>5</v>
      </c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>
        <v>0</v>
      </c>
      <c r="BK76" s="24"/>
      <c r="BL76" s="24"/>
      <c r="BM76" s="24"/>
      <c r="BN76" s="24"/>
      <c r="BO76" s="24"/>
      <c r="BP76" s="24"/>
      <c r="BQ76" s="24"/>
    </row>
    <row r="77" spans="1:69">
      <c r="A77" s="24">
        <v>980</v>
      </c>
      <c r="B77" s="24" t="s">
        <v>980</v>
      </c>
      <c r="C77" s="24" t="s">
        <v>1406</v>
      </c>
      <c r="D77" s="24" t="s">
        <v>1407</v>
      </c>
      <c r="E77" s="24" t="s">
        <v>1408</v>
      </c>
      <c r="F77" s="24" t="s">
        <v>1409</v>
      </c>
      <c r="G77" s="24" t="s">
        <v>1553</v>
      </c>
      <c r="H77" s="24" t="s">
        <v>1554</v>
      </c>
      <c r="I77" s="24" t="s">
        <v>1167</v>
      </c>
      <c r="J77" s="24" t="s">
        <v>1555</v>
      </c>
      <c r="K77" s="24">
        <v>66</v>
      </c>
      <c r="L77" s="24" t="s">
        <v>991</v>
      </c>
      <c r="M77" s="24" t="s">
        <v>1556</v>
      </c>
      <c r="N77" s="24">
        <v>9888679957</v>
      </c>
      <c r="O77" s="24" t="s">
        <v>1557</v>
      </c>
      <c r="P77" s="24">
        <v>421601</v>
      </c>
      <c r="Q77" s="24" t="s">
        <v>1102</v>
      </c>
      <c r="R77" s="24" t="s">
        <v>1105</v>
      </c>
      <c r="S77" s="24" t="s">
        <v>1101</v>
      </c>
      <c r="T77" s="24" t="s">
        <v>1418</v>
      </c>
      <c r="U77" s="24">
        <v>200</v>
      </c>
      <c r="V77" s="24">
        <v>30</v>
      </c>
      <c r="W77" s="24"/>
      <c r="X77" s="24">
        <v>965</v>
      </c>
      <c r="Y77" s="24">
        <v>200</v>
      </c>
      <c r="Z77" s="24">
        <v>120</v>
      </c>
      <c r="AA77" s="24">
        <v>148</v>
      </c>
      <c r="AB77" s="24">
        <v>194</v>
      </c>
      <c r="AC77" s="24">
        <v>180</v>
      </c>
      <c r="AD77" s="24">
        <v>215</v>
      </c>
      <c r="AE77" s="24">
        <v>178</v>
      </c>
      <c r="AF77" s="24">
        <v>216</v>
      </c>
      <c r="AG77" s="24">
        <v>216</v>
      </c>
      <c r="AH77" s="24">
        <v>152</v>
      </c>
      <c r="AI77" s="24">
        <v>263</v>
      </c>
      <c r="AJ77" s="24">
        <v>174</v>
      </c>
      <c r="AK77" s="24"/>
      <c r="AL77" s="24">
        <v>30</v>
      </c>
      <c r="AM77" s="24">
        <v>25</v>
      </c>
      <c r="AN77" s="24">
        <v>25</v>
      </c>
      <c r="AO77" s="24">
        <v>18</v>
      </c>
      <c r="AP77" s="24">
        <v>29</v>
      </c>
      <c r="AQ77" s="24">
        <v>33</v>
      </c>
      <c r="AR77" s="24">
        <v>25</v>
      </c>
      <c r="AS77" s="24">
        <v>54</v>
      </c>
      <c r="AT77" s="24">
        <v>48</v>
      </c>
      <c r="AU77" s="24">
        <v>22</v>
      </c>
      <c r="AV77" s="24">
        <v>37</v>
      </c>
      <c r="AW77" s="24">
        <v>35</v>
      </c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>
        <v>0</v>
      </c>
      <c r="BK77" s="24"/>
      <c r="BL77" s="24"/>
      <c r="BM77" s="24"/>
      <c r="BN77" s="24"/>
      <c r="BO77" s="24"/>
      <c r="BP77" s="24"/>
      <c r="BQ77" s="24"/>
    </row>
    <row r="78" spans="1:69">
      <c r="A78" s="24">
        <v>981</v>
      </c>
      <c r="B78" s="24" t="s">
        <v>980</v>
      </c>
      <c r="C78" s="24" t="s">
        <v>1406</v>
      </c>
      <c r="D78" s="24" t="s">
        <v>1407</v>
      </c>
      <c r="E78" s="24" t="s">
        <v>1408</v>
      </c>
      <c r="F78" s="24" t="s">
        <v>1409</v>
      </c>
      <c r="G78" s="24" t="s">
        <v>1558</v>
      </c>
      <c r="H78" s="24" t="s">
        <v>1559</v>
      </c>
      <c r="I78" s="24" t="s">
        <v>1167</v>
      </c>
      <c r="J78" s="24" t="s">
        <v>1421</v>
      </c>
      <c r="K78" s="24">
        <v>78</v>
      </c>
      <c r="L78" s="24" t="s">
        <v>1560</v>
      </c>
      <c r="M78" s="24" t="s">
        <v>1561</v>
      </c>
      <c r="N78" s="24" t="s">
        <v>1562</v>
      </c>
      <c r="O78" s="24" t="s">
        <v>1563</v>
      </c>
      <c r="P78" s="24">
        <v>401303</v>
      </c>
      <c r="Q78" s="24" t="s">
        <v>1564</v>
      </c>
      <c r="R78" s="24" t="s">
        <v>1105</v>
      </c>
      <c r="S78" s="24" t="s">
        <v>1565</v>
      </c>
      <c r="T78" s="24" t="s">
        <v>1418</v>
      </c>
      <c r="U78" s="24">
        <v>472</v>
      </c>
      <c r="V78" s="24">
        <v>166</v>
      </c>
      <c r="W78" s="24"/>
      <c r="X78" s="24">
        <v>1800</v>
      </c>
      <c r="Y78" s="24">
        <v>472</v>
      </c>
      <c r="Z78" s="24">
        <v>410</v>
      </c>
      <c r="AA78" s="24">
        <v>448</v>
      </c>
      <c r="AB78" s="24">
        <v>404</v>
      </c>
      <c r="AC78" s="24">
        <v>462</v>
      </c>
      <c r="AD78" s="24">
        <v>544</v>
      </c>
      <c r="AE78" s="24">
        <v>573</v>
      </c>
      <c r="AF78" s="24">
        <v>382</v>
      </c>
      <c r="AG78" s="24">
        <v>395</v>
      </c>
      <c r="AH78" s="24">
        <v>413</v>
      </c>
      <c r="AI78" s="24">
        <v>512</v>
      </c>
      <c r="AJ78" s="24">
        <v>345</v>
      </c>
      <c r="AK78" s="24"/>
      <c r="AL78" s="24">
        <v>166</v>
      </c>
      <c r="AM78" s="24">
        <v>71</v>
      </c>
      <c r="AN78" s="24">
        <v>50</v>
      </c>
      <c r="AO78" s="24">
        <v>55</v>
      </c>
      <c r="AP78" s="24">
        <v>80</v>
      </c>
      <c r="AQ78" s="24">
        <v>93</v>
      </c>
      <c r="AR78" s="24">
        <v>80</v>
      </c>
      <c r="AS78" s="24">
        <v>76</v>
      </c>
      <c r="AT78" s="24">
        <v>77</v>
      </c>
      <c r="AU78" s="24">
        <v>91</v>
      </c>
      <c r="AV78" s="24">
        <v>109</v>
      </c>
      <c r="AW78" s="24">
        <v>85</v>
      </c>
      <c r="AX78" s="24"/>
      <c r="AY78" s="24"/>
      <c r="AZ78" s="24">
        <v>61</v>
      </c>
      <c r="BA78" s="24">
        <v>102</v>
      </c>
      <c r="BB78" s="24">
        <v>0</v>
      </c>
      <c r="BC78" s="24">
        <v>11</v>
      </c>
      <c r="BD78" s="24">
        <v>48</v>
      </c>
      <c r="BE78" s="24">
        <v>36</v>
      </c>
      <c r="BF78" s="24">
        <v>33</v>
      </c>
      <c r="BG78" s="24">
        <v>-1</v>
      </c>
      <c r="BH78" s="24">
        <v>20</v>
      </c>
      <c r="BI78" s="24">
        <v>0</v>
      </c>
      <c r="BJ78" s="24">
        <v>33</v>
      </c>
      <c r="BK78" s="24"/>
      <c r="BL78" s="24"/>
      <c r="BM78" s="24"/>
      <c r="BN78" s="24"/>
      <c r="BO78" s="24"/>
      <c r="BP78" s="24"/>
      <c r="BQ78" s="24"/>
    </row>
    <row r="79" spans="1:69">
      <c r="A79" s="24">
        <v>982</v>
      </c>
      <c r="B79" s="24" t="s">
        <v>980</v>
      </c>
      <c r="C79" s="24" t="s">
        <v>1406</v>
      </c>
      <c r="D79" s="24" t="s">
        <v>1407</v>
      </c>
      <c r="E79" s="24" t="s">
        <v>1408</v>
      </c>
      <c r="F79" s="24" t="s">
        <v>1409</v>
      </c>
      <c r="G79" s="24" t="s">
        <v>1566</v>
      </c>
      <c r="H79" s="24" t="s">
        <v>1567</v>
      </c>
      <c r="I79" s="24" t="s">
        <v>1167</v>
      </c>
      <c r="J79" s="24" t="s">
        <v>1482</v>
      </c>
      <c r="K79" s="24">
        <v>34</v>
      </c>
      <c r="L79" s="24" t="s">
        <v>1568</v>
      </c>
      <c r="M79" s="24" t="s">
        <v>1569</v>
      </c>
      <c r="N79" s="24">
        <v>9323087955</v>
      </c>
      <c r="O79" s="24" t="s">
        <v>1570</v>
      </c>
      <c r="P79" s="24">
        <v>421311</v>
      </c>
      <c r="Q79" s="24" t="s">
        <v>1571</v>
      </c>
      <c r="R79" s="24" t="s">
        <v>1105</v>
      </c>
      <c r="S79" s="24" t="s">
        <v>1572</v>
      </c>
      <c r="T79" s="24" t="s">
        <v>1418</v>
      </c>
      <c r="U79" s="24">
        <v>462</v>
      </c>
      <c r="V79" s="24">
        <v>98</v>
      </c>
      <c r="W79" s="24"/>
      <c r="X79" s="24">
        <v>1055</v>
      </c>
      <c r="Y79" s="24">
        <v>462</v>
      </c>
      <c r="Z79" s="24">
        <v>392</v>
      </c>
      <c r="AA79" s="24">
        <v>436</v>
      </c>
      <c r="AB79" s="24">
        <v>439</v>
      </c>
      <c r="AC79" s="24">
        <v>575</v>
      </c>
      <c r="AD79" s="24">
        <v>534</v>
      </c>
      <c r="AE79" s="24">
        <v>500</v>
      </c>
      <c r="AF79" s="24">
        <v>530</v>
      </c>
      <c r="AG79" s="24">
        <v>360</v>
      </c>
      <c r="AH79" s="24">
        <v>552</v>
      </c>
      <c r="AI79" s="24">
        <v>8</v>
      </c>
      <c r="AJ79" s="24">
        <v>432</v>
      </c>
      <c r="AK79" s="24"/>
      <c r="AL79" s="24">
        <v>98</v>
      </c>
      <c r="AM79" s="24">
        <v>150</v>
      </c>
      <c r="AN79" s="24">
        <v>150</v>
      </c>
      <c r="AO79" s="24">
        <v>151</v>
      </c>
      <c r="AP79" s="24">
        <v>151</v>
      </c>
      <c r="AQ79" s="24">
        <v>151</v>
      </c>
      <c r="AR79" s="24">
        <v>152</v>
      </c>
      <c r="AS79" s="24">
        <v>94</v>
      </c>
      <c r="AT79" s="24">
        <v>73</v>
      </c>
      <c r="AU79" s="24">
        <v>117</v>
      </c>
      <c r="AV79" s="24">
        <v>155</v>
      </c>
      <c r="AW79" s="24">
        <v>0</v>
      </c>
      <c r="AX79" s="24"/>
      <c r="AY79" s="24"/>
      <c r="AZ79" s="24">
        <v>199</v>
      </c>
      <c r="BA79" s="24">
        <v>209</v>
      </c>
      <c r="BB79" s="24">
        <v>38</v>
      </c>
      <c r="BC79" s="24">
        <v>55</v>
      </c>
      <c r="BD79" s="24">
        <v>77</v>
      </c>
      <c r="BE79" s="24">
        <v>90</v>
      </c>
      <c r="BF79" s="24">
        <v>143</v>
      </c>
      <c r="BG79" s="24"/>
      <c r="BH79" s="24">
        <v>66</v>
      </c>
      <c r="BI79" s="24"/>
      <c r="BJ79" s="24">
        <v>0</v>
      </c>
      <c r="BK79" s="24"/>
      <c r="BL79" s="24"/>
      <c r="BM79" s="24"/>
      <c r="BN79" s="24"/>
      <c r="BO79" s="24"/>
      <c r="BP79" s="24"/>
      <c r="BQ79" s="24"/>
    </row>
    <row r="80" spans="1:69">
      <c r="A80" s="24">
        <v>983</v>
      </c>
      <c r="B80" s="24" t="s">
        <v>980</v>
      </c>
      <c r="C80" s="24" t="s">
        <v>1406</v>
      </c>
      <c r="D80" s="24" t="s">
        <v>1407</v>
      </c>
      <c r="E80" s="24" t="s">
        <v>1408</v>
      </c>
      <c r="F80" s="24" t="s">
        <v>1409</v>
      </c>
      <c r="G80" s="24" t="s">
        <v>1573</v>
      </c>
      <c r="H80" s="24" t="s">
        <v>1574</v>
      </c>
      <c r="I80" s="24" t="s">
        <v>1167</v>
      </c>
      <c r="J80" s="24"/>
      <c r="K80" s="24"/>
      <c r="L80" s="24" t="s">
        <v>1575</v>
      </c>
      <c r="M80" s="24"/>
      <c r="N80" s="24"/>
      <c r="O80" s="24"/>
      <c r="P80" s="24"/>
      <c r="Q80" s="24"/>
      <c r="R80" s="24" t="s">
        <v>1105</v>
      </c>
      <c r="S80" s="24" t="s">
        <v>1101</v>
      </c>
      <c r="T80" s="24"/>
      <c r="U80" s="24"/>
      <c r="V80" s="24"/>
      <c r="W80" s="24"/>
      <c r="X80" s="24"/>
      <c r="Y80" s="24">
        <v>0</v>
      </c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>
        <v>0</v>
      </c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</row>
    <row r="81" spans="1:69">
      <c r="A81" s="24">
        <v>984</v>
      </c>
      <c r="B81" s="24" t="s">
        <v>980</v>
      </c>
      <c r="C81" s="24" t="s">
        <v>1406</v>
      </c>
      <c r="D81" s="24" t="s">
        <v>1407</v>
      </c>
      <c r="E81" s="24" t="s">
        <v>1408</v>
      </c>
      <c r="F81" s="24" t="s">
        <v>1409</v>
      </c>
      <c r="G81" s="24" t="s">
        <v>1576</v>
      </c>
      <c r="H81" s="24" t="s">
        <v>1577</v>
      </c>
      <c r="I81" s="24" t="s">
        <v>1167</v>
      </c>
      <c r="J81" s="24" t="s">
        <v>1102</v>
      </c>
      <c r="K81" s="24" t="s">
        <v>1102</v>
      </c>
      <c r="L81" s="24" t="s">
        <v>1102</v>
      </c>
      <c r="M81" s="24" t="s">
        <v>1102</v>
      </c>
      <c r="N81" s="24" t="s">
        <v>1102</v>
      </c>
      <c r="O81" s="24" t="s">
        <v>1102</v>
      </c>
      <c r="P81" s="24"/>
      <c r="Q81" s="24" t="s">
        <v>1102</v>
      </c>
      <c r="R81" s="24" t="s">
        <v>1105</v>
      </c>
      <c r="S81" s="24" t="s">
        <v>1101</v>
      </c>
      <c r="T81" s="24" t="s">
        <v>1102</v>
      </c>
      <c r="U81" s="24"/>
      <c r="V81" s="24"/>
      <c r="W81" s="24"/>
      <c r="X81" s="24"/>
      <c r="Y81" s="24">
        <v>0</v>
      </c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>
        <v>0</v>
      </c>
      <c r="AK81" s="24"/>
      <c r="AL81" s="24">
        <v>0</v>
      </c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>
        <v>0</v>
      </c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>
        <v>0</v>
      </c>
      <c r="BK81" s="24"/>
      <c r="BL81" s="24"/>
      <c r="BM81" s="24"/>
      <c r="BN81" s="24"/>
      <c r="BO81" s="24"/>
      <c r="BP81" s="24"/>
      <c r="BQ81" s="24"/>
    </row>
    <row r="82" spans="1:69">
      <c r="A82" s="24">
        <v>985</v>
      </c>
      <c r="B82" s="24" t="s">
        <v>980</v>
      </c>
      <c r="C82" s="24" t="s">
        <v>1406</v>
      </c>
      <c r="D82" s="24" t="s">
        <v>1407</v>
      </c>
      <c r="E82" s="24" t="s">
        <v>1408</v>
      </c>
      <c r="F82" s="24" t="s">
        <v>1409</v>
      </c>
      <c r="G82" s="24" t="s">
        <v>1578</v>
      </c>
      <c r="H82" s="24" t="s">
        <v>1579</v>
      </c>
      <c r="I82" s="24" t="s">
        <v>1167</v>
      </c>
      <c r="J82" s="24" t="s">
        <v>1421</v>
      </c>
      <c r="K82" s="24">
        <v>73</v>
      </c>
      <c r="L82" s="24" t="s">
        <v>1580</v>
      </c>
      <c r="M82" s="24" t="s">
        <v>1581</v>
      </c>
      <c r="N82" s="24">
        <v>9764445267</v>
      </c>
      <c r="O82" s="24" t="s">
        <v>1582</v>
      </c>
      <c r="P82" s="24">
        <v>401305</v>
      </c>
      <c r="Q82" s="24" t="s">
        <v>1583</v>
      </c>
      <c r="R82" s="24" t="s">
        <v>1105</v>
      </c>
      <c r="S82" s="24" t="s">
        <v>1584</v>
      </c>
      <c r="T82" s="24" t="s">
        <v>1418</v>
      </c>
      <c r="U82" s="24">
        <v>1753</v>
      </c>
      <c r="V82" s="24">
        <v>173</v>
      </c>
      <c r="W82" s="24"/>
      <c r="X82" s="24">
        <v>3000</v>
      </c>
      <c r="Y82" s="24">
        <v>1753</v>
      </c>
      <c r="Z82" s="24">
        <v>1524</v>
      </c>
      <c r="AA82" s="24">
        <v>1572</v>
      </c>
      <c r="AB82" s="24">
        <v>1735</v>
      </c>
      <c r="AC82" s="24">
        <v>1580</v>
      </c>
      <c r="AD82" s="24">
        <v>1903</v>
      </c>
      <c r="AE82" s="24">
        <v>1707</v>
      </c>
      <c r="AF82" s="24">
        <v>1712</v>
      </c>
      <c r="AG82" s="24">
        <v>1489</v>
      </c>
      <c r="AH82" s="24">
        <v>1764</v>
      </c>
      <c r="AI82" s="24">
        <v>1764</v>
      </c>
      <c r="AJ82" s="24">
        <v>1486</v>
      </c>
      <c r="AK82" s="24"/>
      <c r="AL82" s="24">
        <v>173</v>
      </c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>
        <v>0</v>
      </c>
      <c r="AX82" s="24"/>
      <c r="AY82" s="24"/>
      <c r="AZ82" s="24">
        <v>76</v>
      </c>
      <c r="BA82" s="24">
        <v>99</v>
      </c>
      <c r="BB82" s="24">
        <v>0</v>
      </c>
      <c r="BC82" s="24">
        <v>11</v>
      </c>
      <c r="BD82" s="24">
        <v>0</v>
      </c>
      <c r="BE82" s="24">
        <v>0</v>
      </c>
      <c r="BF82" s="24">
        <v>0</v>
      </c>
      <c r="BG82" s="24"/>
      <c r="BH82" s="24"/>
      <c r="BI82" s="24">
        <v>0</v>
      </c>
      <c r="BJ82" s="24">
        <v>110</v>
      </c>
      <c r="BK82" s="24"/>
      <c r="BL82" s="24"/>
      <c r="BM82" s="24"/>
      <c r="BN82" s="24"/>
      <c r="BO82" s="24"/>
      <c r="BP82" s="24"/>
      <c r="BQ82" s="24"/>
    </row>
    <row r="83" spans="1:69">
      <c r="A83" s="24">
        <v>986</v>
      </c>
      <c r="B83" s="24" t="s">
        <v>980</v>
      </c>
      <c r="C83" s="24" t="s">
        <v>1406</v>
      </c>
      <c r="D83" s="24" t="s">
        <v>1407</v>
      </c>
      <c r="E83" s="24" t="s">
        <v>1408</v>
      </c>
      <c r="F83" s="24" t="s">
        <v>1409</v>
      </c>
      <c r="G83" s="24" t="s">
        <v>1585</v>
      </c>
      <c r="H83" s="24" t="s">
        <v>1586</v>
      </c>
      <c r="I83" s="24" t="s">
        <v>1167</v>
      </c>
      <c r="J83" s="24" t="s">
        <v>1555</v>
      </c>
      <c r="K83" s="24">
        <v>65</v>
      </c>
      <c r="L83" s="24" t="s">
        <v>1587</v>
      </c>
      <c r="M83" s="24" t="s">
        <v>1588</v>
      </c>
      <c r="N83" s="24">
        <v>9225106077</v>
      </c>
      <c r="O83" s="24" t="s">
        <v>1589</v>
      </c>
      <c r="P83" s="24">
        <v>421601</v>
      </c>
      <c r="Q83" s="24" t="s">
        <v>1590</v>
      </c>
      <c r="R83" s="24" t="s">
        <v>1105</v>
      </c>
      <c r="S83" s="24" t="s">
        <v>1101</v>
      </c>
      <c r="T83" s="24" t="s">
        <v>1418</v>
      </c>
      <c r="U83" s="24">
        <v>127</v>
      </c>
      <c r="V83" s="24">
        <v>12</v>
      </c>
      <c r="W83" s="24"/>
      <c r="X83" s="24">
        <v>450</v>
      </c>
      <c r="Y83" s="24">
        <v>127</v>
      </c>
      <c r="Z83" s="24">
        <v>110</v>
      </c>
      <c r="AA83" s="24">
        <v>113</v>
      </c>
      <c r="AB83" s="24">
        <v>126</v>
      </c>
      <c r="AC83" s="24">
        <v>127</v>
      </c>
      <c r="AD83" s="24">
        <v>137</v>
      </c>
      <c r="AE83" s="24">
        <v>80</v>
      </c>
      <c r="AF83" s="24">
        <v>90</v>
      </c>
      <c r="AG83" s="24">
        <v>100</v>
      </c>
      <c r="AH83" s="24">
        <v>115</v>
      </c>
      <c r="AI83" s="24">
        <v>160</v>
      </c>
      <c r="AJ83" s="24">
        <v>91</v>
      </c>
      <c r="AK83" s="24"/>
      <c r="AL83" s="24">
        <v>12</v>
      </c>
      <c r="AM83" s="24">
        <v>10</v>
      </c>
      <c r="AN83" s="24">
        <v>20</v>
      </c>
      <c r="AO83" s="24">
        <v>8</v>
      </c>
      <c r="AP83" s="24">
        <v>16</v>
      </c>
      <c r="AQ83" s="24">
        <v>19</v>
      </c>
      <c r="AR83" s="24">
        <v>20</v>
      </c>
      <c r="AS83" s="24">
        <v>5</v>
      </c>
      <c r="AT83" s="24">
        <v>20</v>
      </c>
      <c r="AU83" s="24">
        <v>11</v>
      </c>
      <c r="AV83" s="24">
        <v>13</v>
      </c>
      <c r="AW83" s="24">
        <v>10</v>
      </c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>
        <v>0</v>
      </c>
      <c r="BK83" s="24"/>
      <c r="BL83" s="24"/>
      <c r="BM83" s="24"/>
      <c r="BN83" s="24"/>
      <c r="BO83" s="24"/>
      <c r="BP83" s="24"/>
      <c r="BQ83" s="24"/>
    </row>
    <row r="84" spans="1:69">
      <c r="A84" s="24">
        <v>987</v>
      </c>
      <c r="B84" s="24" t="s">
        <v>980</v>
      </c>
      <c r="C84" s="24" t="s">
        <v>1406</v>
      </c>
      <c r="D84" s="24" t="s">
        <v>1407</v>
      </c>
      <c r="E84" s="24" t="s">
        <v>1408</v>
      </c>
      <c r="F84" s="24" t="s">
        <v>1409</v>
      </c>
      <c r="G84" s="24" t="s">
        <v>1591</v>
      </c>
      <c r="H84" s="24" t="s">
        <v>1592</v>
      </c>
      <c r="I84" s="24" t="s">
        <v>1167</v>
      </c>
      <c r="J84" s="24" t="s">
        <v>1593</v>
      </c>
      <c r="K84" s="24">
        <v>20</v>
      </c>
      <c r="L84" s="24" t="s">
        <v>1594</v>
      </c>
      <c r="M84" s="24" t="s">
        <v>1595</v>
      </c>
      <c r="N84" s="24">
        <v>9970314409</v>
      </c>
      <c r="O84" s="24" t="s">
        <v>1596</v>
      </c>
      <c r="P84" s="24">
        <v>400612</v>
      </c>
      <c r="Q84" s="24" t="s">
        <v>1597</v>
      </c>
      <c r="R84" s="24" t="s">
        <v>1105</v>
      </c>
      <c r="S84" s="24" t="s">
        <v>1598</v>
      </c>
      <c r="T84" s="24" t="s">
        <v>1418</v>
      </c>
      <c r="U84" s="24">
        <v>789</v>
      </c>
      <c r="V84" s="24">
        <v>261</v>
      </c>
      <c r="W84" s="24"/>
      <c r="X84" s="24">
        <v>1750</v>
      </c>
      <c r="Y84" s="24">
        <v>789</v>
      </c>
      <c r="Z84" s="24">
        <v>0</v>
      </c>
      <c r="AA84" s="24">
        <v>503</v>
      </c>
      <c r="AB84" s="24">
        <v>832</v>
      </c>
      <c r="AC84" s="24">
        <v>854</v>
      </c>
      <c r="AD84" s="24">
        <v>810</v>
      </c>
      <c r="AE84" s="24">
        <v>701</v>
      </c>
      <c r="AF84" s="24">
        <v>825</v>
      </c>
      <c r="AG84" s="24">
        <v>708</v>
      </c>
      <c r="AH84" s="24">
        <v>940</v>
      </c>
      <c r="AI84" s="24">
        <v>937</v>
      </c>
      <c r="AJ84" s="24">
        <v>902</v>
      </c>
      <c r="AK84" s="24"/>
      <c r="AL84" s="24">
        <v>261</v>
      </c>
      <c r="AM84" s="24">
        <v>0</v>
      </c>
      <c r="AN84" s="24">
        <v>92</v>
      </c>
      <c r="AO84" s="24">
        <v>126</v>
      </c>
      <c r="AP84" s="24">
        <v>168</v>
      </c>
      <c r="AQ84" s="24">
        <v>253</v>
      </c>
      <c r="AR84" s="24">
        <v>120</v>
      </c>
      <c r="AS84" s="24">
        <v>251</v>
      </c>
      <c r="AT84" s="24">
        <v>144</v>
      </c>
      <c r="AU84" s="24">
        <v>256</v>
      </c>
      <c r="AV84" s="24">
        <v>211</v>
      </c>
      <c r="AW84" s="24">
        <v>261</v>
      </c>
      <c r="AX84" s="24"/>
      <c r="AY84" s="24"/>
      <c r="AZ84" s="24">
        <v>0</v>
      </c>
      <c r="BA84" s="24">
        <v>0</v>
      </c>
      <c r="BB84" s="24">
        <v>22</v>
      </c>
      <c r="BC84" s="24">
        <v>0</v>
      </c>
      <c r="BD84" s="24">
        <v>0</v>
      </c>
      <c r="BE84" s="24">
        <v>33</v>
      </c>
      <c r="BF84" s="24">
        <v>33</v>
      </c>
      <c r="BG84" s="24"/>
      <c r="BH84" s="24">
        <v>44</v>
      </c>
      <c r="BI84" s="24">
        <v>0</v>
      </c>
      <c r="BJ84" s="24">
        <v>84</v>
      </c>
      <c r="BK84" s="24"/>
      <c r="BL84" s="24"/>
      <c r="BM84" s="24"/>
      <c r="BN84" s="24"/>
      <c r="BO84" s="24"/>
      <c r="BP84" s="24"/>
      <c r="BQ84" s="24"/>
    </row>
    <row r="85" spans="1:69">
      <c r="A85" s="24">
        <v>988</v>
      </c>
      <c r="B85" s="24" t="s">
        <v>980</v>
      </c>
      <c r="C85" s="24" t="s">
        <v>1406</v>
      </c>
      <c r="D85" s="24" t="s">
        <v>1407</v>
      </c>
      <c r="E85" s="24" t="s">
        <v>1408</v>
      </c>
      <c r="F85" s="24" t="s">
        <v>1409</v>
      </c>
      <c r="G85" s="24" t="s">
        <v>1599</v>
      </c>
      <c r="H85" s="24" t="s">
        <v>1600</v>
      </c>
      <c r="I85" s="24" t="s">
        <v>1167</v>
      </c>
      <c r="J85" s="24" t="s">
        <v>1601</v>
      </c>
      <c r="K85" s="24">
        <v>32</v>
      </c>
      <c r="L85" s="24" t="s">
        <v>1602</v>
      </c>
      <c r="M85" s="24" t="s">
        <v>1603</v>
      </c>
      <c r="N85" s="24">
        <v>9664247268</v>
      </c>
      <c r="O85" s="24" t="s">
        <v>1604</v>
      </c>
      <c r="P85" s="24">
        <v>421102</v>
      </c>
      <c r="Q85" s="24" t="s">
        <v>1605</v>
      </c>
      <c r="R85" s="24" t="s">
        <v>1105</v>
      </c>
      <c r="S85" s="24" t="s">
        <v>1101</v>
      </c>
      <c r="T85" s="24" t="s">
        <v>1418</v>
      </c>
      <c r="U85" s="24">
        <v>1014</v>
      </c>
      <c r="V85" s="24">
        <v>404</v>
      </c>
      <c r="W85" s="24"/>
      <c r="X85" s="24">
        <v>1725</v>
      </c>
      <c r="Y85" s="24">
        <v>1014</v>
      </c>
      <c r="Z85" s="24">
        <v>853</v>
      </c>
      <c r="AA85" s="24">
        <v>806</v>
      </c>
      <c r="AB85" s="24">
        <v>1200</v>
      </c>
      <c r="AC85" s="24">
        <v>1211</v>
      </c>
      <c r="AD85" s="24">
        <v>1007</v>
      </c>
      <c r="AE85" s="24">
        <v>1031</v>
      </c>
      <c r="AF85" s="24">
        <v>1116</v>
      </c>
      <c r="AG85" s="24">
        <v>833</v>
      </c>
      <c r="AH85" s="24">
        <v>1032</v>
      </c>
      <c r="AI85" s="24">
        <v>1207</v>
      </c>
      <c r="AJ85" s="24">
        <v>907</v>
      </c>
      <c r="AK85" s="24"/>
      <c r="AL85" s="24">
        <v>404</v>
      </c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>
        <v>0</v>
      </c>
      <c r="AX85" s="24"/>
      <c r="AY85" s="24"/>
      <c r="AZ85" s="24">
        <v>0</v>
      </c>
      <c r="BA85" s="24">
        <v>55</v>
      </c>
      <c r="BB85" s="24">
        <v>0</v>
      </c>
      <c r="BC85" s="24">
        <v>0</v>
      </c>
      <c r="BD85" s="24">
        <v>0</v>
      </c>
      <c r="BE85" s="24">
        <v>0</v>
      </c>
      <c r="BF85" s="24">
        <v>0</v>
      </c>
      <c r="BG85" s="24"/>
      <c r="BH85" s="24"/>
      <c r="BI85" s="24">
        <v>0</v>
      </c>
      <c r="BJ85" s="24">
        <v>11</v>
      </c>
      <c r="BK85" s="24"/>
      <c r="BL85" s="24"/>
      <c r="BM85" s="24"/>
      <c r="BN85" s="24"/>
      <c r="BO85" s="24"/>
      <c r="BP85" s="24"/>
      <c r="BQ85" s="24"/>
    </row>
    <row r="86" spans="1:69">
      <c r="A86" s="24">
        <v>989</v>
      </c>
      <c r="B86" s="24" t="s">
        <v>980</v>
      </c>
      <c r="C86" s="24" t="s">
        <v>1606</v>
      </c>
      <c r="D86" s="24" t="s">
        <v>1607</v>
      </c>
      <c r="E86" s="24" t="s">
        <v>1608</v>
      </c>
      <c r="F86" s="24" t="s">
        <v>1609</v>
      </c>
      <c r="G86" s="24" t="s">
        <v>1610</v>
      </c>
      <c r="H86" s="24" t="s">
        <v>1611</v>
      </c>
      <c r="I86" s="24" t="s">
        <v>1612</v>
      </c>
      <c r="J86" s="24" t="s">
        <v>1613</v>
      </c>
      <c r="K86" s="24">
        <v>15</v>
      </c>
      <c r="L86" s="24" t="s">
        <v>1614</v>
      </c>
      <c r="M86" s="24" t="s">
        <v>1615</v>
      </c>
      <c r="N86" s="24">
        <v>9373780872</v>
      </c>
      <c r="O86" s="24" t="s">
        <v>1616</v>
      </c>
      <c r="P86" s="24">
        <v>400031</v>
      </c>
      <c r="Q86" s="24" t="s">
        <v>991</v>
      </c>
      <c r="R86" s="24" t="s">
        <v>1105</v>
      </c>
      <c r="S86" s="24" t="s">
        <v>1617</v>
      </c>
      <c r="T86" s="24" t="s">
        <v>1418</v>
      </c>
      <c r="U86" s="24">
        <v>431</v>
      </c>
      <c r="V86" s="24">
        <v>29</v>
      </c>
      <c r="W86" s="24"/>
      <c r="X86" s="24">
        <v>0</v>
      </c>
      <c r="Y86" s="24">
        <v>431</v>
      </c>
      <c r="Z86" s="24"/>
      <c r="AA86" s="24"/>
      <c r="AB86" s="24"/>
      <c r="AC86" s="24"/>
      <c r="AD86" s="24"/>
      <c r="AE86" s="24"/>
      <c r="AF86" s="24"/>
      <c r="AG86" s="24">
        <v>300</v>
      </c>
      <c r="AH86" s="24">
        <v>300</v>
      </c>
      <c r="AI86" s="24">
        <v>500</v>
      </c>
      <c r="AJ86" s="24">
        <v>500</v>
      </c>
      <c r="AK86" s="24"/>
      <c r="AL86" s="24">
        <v>29</v>
      </c>
      <c r="AM86" s="24"/>
      <c r="AN86" s="24"/>
      <c r="AO86" s="24"/>
      <c r="AP86" s="24"/>
      <c r="AQ86" s="24"/>
      <c r="AR86" s="24"/>
      <c r="AS86" s="24"/>
      <c r="AT86" s="24">
        <v>40</v>
      </c>
      <c r="AU86" s="24">
        <v>20</v>
      </c>
      <c r="AV86" s="24">
        <v>35</v>
      </c>
      <c r="AW86" s="24">
        <v>35</v>
      </c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</row>
    <row r="87" spans="1:69">
      <c r="A87" s="24">
        <v>990</v>
      </c>
      <c r="B87" s="24" t="s">
        <v>980</v>
      </c>
      <c r="C87" s="24" t="s">
        <v>1606</v>
      </c>
      <c r="D87" s="24" t="s">
        <v>1607</v>
      </c>
      <c r="E87" s="24" t="s">
        <v>1608</v>
      </c>
      <c r="F87" s="24" t="s">
        <v>1609</v>
      </c>
      <c r="G87" s="24" t="s">
        <v>1618</v>
      </c>
      <c r="H87" s="24" t="s">
        <v>1619</v>
      </c>
      <c r="I87" s="24" t="s">
        <v>1612</v>
      </c>
      <c r="J87" s="24" t="s">
        <v>1620</v>
      </c>
      <c r="K87" s="24">
        <v>28</v>
      </c>
      <c r="L87" s="24" t="s">
        <v>1621</v>
      </c>
      <c r="M87" s="24" t="s">
        <v>1622</v>
      </c>
      <c r="N87" s="24">
        <v>8879029827</v>
      </c>
      <c r="O87" s="24" t="s">
        <v>1623</v>
      </c>
      <c r="P87" s="24">
        <v>400005</v>
      </c>
      <c r="Q87" s="24" t="s">
        <v>991</v>
      </c>
      <c r="R87" s="24" t="s">
        <v>1105</v>
      </c>
      <c r="S87" s="24" t="s">
        <v>1624</v>
      </c>
      <c r="T87" s="24" t="s">
        <v>1418</v>
      </c>
      <c r="U87" s="24">
        <v>388</v>
      </c>
      <c r="V87" s="24">
        <v>172</v>
      </c>
      <c r="W87" s="24"/>
      <c r="X87" s="24">
        <v>850</v>
      </c>
      <c r="Y87" s="24">
        <v>388</v>
      </c>
      <c r="Z87" s="24">
        <v>250</v>
      </c>
      <c r="AA87" s="24">
        <v>300</v>
      </c>
      <c r="AB87" s="24">
        <v>350</v>
      </c>
      <c r="AC87" s="24">
        <v>350</v>
      </c>
      <c r="AD87" s="24">
        <v>400</v>
      </c>
      <c r="AE87" s="24">
        <v>425</v>
      </c>
      <c r="AF87" s="24">
        <v>450</v>
      </c>
      <c r="AG87" s="24">
        <v>350</v>
      </c>
      <c r="AH87" s="24">
        <v>400</v>
      </c>
      <c r="AI87" s="24">
        <v>400</v>
      </c>
      <c r="AJ87" s="24">
        <v>400</v>
      </c>
      <c r="AK87" s="24"/>
      <c r="AL87" s="24">
        <v>172</v>
      </c>
      <c r="AM87" s="24">
        <v>150</v>
      </c>
      <c r="AN87" s="24">
        <v>150</v>
      </c>
      <c r="AO87" s="24">
        <v>150</v>
      </c>
      <c r="AP87" s="24">
        <v>151</v>
      </c>
      <c r="AQ87" s="24">
        <v>150</v>
      </c>
      <c r="AR87" s="24">
        <v>150</v>
      </c>
      <c r="AS87" s="24">
        <v>150</v>
      </c>
      <c r="AT87" s="24">
        <v>150</v>
      </c>
      <c r="AU87" s="24">
        <v>150</v>
      </c>
      <c r="AV87" s="24">
        <v>150</v>
      </c>
      <c r="AW87" s="24">
        <v>150</v>
      </c>
      <c r="AX87" s="24"/>
      <c r="AY87" s="24"/>
      <c r="AZ87" s="24">
        <v>150</v>
      </c>
      <c r="BA87" s="24">
        <v>100</v>
      </c>
      <c r="BB87" s="24"/>
      <c r="BC87" s="24">
        <v>50</v>
      </c>
      <c r="BD87" s="24">
        <v>50</v>
      </c>
      <c r="BE87" s="24">
        <v>65</v>
      </c>
      <c r="BF87" s="24">
        <v>40</v>
      </c>
      <c r="BG87" s="24">
        <v>25</v>
      </c>
      <c r="BH87" s="24"/>
      <c r="BI87" s="24"/>
      <c r="BJ87" s="24">
        <v>50</v>
      </c>
      <c r="BK87" s="24"/>
      <c r="BL87" s="24"/>
      <c r="BM87" s="24"/>
      <c r="BN87" s="24"/>
      <c r="BO87" s="24"/>
      <c r="BP87" s="24"/>
      <c r="BQ87" s="24"/>
    </row>
    <row r="88" spans="1:69">
      <c r="A88" s="24">
        <v>991</v>
      </c>
      <c r="B88" s="24" t="s">
        <v>980</v>
      </c>
      <c r="C88" s="24" t="s">
        <v>1606</v>
      </c>
      <c r="D88" s="24" t="s">
        <v>1607</v>
      </c>
      <c r="E88" s="24" t="s">
        <v>1608</v>
      </c>
      <c r="F88" s="24" t="s">
        <v>1609</v>
      </c>
      <c r="G88" s="24" t="s">
        <v>1625</v>
      </c>
      <c r="H88" s="24" t="s">
        <v>1626</v>
      </c>
      <c r="I88" s="24" t="s">
        <v>1612</v>
      </c>
      <c r="J88" s="24" t="s">
        <v>1627</v>
      </c>
      <c r="K88" s="24">
        <v>10</v>
      </c>
      <c r="L88" s="24" t="s">
        <v>991</v>
      </c>
      <c r="M88" s="24" t="s">
        <v>1628</v>
      </c>
      <c r="N88" s="24">
        <v>9888679957</v>
      </c>
      <c r="O88" s="24" t="s">
        <v>1629</v>
      </c>
      <c r="P88" s="24">
        <v>400017</v>
      </c>
      <c r="Q88" s="24" t="s">
        <v>1630</v>
      </c>
      <c r="R88" s="24" t="s">
        <v>1105</v>
      </c>
      <c r="S88" s="24" t="s">
        <v>1631</v>
      </c>
      <c r="T88" s="24" t="s">
        <v>1418</v>
      </c>
      <c r="U88" s="24">
        <v>800</v>
      </c>
      <c r="V88" s="24">
        <v>175</v>
      </c>
      <c r="W88" s="24"/>
      <c r="X88" s="24">
        <v>975</v>
      </c>
      <c r="Y88" s="24">
        <v>800</v>
      </c>
      <c r="Z88" s="24">
        <v>400</v>
      </c>
      <c r="AA88" s="24">
        <v>400</v>
      </c>
      <c r="AB88" s="24">
        <v>551</v>
      </c>
      <c r="AC88" s="24">
        <v>801</v>
      </c>
      <c r="AD88" s="24">
        <v>800</v>
      </c>
      <c r="AE88" s="24">
        <v>800</v>
      </c>
      <c r="AF88" s="24">
        <v>800</v>
      </c>
      <c r="AG88" s="24">
        <v>800</v>
      </c>
      <c r="AH88" s="24">
        <v>800</v>
      </c>
      <c r="AI88" s="24">
        <v>800</v>
      </c>
      <c r="AJ88" s="24">
        <v>800</v>
      </c>
      <c r="AK88" s="24"/>
      <c r="AL88" s="24">
        <v>175</v>
      </c>
      <c r="AM88" s="24">
        <v>100</v>
      </c>
      <c r="AN88" s="24">
        <v>100</v>
      </c>
      <c r="AO88" s="24">
        <v>175</v>
      </c>
      <c r="AP88" s="24">
        <v>180</v>
      </c>
      <c r="AQ88" s="24">
        <v>175</v>
      </c>
      <c r="AR88" s="24">
        <v>175</v>
      </c>
      <c r="AS88" s="24">
        <v>175</v>
      </c>
      <c r="AT88" s="24">
        <v>175</v>
      </c>
      <c r="AU88" s="24">
        <v>175</v>
      </c>
      <c r="AV88" s="24">
        <v>175</v>
      </c>
      <c r="AW88" s="24">
        <v>175</v>
      </c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</row>
    <row r="89" spans="1:69">
      <c r="A89" s="24">
        <v>992</v>
      </c>
      <c r="B89" s="24" t="s">
        <v>980</v>
      </c>
      <c r="C89" s="24" t="s">
        <v>1606</v>
      </c>
      <c r="D89" s="24" t="s">
        <v>1607</v>
      </c>
      <c r="E89" s="24" t="s">
        <v>1608</v>
      </c>
      <c r="F89" s="24" t="s">
        <v>1609</v>
      </c>
      <c r="G89" s="24" t="s">
        <v>1632</v>
      </c>
      <c r="H89" s="24" t="s">
        <v>1633</v>
      </c>
      <c r="I89" s="24" t="s">
        <v>1612</v>
      </c>
      <c r="J89" s="24" t="s">
        <v>1634</v>
      </c>
      <c r="K89" s="24">
        <v>8</v>
      </c>
      <c r="L89" s="24" t="s">
        <v>991</v>
      </c>
      <c r="M89" s="24" t="s">
        <v>1635</v>
      </c>
      <c r="N89" s="24">
        <v>9888679957</v>
      </c>
      <c r="O89" s="24" t="s">
        <v>1636</v>
      </c>
      <c r="P89" s="24">
        <v>400043</v>
      </c>
      <c r="Q89" s="24" t="s">
        <v>1637</v>
      </c>
      <c r="R89" s="24" t="s">
        <v>1105</v>
      </c>
      <c r="S89" s="24" t="s">
        <v>1638</v>
      </c>
      <c r="T89" s="24" t="s">
        <v>1418</v>
      </c>
      <c r="U89" s="24">
        <v>1033</v>
      </c>
      <c r="V89" s="24">
        <v>263</v>
      </c>
      <c r="W89" s="24"/>
      <c r="X89" s="24">
        <v>1700</v>
      </c>
      <c r="Y89" s="24">
        <v>1033</v>
      </c>
      <c r="Z89" s="24">
        <v>600</v>
      </c>
      <c r="AA89" s="24">
        <v>800</v>
      </c>
      <c r="AB89" s="24">
        <v>900</v>
      </c>
      <c r="AC89" s="24">
        <v>1000</v>
      </c>
      <c r="AD89" s="24">
        <v>1100</v>
      </c>
      <c r="AE89" s="24">
        <v>1150</v>
      </c>
      <c r="AF89" s="24">
        <v>1200</v>
      </c>
      <c r="AG89" s="24">
        <v>1000</v>
      </c>
      <c r="AH89" s="24">
        <v>1050</v>
      </c>
      <c r="AI89" s="24">
        <v>1400</v>
      </c>
      <c r="AJ89" s="24">
        <v>900</v>
      </c>
      <c r="AK89" s="24"/>
      <c r="AL89" s="24">
        <v>263</v>
      </c>
      <c r="AM89" s="24">
        <v>182</v>
      </c>
      <c r="AN89" s="24">
        <v>185</v>
      </c>
      <c r="AO89" s="24">
        <v>200</v>
      </c>
      <c r="AP89" s="24">
        <v>185</v>
      </c>
      <c r="AQ89" s="24">
        <v>300</v>
      </c>
      <c r="AR89" s="24">
        <v>300</v>
      </c>
      <c r="AS89" s="24">
        <v>310</v>
      </c>
      <c r="AT89" s="24">
        <v>300</v>
      </c>
      <c r="AU89" s="24">
        <v>300</v>
      </c>
      <c r="AV89" s="24">
        <v>300</v>
      </c>
      <c r="AW89" s="24">
        <v>300</v>
      </c>
      <c r="AX89" s="24"/>
      <c r="AY89" s="24"/>
      <c r="AZ89" s="24">
        <v>25</v>
      </c>
      <c r="BA89" s="24">
        <v>15</v>
      </c>
      <c r="BB89" s="24">
        <v>0</v>
      </c>
      <c r="BC89" s="24">
        <v>5</v>
      </c>
      <c r="BD89" s="24"/>
      <c r="BE89" s="24"/>
      <c r="BF89" s="24"/>
      <c r="BG89" s="24">
        <v>0</v>
      </c>
      <c r="BH89" s="24"/>
      <c r="BI89" s="24"/>
      <c r="BJ89" s="24"/>
      <c r="BK89" s="24"/>
      <c r="BL89" s="24"/>
      <c r="BM89" s="24"/>
      <c r="BN89" s="24"/>
      <c r="BO89" s="24"/>
      <c r="BP89" s="24"/>
      <c r="BQ89" s="24"/>
    </row>
    <row r="90" spans="1:69">
      <c r="A90" s="24">
        <v>993</v>
      </c>
      <c r="B90" s="24" t="s">
        <v>980</v>
      </c>
      <c r="C90" s="24" t="s">
        <v>1606</v>
      </c>
      <c r="D90" s="24" t="s">
        <v>1607</v>
      </c>
      <c r="E90" s="24" t="s">
        <v>1608</v>
      </c>
      <c r="F90" s="24" t="s">
        <v>1609</v>
      </c>
      <c r="G90" s="24" t="s">
        <v>1639</v>
      </c>
      <c r="H90" s="24" t="s">
        <v>1640</v>
      </c>
      <c r="I90" s="24" t="s">
        <v>1612</v>
      </c>
      <c r="J90" s="24" t="s">
        <v>1613</v>
      </c>
      <c r="K90" s="24">
        <v>14</v>
      </c>
      <c r="L90" s="24" t="s">
        <v>991</v>
      </c>
      <c r="M90" s="24" t="s">
        <v>1641</v>
      </c>
      <c r="N90" s="24">
        <v>9819904519</v>
      </c>
      <c r="O90" s="24" t="s">
        <v>1642</v>
      </c>
      <c r="P90" s="24">
        <v>400037</v>
      </c>
      <c r="Q90" s="24" t="s">
        <v>1643</v>
      </c>
      <c r="R90" s="24" t="s">
        <v>1105</v>
      </c>
      <c r="S90" s="24" t="s">
        <v>1644</v>
      </c>
      <c r="T90" s="24" t="s">
        <v>1418</v>
      </c>
      <c r="U90" s="24">
        <v>575</v>
      </c>
      <c r="V90" s="24">
        <v>40</v>
      </c>
      <c r="W90" s="24"/>
      <c r="X90" s="24">
        <v>1675</v>
      </c>
      <c r="Y90" s="24">
        <v>575</v>
      </c>
      <c r="Z90" s="24">
        <v>500</v>
      </c>
      <c r="AA90" s="24">
        <v>500</v>
      </c>
      <c r="AB90" s="24">
        <v>500</v>
      </c>
      <c r="AC90" s="24">
        <v>505</v>
      </c>
      <c r="AD90" s="24">
        <v>500</v>
      </c>
      <c r="AE90" s="24">
        <v>575</v>
      </c>
      <c r="AF90" s="24">
        <v>0</v>
      </c>
      <c r="AG90" s="24">
        <v>500</v>
      </c>
      <c r="AH90" s="24">
        <v>500</v>
      </c>
      <c r="AI90" s="24">
        <v>500</v>
      </c>
      <c r="AJ90" s="24">
        <v>500</v>
      </c>
      <c r="AK90" s="24"/>
      <c r="AL90" s="24">
        <v>40</v>
      </c>
      <c r="AM90" s="24">
        <v>35</v>
      </c>
      <c r="AN90" s="24">
        <v>50</v>
      </c>
      <c r="AO90" s="24">
        <v>55</v>
      </c>
      <c r="AP90" s="24">
        <v>60</v>
      </c>
      <c r="AQ90" s="24">
        <v>50</v>
      </c>
      <c r="AR90" s="24">
        <v>60</v>
      </c>
      <c r="AS90" s="24">
        <v>0</v>
      </c>
      <c r="AT90" s="24">
        <v>40</v>
      </c>
      <c r="AU90" s="24">
        <v>30</v>
      </c>
      <c r="AV90" s="24">
        <v>35</v>
      </c>
      <c r="AW90" s="24">
        <v>20</v>
      </c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</row>
    <row r="91" spans="1:69">
      <c r="A91" s="24">
        <v>994</v>
      </c>
      <c r="B91" s="24" t="s">
        <v>980</v>
      </c>
      <c r="C91" s="24" t="s">
        <v>1606</v>
      </c>
      <c r="D91" s="24" t="s">
        <v>1607</v>
      </c>
      <c r="E91" s="24" t="s">
        <v>1608</v>
      </c>
      <c r="F91" s="24" t="s">
        <v>1609</v>
      </c>
      <c r="G91" s="24" t="s">
        <v>1645</v>
      </c>
      <c r="H91" s="24" t="s">
        <v>1646</v>
      </c>
      <c r="I91" s="24" t="s">
        <v>1612</v>
      </c>
      <c r="J91" s="24" t="s">
        <v>1647</v>
      </c>
      <c r="K91" s="24">
        <v>18</v>
      </c>
      <c r="L91" s="24" t="s">
        <v>991</v>
      </c>
      <c r="M91" s="24" t="s">
        <v>1648</v>
      </c>
      <c r="N91" s="24">
        <v>9888679957</v>
      </c>
      <c r="O91" s="24" t="s">
        <v>1649</v>
      </c>
      <c r="P91" s="24">
        <v>400018</v>
      </c>
      <c r="Q91" s="24" t="s">
        <v>991</v>
      </c>
      <c r="R91" s="24" t="s">
        <v>1105</v>
      </c>
      <c r="S91" s="24" t="s">
        <v>1650</v>
      </c>
      <c r="T91" s="24" t="s">
        <v>1418</v>
      </c>
      <c r="U91" s="24">
        <v>345</v>
      </c>
      <c r="V91" s="24">
        <v>115</v>
      </c>
      <c r="W91" s="24"/>
      <c r="X91" s="24">
        <v>700</v>
      </c>
      <c r="Y91" s="24">
        <v>345</v>
      </c>
      <c r="Z91" s="24">
        <v>300</v>
      </c>
      <c r="AA91" s="24">
        <v>300</v>
      </c>
      <c r="AB91" s="24">
        <v>300</v>
      </c>
      <c r="AC91" s="24">
        <v>300</v>
      </c>
      <c r="AD91" s="24">
        <v>300</v>
      </c>
      <c r="AE91" s="24">
        <v>300</v>
      </c>
      <c r="AF91" s="24">
        <v>300</v>
      </c>
      <c r="AG91" s="24">
        <v>300</v>
      </c>
      <c r="AH91" s="24">
        <v>300</v>
      </c>
      <c r="AI91" s="24">
        <v>300</v>
      </c>
      <c r="AJ91" s="24">
        <v>100</v>
      </c>
      <c r="AK91" s="24"/>
      <c r="AL91" s="24">
        <v>115</v>
      </c>
      <c r="AM91" s="24">
        <v>100</v>
      </c>
      <c r="AN91" s="24">
        <v>100</v>
      </c>
      <c r="AO91" s="24">
        <v>100</v>
      </c>
      <c r="AP91" s="24">
        <v>100</v>
      </c>
      <c r="AQ91" s="24">
        <v>100</v>
      </c>
      <c r="AR91" s="24">
        <v>100</v>
      </c>
      <c r="AS91" s="24">
        <v>100</v>
      </c>
      <c r="AT91" s="24">
        <v>100</v>
      </c>
      <c r="AU91" s="24">
        <v>100</v>
      </c>
      <c r="AV91" s="24">
        <v>100</v>
      </c>
      <c r="AW91" s="24">
        <v>40</v>
      </c>
      <c r="AX91" s="24"/>
      <c r="AY91" s="24"/>
      <c r="AZ91" s="24">
        <v>10</v>
      </c>
      <c r="BA91" s="24">
        <v>10</v>
      </c>
      <c r="BB91" s="24">
        <v>10</v>
      </c>
      <c r="BC91" s="24">
        <v>0</v>
      </c>
      <c r="BD91" s="24">
        <v>0</v>
      </c>
      <c r="BE91" s="24">
        <v>10</v>
      </c>
      <c r="BF91" s="24"/>
      <c r="BG91" s="24">
        <v>0</v>
      </c>
      <c r="BH91" s="24"/>
      <c r="BI91" s="24"/>
      <c r="BJ91" s="24"/>
      <c r="BK91" s="24"/>
      <c r="BL91" s="24"/>
      <c r="BM91" s="24"/>
      <c r="BN91" s="24"/>
      <c r="BO91" s="24"/>
      <c r="BP91" s="24"/>
      <c r="BQ91" s="24"/>
    </row>
    <row r="92" spans="1:69">
      <c r="A92" s="24">
        <v>995</v>
      </c>
      <c r="B92" s="24" t="s">
        <v>980</v>
      </c>
      <c r="C92" s="24" t="s">
        <v>1606</v>
      </c>
      <c r="D92" s="24" t="s">
        <v>1607</v>
      </c>
      <c r="E92" s="24" t="s">
        <v>1608</v>
      </c>
      <c r="F92" s="24" t="s">
        <v>1609</v>
      </c>
      <c r="G92" s="24" t="s">
        <v>1651</v>
      </c>
      <c r="H92" s="24" t="s">
        <v>1652</v>
      </c>
      <c r="I92" s="24" t="s">
        <v>1612</v>
      </c>
      <c r="J92" s="24" t="s">
        <v>1653</v>
      </c>
      <c r="K92" s="24">
        <v>17</v>
      </c>
      <c r="L92" s="24" t="s">
        <v>1654</v>
      </c>
      <c r="M92" s="24" t="s">
        <v>1655</v>
      </c>
      <c r="N92" s="24">
        <v>9892975490</v>
      </c>
      <c r="O92" s="24" t="s">
        <v>1656</v>
      </c>
      <c r="P92" s="24">
        <v>400070</v>
      </c>
      <c r="Q92" s="24" t="s">
        <v>1657</v>
      </c>
      <c r="R92" s="24" t="s">
        <v>1105</v>
      </c>
      <c r="S92" s="24" t="s">
        <v>1658</v>
      </c>
      <c r="T92" s="24" t="s">
        <v>1418</v>
      </c>
      <c r="U92" s="24">
        <v>1035</v>
      </c>
      <c r="V92" s="24">
        <v>287</v>
      </c>
      <c r="W92" s="24"/>
      <c r="X92" s="24">
        <v>2000</v>
      </c>
      <c r="Y92" s="24">
        <v>1035</v>
      </c>
      <c r="Z92" s="24">
        <v>900</v>
      </c>
      <c r="AA92" s="24">
        <v>900</v>
      </c>
      <c r="AB92" s="24">
        <v>1051</v>
      </c>
      <c r="AC92" s="24">
        <v>1000</v>
      </c>
      <c r="AD92" s="24">
        <v>1175</v>
      </c>
      <c r="AE92" s="24">
        <v>900</v>
      </c>
      <c r="AF92" s="24">
        <v>1050</v>
      </c>
      <c r="AG92" s="24">
        <v>550</v>
      </c>
      <c r="AH92" s="24">
        <v>500</v>
      </c>
      <c r="AI92" s="24">
        <v>800</v>
      </c>
      <c r="AJ92" s="24">
        <v>600</v>
      </c>
      <c r="AK92" s="24"/>
      <c r="AL92" s="24">
        <v>287</v>
      </c>
      <c r="AM92" s="24">
        <v>250</v>
      </c>
      <c r="AN92" s="24">
        <v>150</v>
      </c>
      <c r="AO92" s="24">
        <v>250</v>
      </c>
      <c r="AP92" s="24">
        <v>250</v>
      </c>
      <c r="AQ92" s="24">
        <v>250</v>
      </c>
      <c r="AR92" s="24">
        <v>167</v>
      </c>
      <c r="AS92" s="24">
        <v>200</v>
      </c>
      <c r="AT92" s="24">
        <v>110</v>
      </c>
      <c r="AU92" s="24">
        <v>50</v>
      </c>
      <c r="AV92" s="24">
        <v>250</v>
      </c>
      <c r="AW92" s="24">
        <v>155</v>
      </c>
      <c r="AX92" s="24"/>
      <c r="AY92" s="24"/>
      <c r="AZ92" s="24">
        <v>115</v>
      </c>
      <c r="BA92" s="24">
        <v>110</v>
      </c>
      <c r="BB92" s="24">
        <v>65</v>
      </c>
      <c r="BC92" s="24">
        <v>20</v>
      </c>
      <c r="BD92" s="24">
        <v>30</v>
      </c>
      <c r="BE92" s="24">
        <v>10</v>
      </c>
      <c r="BF92" s="24">
        <v>20</v>
      </c>
      <c r="BG92" s="24">
        <v>10</v>
      </c>
      <c r="BH92" s="24">
        <v>55</v>
      </c>
      <c r="BI92" s="24"/>
      <c r="BJ92" s="24">
        <v>15</v>
      </c>
      <c r="BK92" s="24"/>
      <c r="BL92" s="24"/>
      <c r="BM92" s="24"/>
      <c r="BN92" s="24"/>
      <c r="BO92" s="24"/>
      <c r="BP92" s="24"/>
      <c r="BQ92" s="24"/>
    </row>
    <row r="93" spans="1:69">
      <c r="A93" s="24">
        <v>996</v>
      </c>
      <c r="B93" s="24" t="s">
        <v>980</v>
      </c>
      <c r="C93" s="24" t="s">
        <v>1606</v>
      </c>
      <c r="D93" s="24" t="s">
        <v>1607</v>
      </c>
      <c r="E93" s="24" t="s">
        <v>1608</v>
      </c>
      <c r="F93" s="24" t="s">
        <v>1609</v>
      </c>
      <c r="G93" s="24" t="s">
        <v>1659</v>
      </c>
      <c r="H93" s="24" t="s">
        <v>1660</v>
      </c>
      <c r="I93" s="24" t="s">
        <v>1612</v>
      </c>
      <c r="J93" s="24" t="s">
        <v>1661</v>
      </c>
      <c r="K93" s="24">
        <v>8</v>
      </c>
      <c r="L93" s="24" t="s">
        <v>991</v>
      </c>
      <c r="M93" s="24" t="s">
        <v>1662</v>
      </c>
      <c r="N93" s="24">
        <v>9888679957</v>
      </c>
      <c r="O93" s="24" t="s">
        <v>1663</v>
      </c>
      <c r="P93" s="24">
        <v>400074</v>
      </c>
      <c r="Q93" s="24" t="s">
        <v>1664</v>
      </c>
      <c r="R93" s="24" t="s">
        <v>1105</v>
      </c>
      <c r="S93" s="24" t="s">
        <v>1665</v>
      </c>
      <c r="T93" s="24" t="s">
        <v>1418</v>
      </c>
      <c r="U93" s="24">
        <v>875</v>
      </c>
      <c r="V93" s="24">
        <v>126</v>
      </c>
      <c r="W93" s="24"/>
      <c r="X93" s="24">
        <v>1450</v>
      </c>
      <c r="Y93" s="24">
        <v>875</v>
      </c>
      <c r="Z93" s="24">
        <v>725</v>
      </c>
      <c r="AA93" s="24">
        <v>650</v>
      </c>
      <c r="AB93" s="24">
        <v>1248</v>
      </c>
      <c r="AC93" s="24">
        <v>1000</v>
      </c>
      <c r="AD93" s="24">
        <v>1000</v>
      </c>
      <c r="AE93" s="24">
        <v>850</v>
      </c>
      <c r="AF93" s="24">
        <v>800</v>
      </c>
      <c r="AG93" s="24">
        <v>285</v>
      </c>
      <c r="AH93" s="24">
        <v>950</v>
      </c>
      <c r="AI93" s="24">
        <v>900</v>
      </c>
      <c r="AJ93" s="24">
        <v>750</v>
      </c>
      <c r="AK93" s="24"/>
      <c r="AL93" s="24">
        <v>126</v>
      </c>
      <c r="AM93" s="24">
        <v>110</v>
      </c>
      <c r="AN93" s="24">
        <v>65</v>
      </c>
      <c r="AO93" s="24">
        <v>105</v>
      </c>
      <c r="AP93" s="24">
        <v>131</v>
      </c>
      <c r="AQ93" s="24">
        <v>140</v>
      </c>
      <c r="AR93" s="24">
        <v>125</v>
      </c>
      <c r="AS93" s="24">
        <v>130</v>
      </c>
      <c r="AT93" s="24">
        <v>45</v>
      </c>
      <c r="AU93" s="24">
        <v>150</v>
      </c>
      <c r="AV93" s="24">
        <v>123</v>
      </c>
      <c r="AW93" s="24">
        <v>140</v>
      </c>
      <c r="AX93" s="24"/>
      <c r="AY93" s="24"/>
      <c r="AZ93" s="24">
        <v>265</v>
      </c>
      <c r="BA93" s="24">
        <v>180</v>
      </c>
      <c r="BB93" s="24">
        <v>150</v>
      </c>
      <c r="BC93" s="24">
        <v>75</v>
      </c>
      <c r="BD93" s="24">
        <v>115</v>
      </c>
      <c r="BE93" s="24">
        <v>95</v>
      </c>
      <c r="BF93" s="24">
        <v>135</v>
      </c>
      <c r="BG93" s="24">
        <v>50</v>
      </c>
      <c r="BH93" s="24"/>
      <c r="BI93" s="24"/>
      <c r="BJ93" s="24">
        <v>100</v>
      </c>
      <c r="BK93" s="24"/>
      <c r="BL93" s="24"/>
      <c r="BM93" s="24"/>
      <c r="BN93" s="24"/>
      <c r="BO93" s="24"/>
      <c r="BP93" s="24"/>
      <c r="BQ93" s="24"/>
    </row>
    <row r="94" spans="1:69">
      <c r="A94" s="24">
        <v>997</v>
      </c>
      <c r="B94" s="24" t="s">
        <v>980</v>
      </c>
      <c r="C94" s="24" t="s">
        <v>1606</v>
      </c>
      <c r="D94" s="24" t="s">
        <v>1607</v>
      </c>
      <c r="E94" s="24" t="s">
        <v>1608</v>
      </c>
      <c r="F94" s="24" t="s">
        <v>1609</v>
      </c>
      <c r="G94" s="24" t="s">
        <v>1666</v>
      </c>
      <c r="H94" s="24" t="s">
        <v>1667</v>
      </c>
      <c r="I94" s="24" t="s">
        <v>1612</v>
      </c>
      <c r="J94" s="24" t="s">
        <v>1668</v>
      </c>
      <c r="K94" s="24">
        <v>12</v>
      </c>
      <c r="L94" s="24" t="s">
        <v>991</v>
      </c>
      <c r="M94" s="24" t="s">
        <v>1669</v>
      </c>
      <c r="N94" s="24">
        <v>9323087955</v>
      </c>
      <c r="O94" s="24" t="s">
        <v>1670</v>
      </c>
      <c r="P94" s="24">
        <v>400081</v>
      </c>
      <c r="Q94" s="24" t="s">
        <v>1671</v>
      </c>
      <c r="R94" s="24" t="s">
        <v>1105</v>
      </c>
      <c r="S94" s="24" t="s">
        <v>1672</v>
      </c>
      <c r="T94" s="24" t="s">
        <v>1418</v>
      </c>
      <c r="U94" s="24">
        <v>805</v>
      </c>
      <c r="V94" s="24">
        <v>75</v>
      </c>
      <c r="W94" s="24"/>
      <c r="X94" s="24">
        <v>1850</v>
      </c>
      <c r="Y94" s="24">
        <v>805</v>
      </c>
      <c r="Z94" s="24">
        <v>700</v>
      </c>
      <c r="AA94" s="24">
        <v>550</v>
      </c>
      <c r="AB94" s="24">
        <v>550</v>
      </c>
      <c r="AC94" s="24">
        <v>700</v>
      </c>
      <c r="AD94" s="24">
        <v>550</v>
      </c>
      <c r="AE94" s="24">
        <v>550</v>
      </c>
      <c r="AF94" s="24">
        <v>500</v>
      </c>
      <c r="AG94" s="24">
        <v>400</v>
      </c>
      <c r="AH94" s="24">
        <v>650</v>
      </c>
      <c r="AI94" s="24">
        <v>450</v>
      </c>
      <c r="AJ94" s="24">
        <v>350</v>
      </c>
      <c r="AK94" s="24"/>
      <c r="AL94" s="24">
        <v>75</v>
      </c>
      <c r="AM94" s="24">
        <v>65</v>
      </c>
      <c r="AN94" s="24">
        <v>65</v>
      </c>
      <c r="AO94" s="24">
        <v>60</v>
      </c>
      <c r="AP94" s="24">
        <v>90</v>
      </c>
      <c r="AQ94" s="24">
        <v>85</v>
      </c>
      <c r="AR94" s="24">
        <v>80</v>
      </c>
      <c r="AS94" s="24">
        <v>105</v>
      </c>
      <c r="AT94" s="24">
        <v>65</v>
      </c>
      <c r="AU94" s="24">
        <v>60</v>
      </c>
      <c r="AV94" s="24">
        <v>95</v>
      </c>
      <c r="AW94" s="24">
        <v>70</v>
      </c>
      <c r="AX94" s="24"/>
      <c r="AY94" s="24"/>
      <c r="AZ94" s="24">
        <v>100</v>
      </c>
      <c r="BA94" s="24">
        <v>45</v>
      </c>
      <c r="BB94" s="24">
        <v>10</v>
      </c>
      <c r="BC94" s="24">
        <v>10</v>
      </c>
      <c r="BD94" s="24">
        <v>15</v>
      </c>
      <c r="BE94" s="24">
        <v>20</v>
      </c>
      <c r="BF94" s="24">
        <v>30</v>
      </c>
      <c r="BG94" s="24">
        <v>10</v>
      </c>
      <c r="BH94" s="24"/>
      <c r="BI94" s="24"/>
      <c r="BJ94" s="24">
        <v>10</v>
      </c>
      <c r="BK94" s="24"/>
      <c r="BL94" s="24"/>
      <c r="BM94" s="24"/>
      <c r="BN94" s="24"/>
      <c r="BO94" s="24"/>
      <c r="BP94" s="24"/>
      <c r="BQ94" s="24"/>
    </row>
    <row r="95" spans="1:69">
      <c r="A95" s="24">
        <v>998</v>
      </c>
      <c r="B95" s="24" t="s">
        <v>980</v>
      </c>
      <c r="C95" s="24" t="s">
        <v>1606</v>
      </c>
      <c r="D95" s="24" t="s">
        <v>1607</v>
      </c>
      <c r="E95" s="24" t="s">
        <v>1608</v>
      </c>
      <c r="F95" s="24" t="s">
        <v>1609</v>
      </c>
      <c r="G95" s="24" t="s">
        <v>1673</v>
      </c>
      <c r="H95" s="24" t="s">
        <v>1674</v>
      </c>
      <c r="I95" s="24" t="s">
        <v>1612</v>
      </c>
      <c r="J95" s="24" t="s">
        <v>1675</v>
      </c>
      <c r="K95" s="24">
        <v>8</v>
      </c>
      <c r="L95" s="24" t="s">
        <v>991</v>
      </c>
      <c r="M95" s="24" t="s">
        <v>1676</v>
      </c>
      <c r="N95" s="24">
        <v>9888679957</v>
      </c>
      <c r="O95" s="24" t="s">
        <v>1677</v>
      </c>
      <c r="P95" s="24">
        <v>400043</v>
      </c>
      <c r="Q95" s="24" t="s">
        <v>1678</v>
      </c>
      <c r="R95" s="24" t="s">
        <v>1105</v>
      </c>
      <c r="S95" s="24" t="s">
        <v>1679</v>
      </c>
      <c r="T95" s="24" t="s">
        <v>1418</v>
      </c>
      <c r="U95" s="24">
        <v>1271</v>
      </c>
      <c r="V95" s="24">
        <v>259</v>
      </c>
      <c r="W95" s="24"/>
      <c r="X95" s="24">
        <v>2225</v>
      </c>
      <c r="Y95" s="24">
        <v>1271</v>
      </c>
      <c r="Z95" s="24">
        <v>800</v>
      </c>
      <c r="AA95" s="24">
        <v>750</v>
      </c>
      <c r="AB95" s="24">
        <v>1000</v>
      </c>
      <c r="AC95" s="24">
        <v>1900</v>
      </c>
      <c r="AD95" s="24">
        <v>725</v>
      </c>
      <c r="AE95" s="24">
        <v>900</v>
      </c>
      <c r="AF95" s="24">
        <v>1900</v>
      </c>
      <c r="AG95" s="24">
        <v>800</v>
      </c>
      <c r="AH95" s="24">
        <v>1900</v>
      </c>
      <c r="AI95" s="24">
        <v>1900</v>
      </c>
      <c r="AJ95" s="24">
        <v>900</v>
      </c>
      <c r="AK95" s="24"/>
      <c r="AL95" s="24">
        <v>259</v>
      </c>
      <c r="AM95" s="24">
        <v>138</v>
      </c>
      <c r="AN95" s="24">
        <v>80</v>
      </c>
      <c r="AO95" s="24">
        <v>150</v>
      </c>
      <c r="AP95" s="24">
        <v>150</v>
      </c>
      <c r="AQ95" s="24">
        <v>175</v>
      </c>
      <c r="AR95" s="24">
        <v>153</v>
      </c>
      <c r="AS95" s="24">
        <v>325</v>
      </c>
      <c r="AT95" s="24">
        <v>145</v>
      </c>
      <c r="AU95" s="24">
        <v>325</v>
      </c>
      <c r="AV95" s="24">
        <v>325</v>
      </c>
      <c r="AW95" s="24">
        <v>325</v>
      </c>
      <c r="AX95" s="24"/>
      <c r="AY95" s="24"/>
      <c r="AZ95" s="24">
        <v>20</v>
      </c>
      <c r="BA95" s="24">
        <v>55</v>
      </c>
      <c r="BB95" s="24">
        <v>65</v>
      </c>
      <c r="BC95" s="24">
        <v>5</v>
      </c>
      <c r="BD95" s="24">
        <v>0</v>
      </c>
      <c r="BE95" s="24"/>
      <c r="BF95" s="24">
        <v>100</v>
      </c>
      <c r="BG95" s="24">
        <v>75</v>
      </c>
      <c r="BH95" s="24">
        <v>20</v>
      </c>
      <c r="BI95" s="24"/>
      <c r="BJ95" s="24"/>
      <c r="BK95" s="24"/>
      <c r="BL95" s="24"/>
      <c r="BM95" s="24"/>
      <c r="BN95" s="24"/>
      <c r="BO95" s="24"/>
      <c r="BP95" s="24"/>
      <c r="BQ95" s="24"/>
    </row>
    <row r="96" spans="1:69">
      <c r="A96" s="24">
        <v>999</v>
      </c>
      <c r="B96" s="24" t="s">
        <v>980</v>
      </c>
      <c r="C96" s="24" t="s">
        <v>1606</v>
      </c>
      <c r="D96" s="24" t="s">
        <v>1607</v>
      </c>
      <c r="E96" s="24" t="s">
        <v>1608</v>
      </c>
      <c r="F96" s="24" t="s">
        <v>1609</v>
      </c>
      <c r="G96" s="24" t="s">
        <v>1680</v>
      </c>
      <c r="H96" s="24" t="s">
        <v>1681</v>
      </c>
      <c r="I96" s="24" t="s">
        <v>1612</v>
      </c>
      <c r="J96" s="24" t="s">
        <v>1675</v>
      </c>
      <c r="K96" s="24">
        <v>18</v>
      </c>
      <c r="L96" s="24" t="s">
        <v>1682</v>
      </c>
      <c r="M96" s="24" t="s">
        <v>1683</v>
      </c>
      <c r="N96" s="24">
        <v>9987057151</v>
      </c>
      <c r="O96" s="24" t="s">
        <v>1684</v>
      </c>
      <c r="P96" s="24">
        <v>400043</v>
      </c>
      <c r="Q96" s="24" t="s">
        <v>1685</v>
      </c>
      <c r="R96" s="24" t="s">
        <v>1105</v>
      </c>
      <c r="S96" s="24" t="s">
        <v>1686</v>
      </c>
      <c r="T96" s="24" t="s">
        <v>1418</v>
      </c>
      <c r="U96" s="24">
        <v>1300</v>
      </c>
      <c r="V96" s="24">
        <v>175</v>
      </c>
      <c r="W96" s="24"/>
      <c r="X96" s="24">
        <v>1600</v>
      </c>
      <c r="Y96" s="24">
        <v>1300</v>
      </c>
      <c r="Z96" s="24">
        <v>700</v>
      </c>
      <c r="AA96" s="24">
        <v>800</v>
      </c>
      <c r="AB96" s="24">
        <v>1400</v>
      </c>
      <c r="AC96" s="24">
        <v>1401</v>
      </c>
      <c r="AD96" s="24">
        <v>1400</v>
      </c>
      <c r="AE96" s="24">
        <v>1400</v>
      </c>
      <c r="AF96" s="24">
        <v>1400</v>
      </c>
      <c r="AG96" s="24">
        <v>815</v>
      </c>
      <c r="AH96" s="24">
        <v>1400</v>
      </c>
      <c r="AI96" s="24">
        <v>1400</v>
      </c>
      <c r="AJ96" s="24">
        <v>1400</v>
      </c>
      <c r="AK96" s="24"/>
      <c r="AL96" s="24">
        <v>175</v>
      </c>
      <c r="AM96" s="24">
        <v>100</v>
      </c>
      <c r="AN96" s="24">
        <v>110</v>
      </c>
      <c r="AO96" s="24">
        <v>200</v>
      </c>
      <c r="AP96" s="24">
        <v>200</v>
      </c>
      <c r="AQ96" s="24">
        <v>200</v>
      </c>
      <c r="AR96" s="24">
        <v>200</v>
      </c>
      <c r="AS96" s="24">
        <v>200</v>
      </c>
      <c r="AT96" s="24">
        <v>200</v>
      </c>
      <c r="AU96" s="24">
        <v>100</v>
      </c>
      <c r="AV96" s="24">
        <v>200</v>
      </c>
      <c r="AW96" s="24">
        <v>200</v>
      </c>
      <c r="AX96" s="24"/>
      <c r="AY96" s="24"/>
      <c r="AZ96" s="24">
        <v>100</v>
      </c>
      <c r="BA96" s="24">
        <v>130</v>
      </c>
      <c r="BB96" s="24">
        <v>0</v>
      </c>
      <c r="BC96" s="24">
        <v>10</v>
      </c>
      <c r="BD96" s="24">
        <v>20</v>
      </c>
      <c r="BE96" s="24">
        <v>10</v>
      </c>
      <c r="BF96" s="24">
        <v>35</v>
      </c>
      <c r="BG96" s="24">
        <v>40</v>
      </c>
      <c r="BH96" s="24"/>
      <c r="BI96" s="24"/>
      <c r="BJ96" s="24">
        <v>10</v>
      </c>
      <c r="BK96" s="24"/>
      <c r="BL96" s="24"/>
      <c r="BM96" s="24"/>
      <c r="BN96" s="24"/>
      <c r="BO96" s="24"/>
      <c r="BP96" s="24"/>
      <c r="BQ96" s="24"/>
    </row>
    <row r="97" spans="1:69">
      <c r="A97" s="24">
        <v>1000</v>
      </c>
      <c r="B97" s="24" t="s">
        <v>980</v>
      </c>
      <c r="C97" s="24" t="s">
        <v>1606</v>
      </c>
      <c r="D97" s="24" t="s">
        <v>1607</v>
      </c>
      <c r="E97" s="24" t="s">
        <v>1608</v>
      </c>
      <c r="F97" s="24" t="s">
        <v>1609</v>
      </c>
      <c r="G97" s="24" t="s">
        <v>1687</v>
      </c>
      <c r="H97" s="24" t="s">
        <v>1688</v>
      </c>
      <c r="I97" s="24" t="s">
        <v>1612</v>
      </c>
      <c r="J97" s="24" t="s">
        <v>1689</v>
      </c>
      <c r="K97" s="24">
        <v>14</v>
      </c>
      <c r="L97" s="24" t="s">
        <v>991</v>
      </c>
      <c r="M97" s="24" t="s">
        <v>1690</v>
      </c>
      <c r="N97" s="24">
        <v>9890098785</v>
      </c>
      <c r="O97" s="24" t="s">
        <v>1691</v>
      </c>
      <c r="P97" s="24">
        <v>400078</v>
      </c>
      <c r="Q97" s="24" t="s">
        <v>1692</v>
      </c>
      <c r="R97" s="24" t="s">
        <v>1105</v>
      </c>
      <c r="S97" s="24" t="s">
        <v>1693</v>
      </c>
      <c r="T97" s="24" t="s">
        <v>1418</v>
      </c>
      <c r="U97" s="24">
        <v>1150</v>
      </c>
      <c r="V97" s="24">
        <v>230</v>
      </c>
      <c r="W97" s="24"/>
      <c r="X97" s="24">
        <v>1700</v>
      </c>
      <c r="Y97" s="24">
        <v>1150</v>
      </c>
      <c r="Z97" s="24">
        <v>1000</v>
      </c>
      <c r="AA97" s="24">
        <v>600</v>
      </c>
      <c r="AB97" s="24">
        <v>1000</v>
      </c>
      <c r="AC97" s="24">
        <v>790</v>
      </c>
      <c r="AD97" s="24">
        <v>700</v>
      </c>
      <c r="AE97" s="24">
        <v>700</v>
      </c>
      <c r="AF97" s="24">
        <v>700</v>
      </c>
      <c r="AG97" s="24">
        <v>700</v>
      </c>
      <c r="AH97" s="24">
        <v>800</v>
      </c>
      <c r="AI97" s="24">
        <v>900</v>
      </c>
      <c r="AJ97" s="24">
        <v>150</v>
      </c>
      <c r="AK97" s="24"/>
      <c r="AL97" s="24">
        <v>230</v>
      </c>
      <c r="AM97" s="24">
        <v>200</v>
      </c>
      <c r="AN97" s="24">
        <v>50</v>
      </c>
      <c r="AO97" s="24">
        <v>60</v>
      </c>
      <c r="AP97" s="24">
        <v>80</v>
      </c>
      <c r="AQ97" s="24">
        <v>200</v>
      </c>
      <c r="AR97" s="24">
        <v>70</v>
      </c>
      <c r="AS97" s="24">
        <v>80</v>
      </c>
      <c r="AT97" s="24">
        <v>70</v>
      </c>
      <c r="AU97" s="24">
        <v>60</v>
      </c>
      <c r="AV97" s="24">
        <v>80</v>
      </c>
      <c r="AW97" s="24">
        <v>25</v>
      </c>
      <c r="AX97" s="24"/>
      <c r="AY97" s="24"/>
      <c r="AZ97" s="24">
        <v>50</v>
      </c>
      <c r="BA97" s="24">
        <v>15</v>
      </c>
      <c r="BB97" s="24">
        <v>25</v>
      </c>
      <c r="BC97" s="24">
        <v>20</v>
      </c>
      <c r="BD97" s="24">
        <v>10</v>
      </c>
      <c r="BE97" s="24">
        <v>20</v>
      </c>
      <c r="BF97" s="24">
        <v>20</v>
      </c>
      <c r="BG97" s="24">
        <v>30</v>
      </c>
      <c r="BH97" s="24"/>
      <c r="BI97" s="24"/>
      <c r="BJ97" s="24"/>
      <c r="BK97" s="24"/>
      <c r="BL97" s="24"/>
      <c r="BM97" s="24"/>
      <c r="BN97" s="24"/>
      <c r="BO97" s="24"/>
      <c r="BP97" s="24"/>
      <c r="BQ97" s="24"/>
    </row>
    <row r="98" spans="1:69">
      <c r="A98" s="24">
        <v>1001</v>
      </c>
      <c r="B98" s="24" t="s">
        <v>980</v>
      </c>
      <c r="C98" s="24" t="s">
        <v>1606</v>
      </c>
      <c r="D98" s="24" t="s">
        <v>1607</v>
      </c>
      <c r="E98" s="24" t="s">
        <v>1608</v>
      </c>
      <c r="F98" s="24" t="s">
        <v>1609</v>
      </c>
      <c r="G98" s="24"/>
      <c r="H98" s="24" t="s">
        <v>1694</v>
      </c>
      <c r="I98" s="24" t="s">
        <v>1612</v>
      </c>
      <c r="J98" s="24" t="s">
        <v>1695</v>
      </c>
      <c r="K98" s="24" t="s">
        <v>1696</v>
      </c>
      <c r="L98" s="24" t="s">
        <v>1697</v>
      </c>
      <c r="M98" s="24" t="s">
        <v>1698</v>
      </c>
      <c r="N98" s="24" t="s">
        <v>1699</v>
      </c>
      <c r="O98" s="24" t="s">
        <v>1700</v>
      </c>
      <c r="P98" s="24">
        <v>400001</v>
      </c>
      <c r="Q98" s="24" t="s">
        <v>1701</v>
      </c>
      <c r="R98" s="24" t="s">
        <v>1105</v>
      </c>
      <c r="S98" s="24" t="s">
        <v>1702</v>
      </c>
      <c r="T98" s="24"/>
      <c r="U98" s="24">
        <v>51</v>
      </c>
      <c r="V98" s="24">
        <v>2</v>
      </c>
      <c r="W98" s="24"/>
      <c r="X98" s="24"/>
      <c r="Y98" s="24">
        <v>51</v>
      </c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>
        <v>2</v>
      </c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</row>
    <row r="99" spans="1:69">
      <c r="A99" s="24">
        <v>1002</v>
      </c>
      <c r="B99" s="24" t="s">
        <v>980</v>
      </c>
      <c r="C99" s="24" t="s">
        <v>1606</v>
      </c>
      <c r="D99" s="24" t="s">
        <v>1607</v>
      </c>
      <c r="E99" s="24" t="s">
        <v>1608</v>
      </c>
      <c r="F99" s="24" t="s">
        <v>1609</v>
      </c>
      <c r="G99" s="24" t="s">
        <v>1703</v>
      </c>
      <c r="H99" s="24" t="s">
        <v>1704</v>
      </c>
      <c r="I99" s="24" t="s">
        <v>1612</v>
      </c>
      <c r="J99" s="24" t="s">
        <v>1705</v>
      </c>
      <c r="K99" s="24">
        <v>24</v>
      </c>
      <c r="L99" s="24" t="s">
        <v>991</v>
      </c>
      <c r="M99" s="24" t="s">
        <v>1706</v>
      </c>
      <c r="N99" s="24">
        <v>9888679957</v>
      </c>
      <c r="O99" s="24" t="s">
        <v>1707</v>
      </c>
      <c r="P99" s="24">
        <v>400037</v>
      </c>
      <c r="Q99" s="24" t="s">
        <v>991</v>
      </c>
      <c r="R99" s="24" t="s">
        <v>1105</v>
      </c>
      <c r="S99" s="24" t="s">
        <v>1708</v>
      </c>
      <c r="T99" s="24" t="s">
        <v>1418</v>
      </c>
      <c r="U99" s="24">
        <v>860</v>
      </c>
      <c r="V99" s="24">
        <v>23</v>
      </c>
      <c r="W99" s="24"/>
      <c r="X99" s="24">
        <v>850</v>
      </c>
      <c r="Y99" s="24">
        <v>860</v>
      </c>
      <c r="Z99" s="24">
        <v>750</v>
      </c>
      <c r="AA99" s="24">
        <v>750</v>
      </c>
      <c r="AB99" s="24">
        <v>750</v>
      </c>
      <c r="AC99" s="24">
        <v>751</v>
      </c>
      <c r="AD99" s="24">
        <v>750</v>
      </c>
      <c r="AE99" s="24">
        <v>750</v>
      </c>
      <c r="AF99" s="24">
        <v>750</v>
      </c>
      <c r="AG99" s="24">
        <v>750</v>
      </c>
      <c r="AH99" s="24">
        <v>750</v>
      </c>
      <c r="AI99" s="24">
        <v>750</v>
      </c>
      <c r="AJ99" s="24">
        <v>750</v>
      </c>
      <c r="AK99" s="24"/>
      <c r="AL99" s="24">
        <v>23</v>
      </c>
      <c r="AM99" s="24">
        <v>20</v>
      </c>
      <c r="AN99" s="24">
        <v>15</v>
      </c>
      <c r="AO99" s="24">
        <v>20</v>
      </c>
      <c r="AP99" s="24">
        <v>23</v>
      </c>
      <c r="AQ99" s="24">
        <v>25</v>
      </c>
      <c r="AR99" s="24">
        <v>20</v>
      </c>
      <c r="AS99" s="24">
        <v>25</v>
      </c>
      <c r="AT99" s="24">
        <v>10</v>
      </c>
      <c r="AU99" s="24">
        <v>10</v>
      </c>
      <c r="AV99" s="24">
        <v>10</v>
      </c>
      <c r="AW99" s="24">
        <v>5</v>
      </c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</row>
    <row r="100" spans="1:69">
      <c r="A100" s="24">
        <v>1003</v>
      </c>
      <c r="B100" s="24" t="s">
        <v>980</v>
      </c>
      <c r="C100" s="24" t="s">
        <v>1606</v>
      </c>
      <c r="D100" s="24" t="s">
        <v>1607</v>
      </c>
      <c r="E100" s="24" t="s">
        <v>1608</v>
      </c>
      <c r="F100" s="24" t="s">
        <v>1609</v>
      </c>
      <c r="G100" s="24" t="s">
        <v>1709</v>
      </c>
      <c r="H100" s="24" t="s">
        <v>1710</v>
      </c>
      <c r="I100" s="24" t="s">
        <v>1612</v>
      </c>
      <c r="J100" s="24" t="s">
        <v>1711</v>
      </c>
      <c r="K100" s="24" t="s">
        <v>1712</v>
      </c>
      <c r="L100" s="24" t="s">
        <v>1713</v>
      </c>
      <c r="M100" s="24" t="s">
        <v>1714</v>
      </c>
      <c r="N100" s="24" t="s">
        <v>1715</v>
      </c>
      <c r="O100" s="24" t="s">
        <v>1716</v>
      </c>
      <c r="P100" s="24">
        <v>400024</v>
      </c>
      <c r="Q100" s="24" t="s">
        <v>1717</v>
      </c>
      <c r="R100" s="24" t="s">
        <v>1105</v>
      </c>
      <c r="S100" s="24" t="s">
        <v>1702</v>
      </c>
      <c r="T100" s="24" t="s">
        <v>1418</v>
      </c>
      <c r="U100" s="24">
        <v>1236</v>
      </c>
      <c r="V100" s="24">
        <v>345</v>
      </c>
      <c r="W100" s="24"/>
      <c r="X100" s="24">
        <v>2050</v>
      </c>
      <c r="Y100" s="24">
        <v>1236</v>
      </c>
      <c r="Z100" s="24">
        <v>1075</v>
      </c>
      <c r="AA100" s="24">
        <v>600</v>
      </c>
      <c r="AB100" s="24">
        <v>1248</v>
      </c>
      <c r="AC100" s="24">
        <v>1000</v>
      </c>
      <c r="AD100" s="24">
        <v>1100</v>
      </c>
      <c r="AE100" s="24">
        <v>1200</v>
      </c>
      <c r="AF100" s="24">
        <v>1150</v>
      </c>
      <c r="AG100" s="24">
        <v>1000</v>
      </c>
      <c r="AH100" s="24">
        <v>1000</v>
      </c>
      <c r="AI100" s="24">
        <v>400</v>
      </c>
      <c r="AJ100" s="24">
        <v>400</v>
      </c>
      <c r="AK100" s="24"/>
      <c r="AL100" s="24">
        <v>345</v>
      </c>
      <c r="AM100" s="24">
        <v>300</v>
      </c>
      <c r="AN100" s="24">
        <v>80</v>
      </c>
      <c r="AO100" s="24">
        <v>75</v>
      </c>
      <c r="AP100" s="24">
        <v>150</v>
      </c>
      <c r="AQ100" s="24">
        <v>300</v>
      </c>
      <c r="AR100" s="24">
        <v>300</v>
      </c>
      <c r="AS100" s="24">
        <v>300</v>
      </c>
      <c r="AT100" s="24">
        <v>150</v>
      </c>
      <c r="AU100" s="24">
        <v>150</v>
      </c>
      <c r="AV100" s="24">
        <v>47</v>
      </c>
      <c r="AW100" s="24">
        <v>60</v>
      </c>
      <c r="AX100" s="24"/>
      <c r="AY100" s="24"/>
      <c r="AZ100" s="24">
        <v>200</v>
      </c>
      <c r="BA100" s="24">
        <v>70</v>
      </c>
      <c r="BB100" s="24">
        <v>75</v>
      </c>
      <c r="BC100" s="24">
        <v>5</v>
      </c>
      <c r="BD100" s="24">
        <v>40</v>
      </c>
      <c r="BE100" s="24">
        <v>25</v>
      </c>
      <c r="BF100" s="24">
        <v>50</v>
      </c>
      <c r="BG100" s="24">
        <v>50</v>
      </c>
      <c r="BH100" s="24">
        <v>15</v>
      </c>
      <c r="BI100" s="24"/>
      <c r="BJ100" s="24"/>
      <c r="BK100" s="24"/>
      <c r="BL100" s="24"/>
      <c r="BM100" s="24"/>
      <c r="BN100" s="24"/>
      <c r="BO100" s="24"/>
      <c r="BP100" s="24"/>
      <c r="BQ100" s="24"/>
    </row>
    <row r="101" spans="1:69">
      <c r="A101" s="24">
        <v>1004</v>
      </c>
      <c r="B101" s="24" t="s">
        <v>980</v>
      </c>
      <c r="C101" s="24" t="s">
        <v>1606</v>
      </c>
      <c r="D101" s="24" t="s">
        <v>1607</v>
      </c>
      <c r="E101" s="24" t="s">
        <v>1608</v>
      </c>
      <c r="F101" s="24" t="s">
        <v>1609</v>
      </c>
      <c r="G101" s="24" t="s">
        <v>1718</v>
      </c>
      <c r="H101" s="24" t="s">
        <v>1719</v>
      </c>
      <c r="I101" s="24" t="s">
        <v>1612</v>
      </c>
      <c r="J101" s="24" t="s">
        <v>1720</v>
      </c>
      <c r="K101" s="24" t="s">
        <v>1721</v>
      </c>
      <c r="L101" s="24" t="s">
        <v>1713</v>
      </c>
      <c r="M101" s="24" t="s">
        <v>1722</v>
      </c>
      <c r="N101" s="24" t="s">
        <v>1723</v>
      </c>
      <c r="O101" s="24" t="s">
        <v>1724</v>
      </c>
      <c r="P101" s="24">
        <v>400084</v>
      </c>
      <c r="Q101" s="24" t="s">
        <v>1725</v>
      </c>
      <c r="R101" s="24" t="s">
        <v>1105</v>
      </c>
      <c r="S101" s="24" t="s">
        <v>1702</v>
      </c>
      <c r="T101" s="24" t="s">
        <v>1418</v>
      </c>
      <c r="U101" s="24">
        <v>2875</v>
      </c>
      <c r="V101" s="24">
        <v>460</v>
      </c>
      <c r="W101" s="24"/>
      <c r="X101" s="24">
        <v>2900</v>
      </c>
      <c r="Y101" s="24">
        <v>2875</v>
      </c>
      <c r="Z101" s="24">
        <v>2500</v>
      </c>
      <c r="AA101" s="24">
        <v>2500</v>
      </c>
      <c r="AB101" s="24">
        <v>2500</v>
      </c>
      <c r="AC101" s="24">
        <v>2502</v>
      </c>
      <c r="AD101" s="24">
        <v>2500</v>
      </c>
      <c r="AE101" s="24">
        <v>2500</v>
      </c>
      <c r="AF101" s="24">
        <v>2500</v>
      </c>
      <c r="AG101" s="24">
        <v>1450</v>
      </c>
      <c r="AH101" s="24">
        <v>2500</v>
      </c>
      <c r="AI101" s="24">
        <v>2500</v>
      </c>
      <c r="AJ101" s="24">
        <v>2500</v>
      </c>
      <c r="AK101" s="24"/>
      <c r="AL101" s="24">
        <v>460</v>
      </c>
      <c r="AM101" s="24">
        <v>400</v>
      </c>
      <c r="AN101" s="24">
        <v>400</v>
      </c>
      <c r="AO101" s="24">
        <v>400</v>
      </c>
      <c r="AP101" s="24">
        <v>400</v>
      </c>
      <c r="AQ101" s="24">
        <v>400</v>
      </c>
      <c r="AR101" s="24">
        <v>400</v>
      </c>
      <c r="AS101" s="24">
        <v>400</v>
      </c>
      <c r="AT101" s="24">
        <v>400</v>
      </c>
      <c r="AU101" s="24">
        <v>400</v>
      </c>
      <c r="AV101" s="24">
        <v>400</v>
      </c>
      <c r="AW101" s="24">
        <v>400</v>
      </c>
      <c r="AX101" s="24"/>
      <c r="AY101" s="24"/>
      <c r="AZ101" s="24">
        <v>385</v>
      </c>
      <c r="BA101" s="24">
        <v>390</v>
      </c>
      <c r="BB101" s="24">
        <v>300</v>
      </c>
      <c r="BC101" s="24">
        <v>100</v>
      </c>
      <c r="BD101" s="24">
        <v>100</v>
      </c>
      <c r="BE101" s="24">
        <v>95</v>
      </c>
      <c r="BF101" s="24">
        <v>120</v>
      </c>
      <c r="BG101" s="24">
        <v>160</v>
      </c>
      <c r="BH101" s="24">
        <v>20</v>
      </c>
      <c r="BI101" s="24"/>
      <c r="BJ101" s="24">
        <v>15</v>
      </c>
      <c r="BK101" s="24"/>
      <c r="BL101" s="24"/>
      <c r="BM101" s="24"/>
      <c r="BN101" s="24"/>
      <c r="BO101" s="24"/>
      <c r="BP101" s="24"/>
      <c r="BQ101" s="24"/>
    </row>
    <row r="102" spans="1:69">
      <c r="A102" s="24">
        <v>1005</v>
      </c>
      <c r="B102" s="24" t="s">
        <v>980</v>
      </c>
      <c r="C102" s="24" t="s">
        <v>1726</v>
      </c>
      <c r="D102" s="24" t="s">
        <v>1727</v>
      </c>
      <c r="E102" s="24" t="s">
        <v>1728</v>
      </c>
      <c r="F102" s="24" t="s">
        <v>1729</v>
      </c>
      <c r="G102" s="24" t="s">
        <v>1730</v>
      </c>
      <c r="H102" s="24" t="s">
        <v>1731</v>
      </c>
      <c r="I102" s="24" t="s">
        <v>1732</v>
      </c>
      <c r="J102" s="24" t="s">
        <v>1733</v>
      </c>
      <c r="K102" s="24">
        <v>7</v>
      </c>
      <c r="L102" s="24" t="s">
        <v>1734</v>
      </c>
      <c r="M102" s="24" t="s">
        <v>1735</v>
      </c>
      <c r="N102" s="24">
        <v>9323985479</v>
      </c>
      <c r="O102" s="24" t="s">
        <v>1736</v>
      </c>
      <c r="P102" s="24">
        <v>401209</v>
      </c>
      <c r="Q102" s="24" t="s">
        <v>1737</v>
      </c>
      <c r="R102" s="24" t="s">
        <v>1105</v>
      </c>
      <c r="S102" s="24" t="s">
        <v>1738</v>
      </c>
      <c r="T102" s="24" t="s">
        <v>1418</v>
      </c>
      <c r="U102" s="24">
        <v>1523</v>
      </c>
      <c r="V102" s="24">
        <v>178</v>
      </c>
      <c r="W102" s="24"/>
      <c r="X102" s="24">
        <v>2700</v>
      </c>
      <c r="Y102" s="24">
        <v>1523</v>
      </c>
      <c r="Z102" s="24">
        <v>900</v>
      </c>
      <c r="AA102" s="24">
        <v>1218</v>
      </c>
      <c r="AB102" s="24">
        <v>1608</v>
      </c>
      <c r="AC102" s="24">
        <v>1530</v>
      </c>
      <c r="AD102" s="24">
        <v>1560</v>
      </c>
      <c r="AE102" s="24">
        <v>1210</v>
      </c>
      <c r="AF102" s="24">
        <v>1327</v>
      </c>
      <c r="AG102" s="24">
        <v>330</v>
      </c>
      <c r="AH102" s="24">
        <v>1225</v>
      </c>
      <c r="AI102" s="24">
        <v>1857</v>
      </c>
      <c r="AJ102" s="24">
        <v>1411</v>
      </c>
      <c r="AK102" s="24"/>
      <c r="AL102" s="24">
        <v>178</v>
      </c>
      <c r="AM102" s="24">
        <v>121</v>
      </c>
      <c r="AN102" s="24">
        <v>0</v>
      </c>
      <c r="AO102" s="24">
        <v>34</v>
      </c>
      <c r="AP102" s="24">
        <v>137</v>
      </c>
      <c r="AQ102" s="24">
        <v>162</v>
      </c>
      <c r="AR102" s="24">
        <v>110</v>
      </c>
      <c r="AS102" s="24">
        <v>116</v>
      </c>
      <c r="AT102" s="24">
        <v>70</v>
      </c>
      <c r="AU102" s="24">
        <v>70</v>
      </c>
      <c r="AV102" s="24">
        <v>207</v>
      </c>
      <c r="AW102" s="24">
        <v>200</v>
      </c>
      <c r="AX102" s="24"/>
      <c r="AY102" s="24"/>
      <c r="AZ102" s="24">
        <v>30</v>
      </c>
      <c r="BA102" s="24"/>
      <c r="BB102" s="24"/>
      <c r="BC102" s="24"/>
      <c r="BD102" s="24">
        <v>50</v>
      </c>
      <c r="BE102" s="24">
        <v>50</v>
      </c>
      <c r="BF102" s="24"/>
      <c r="BG102" s="24"/>
      <c r="BH102" s="24">
        <v>0</v>
      </c>
      <c r="BI102" s="24">
        <v>0</v>
      </c>
      <c r="BJ102" s="24">
        <v>25</v>
      </c>
      <c r="BK102" s="24"/>
      <c r="BL102" s="24"/>
      <c r="BM102" s="24"/>
      <c r="BN102" s="24"/>
      <c r="BO102" s="24"/>
      <c r="BP102" s="24"/>
      <c r="BQ102" s="24"/>
    </row>
    <row r="103" spans="1:69">
      <c r="A103" s="24">
        <v>1006</v>
      </c>
      <c r="B103" s="24" t="s">
        <v>980</v>
      </c>
      <c r="C103" s="24" t="s">
        <v>1726</v>
      </c>
      <c r="D103" s="24" t="s">
        <v>1727</v>
      </c>
      <c r="E103" s="24" t="s">
        <v>1728</v>
      </c>
      <c r="F103" s="24" t="s">
        <v>1729</v>
      </c>
      <c r="G103" s="24" t="s">
        <v>1739</v>
      </c>
      <c r="H103" s="24" t="s">
        <v>1740</v>
      </c>
      <c r="I103" s="24" t="s">
        <v>1732</v>
      </c>
      <c r="J103" s="24" t="s">
        <v>1741</v>
      </c>
      <c r="K103" s="24">
        <v>11</v>
      </c>
      <c r="L103" s="24" t="s">
        <v>1742</v>
      </c>
      <c r="M103" s="24" t="s">
        <v>1743</v>
      </c>
      <c r="N103" s="24">
        <v>7758030622</v>
      </c>
      <c r="O103" s="24" t="s">
        <v>1744</v>
      </c>
      <c r="P103" s="24">
        <v>401208</v>
      </c>
      <c r="Q103" s="24" t="s">
        <v>1745</v>
      </c>
      <c r="R103" s="24" t="s">
        <v>1105</v>
      </c>
      <c r="S103" s="24" t="s">
        <v>1746</v>
      </c>
      <c r="T103" s="24" t="s">
        <v>1418</v>
      </c>
      <c r="U103" s="24">
        <v>896</v>
      </c>
      <c r="V103" s="24">
        <v>71</v>
      </c>
      <c r="W103" s="24"/>
      <c r="X103" s="24">
        <v>1850</v>
      </c>
      <c r="Y103" s="24">
        <v>896</v>
      </c>
      <c r="Z103" s="24">
        <v>779</v>
      </c>
      <c r="AA103" s="24">
        <v>600</v>
      </c>
      <c r="AB103" s="24">
        <v>800</v>
      </c>
      <c r="AC103" s="24">
        <v>750</v>
      </c>
      <c r="AD103" s="24">
        <v>825</v>
      </c>
      <c r="AE103" s="24">
        <v>700</v>
      </c>
      <c r="AF103" s="24">
        <v>500</v>
      </c>
      <c r="AG103" s="24">
        <v>500</v>
      </c>
      <c r="AH103" s="24">
        <v>500</v>
      </c>
      <c r="AI103" s="24">
        <v>600</v>
      </c>
      <c r="AJ103" s="24">
        <v>500</v>
      </c>
      <c r="AK103" s="24"/>
      <c r="AL103" s="24">
        <v>71</v>
      </c>
      <c r="AM103" s="24">
        <v>60</v>
      </c>
      <c r="AN103" s="24">
        <v>54</v>
      </c>
      <c r="AO103" s="24">
        <v>58</v>
      </c>
      <c r="AP103" s="24">
        <v>102</v>
      </c>
      <c r="AQ103" s="24">
        <v>80</v>
      </c>
      <c r="AR103" s="24">
        <v>70</v>
      </c>
      <c r="AS103" s="24">
        <v>78</v>
      </c>
      <c r="AT103" s="24">
        <v>56</v>
      </c>
      <c r="AU103" s="24">
        <v>82</v>
      </c>
      <c r="AV103" s="24">
        <v>64</v>
      </c>
      <c r="AW103" s="24">
        <v>78</v>
      </c>
      <c r="AX103" s="24"/>
      <c r="AY103" s="24"/>
      <c r="AZ103" s="24">
        <v>10</v>
      </c>
      <c r="BA103" s="24">
        <v>55</v>
      </c>
      <c r="BB103" s="24">
        <v>70</v>
      </c>
      <c r="BC103" s="24"/>
      <c r="BD103" s="24">
        <v>50</v>
      </c>
      <c r="BE103" s="24">
        <v>50</v>
      </c>
      <c r="BF103" s="24">
        <v>10</v>
      </c>
      <c r="BG103" s="24"/>
      <c r="BH103" s="24">
        <v>0</v>
      </c>
      <c r="BI103" s="24">
        <v>0</v>
      </c>
      <c r="BJ103" s="24">
        <v>165</v>
      </c>
      <c r="BK103" s="24"/>
      <c r="BL103" s="24"/>
      <c r="BM103" s="24"/>
      <c r="BN103" s="24"/>
      <c r="BO103" s="24"/>
      <c r="BP103" s="24"/>
      <c r="BQ103" s="24"/>
    </row>
    <row r="104" spans="1:69">
      <c r="A104" s="24">
        <v>1007</v>
      </c>
      <c r="B104" s="24" t="s">
        <v>980</v>
      </c>
      <c r="C104" s="24" t="s">
        <v>1726</v>
      </c>
      <c r="D104" s="24" t="s">
        <v>1727</v>
      </c>
      <c r="E104" s="24" t="s">
        <v>1728</v>
      </c>
      <c r="F104" s="24" t="s">
        <v>1729</v>
      </c>
      <c r="G104" s="24" t="s">
        <v>1747</v>
      </c>
      <c r="H104" s="24" t="s">
        <v>1748</v>
      </c>
      <c r="I104" s="24" t="s">
        <v>1732</v>
      </c>
      <c r="J104" s="24" t="s">
        <v>1749</v>
      </c>
      <c r="K104" s="24">
        <v>90</v>
      </c>
      <c r="L104" s="24" t="s">
        <v>1750</v>
      </c>
      <c r="M104" s="24" t="s">
        <v>1751</v>
      </c>
      <c r="N104" s="24">
        <v>7383637703</v>
      </c>
      <c r="O104" s="24" t="s">
        <v>1752</v>
      </c>
      <c r="P104" s="24">
        <v>401606</v>
      </c>
      <c r="Q104" s="24" t="s">
        <v>1753</v>
      </c>
      <c r="R104" s="24" t="s">
        <v>1105</v>
      </c>
      <c r="S104" s="24" t="s">
        <v>1101</v>
      </c>
      <c r="T104" s="24" t="s">
        <v>1418</v>
      </c>
      <c r="U104" s="24">
        <v>340</v>
      </c>
      <c r="V104" s="24">
        <v>3</v>
      </c>
      <c r="W104" s="24"/>
      <c r="X104" s="24">
        <v>0</v>
      </c>
      <c r="Y104" s="24">
        <v>340</v>
      </c>
      <c r="Z104" s="24"/>
      <c r="AA104" s="24"/>
      <c r="AB104" s="24"/>
      <c r="AC104" s="24"/>
      <c r="AD104" s="24">
        <v>340</v>
      </c>
      <c r="AE104" s="24"/>
      <c r="AF104" s="24"/>
      <c r="AG104" s="24">
        <v>120</v>
      </c>
      <c r="AH104" s="24">
        <v>0</v>
      </c>
      <c r="AI104" s="24">
        <v>120</v>
      </c>
      <c r="AJ104" s="24">
        <v>0</v>
      </c>
      <c r="AK104" s="24"/>
      <c r="AL104" s="24">
        <v>3</v>
      </c>
      <c r="AM104" s="24"/>
      <c r="AN104" s="24"/>
      <c r="AO104" s="24"/>
      <c r="AP104" s="24">
        <v>0</v>
      </c>
      <c r="AQ104" s="24">
        <v>36</v>
      </c>
      <c r="AR104" s="24"/>
      <c r="AS104" s="24"/>
      <c r="AT104" s="24">
        <v>30</v>
      </c>
      <c r="AU104" s="24">
        <v>0</v>
      </c>
      <c r="AV104" s="24">
        <v>12</v>
      </c>
      <c r="AW104" s="24">
        <v>0</v>
      </c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>
        <v>0</v>
      </c>
      <c r="BK104" s="24"/>
      <c r="BL104" s="24"/>
      <c r="BM104" s="24"/>
      <c r="BN104" s="24"/>
      <c r="BO104" s="24"/>
      <c r="BP104" s="24"/>
      <c r="BQ104" s="24"/>
    </row>
    <row r="105" spans="1:69">
      <c r="A105" s="24">
        <v>1008</v>
      </c>
      <c r="B105" s="24" t="s">
        <v>980</v>
      </c>
      <c r="C105" s="24" t="s">
        <v>1726</v>
      </c>
      <c r="D105" s="24" t="s">
        <v>1727</v>
      </c>
      <c r="E105" s="24" t="s">
        <v>1728</v>
      </c>
      <c r="F105" s="24" t="s">
        <v>1729</v>
      </c>
      <c r="G105" s="24" t="s">
        <v>1754</v>
      </c>
      <c r="H105" s="24" t="s">
        <v>1755</v>
      </c>
      <c r="I105" s="24" t="s">
        <v>1732</v>
      </c>
      <c r="J105" s="24" t="s">
        <v>1756</v>
      </c>
      <c r="K105" s="24">
        <v>65</v>
      </c>
      <c r="L105" s="24" t="s">
        <v>1757</v>
      </c>
      <c r="M105" s="24" t="s">
        <v>1758</v>
      </c>
      <c r="N105" s="24">
        <v>9049094094</v>
      </c>
      <c r="O105" s="24" t="s">
        <v>1759</v>
      </c>
      <c r="P105" s="24">
        <v>401607</v>
      </c>
      <c r="Q105" s="24" t="s">
        <v>1760</v>
      </c>
      <c r="R105" s="24" t="s">
        <v>1105</v>
      </c>
      <c r="S105" s="24" t="s">
        <v>1101</v>
      </c>
      <c r="T105" s="24" t="s">
        <v>1418</v>
      </c>
      <c r="U105" s="24">
        <v>580</v>
      </c>
      <c r="V105" s="24">
        <v>65</v>
      </c>
      <c r="W105" s="24"/>
      <c r="X105" s="24"/>
      <c r="Y105" s="24">
        <v>580</v>
      </c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>
        <v>160</v>
      </c>
      <c r="AK105" s="24"/>
      <c r="AL105" s="24">
        <v>65</v>
      </c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>
        <v>0</v>
      </c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>
        <v>0</v>
      </c>
      <c r="BK105" s="24"/>
      <c r="BL105" s="24"/>
      <c r="BM105" s="24"/>
      <c r="BN105" s="24"/>
      <c r="BO105" s="24"/>
      <c r="BP105" s="24"/>
      <c r="BQ105" s="24"/>
    </row>
    <row r="106" spans="1:69">
      <c r="A106" s="24"/>
      <c r="B106" s="24" t="s">
        <v>980</v>
      </c>
      <c r="C106" s="24" t="s">
        <v>1726</v>
      </c>
      <c r="D106" s="24" t="s">
        <v>1727</v>
      </c>
      <c r="E106" s="24" t="s">
        <v>1728</v>
      </c>
      <c r="F106" s="24" t="s">
        <v>1729</v>
      </c>
      <c r="G106" s="24"/>
      <c r="H106" s="24" t="s">
        <v>1761</v>
      </c>
      <c r="I106" s="24" t="s">
        <v>1612</v>
      </c>
      <c r="J106" s="24" t="s">
        <v>1762</v>
      </c>
      <c r="K106" s="24">
        <v>60</v>
      </c>
      <c r="L106" s="24" t="s">
        <v>1763</v>
      </c>
      <c r="M106" s="24" t="s">
        <v>1764</v>
      </c>
      <c r="N106" s="24" t="s">
        <v>1765</v>
      </c>
      <c r="O106" s="24" t="s">
        <v>1766</v>
      </c>
      <c r="P106" s="24">
        <v>400068</v>
      </c>
      <c r="Q106" s="24" t="s">
        <v>1767</v>
      </c>
      <c r="R106" s="24" t="s">
        <v>1105</v>
      </c>
      <c r="S106" s="24" t="s">
        <v>1768</v>
      </c>
      <c r="T106" s="24"/>
      <c r="U106" s="24"/>
      <c r="V106" s="24"/>
      <c r="W106" s="24"/>
      <c r="X106" s="24"/>
      <c r="Y106" s="24">
        <v>0</v>
      </c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>
        <v>0</v>
      </c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</row>
    <row r="107" spans="1:69">
      <c r="A107" s="24">
        <v>1009</v>
      </c>
      <c r="B107" s="24" t="s">
        <v>980</v>
      </c>
      <c r="C107" s="24" t="s">
        <v>1726</v>
      </c>
      <c r="D107" s="24" t="s">
        <v>1727</v>
      </c>
      <c r="E107" s="24" t="s">
        <v>1728</v>
      </c>
      <c r="F107" s="24" t="s">
        <v>1729</v>
      </c>
      <c r="G107" s="24" t="s">
        <v>1769</v>
      </c>
      <c r="H107" s="24" t="s">
        <v>1770</v>
      </c>
      <c r="I107" s="24" t="s">
        <v>1732</v>
      </c>
      <c r="J107" s="24" t="s">
        <v>1771</v>
      </c>
      <c r="K107" s="24">
        <v>13</v>
      </c>
      <c r="L107" s="24" t="s">
        <v>1772</v>
      </c>
      <c r="M107" s="24" t="s">
        <v>1773</v>
      </c>
      <c r="N107" s="24">
        <v>7021181138</v>
      </c>
      <c r="O107" s="24" t="s">
        <v>1771</v>
      </c>
      <c r="P107" s="24">
        <v>401202</v>
      </c>
      <c r="Q107" s="24" t="s">
        <v>1774</v>
      </c>
      <c r="R107" s="24" t="s">
        <v>1105</v>
      </c>
      <c r="S107" s="24" t="s">
        <v>1775</v>
      </c>
      <c r="T107" s="24" t="s">
        <v>1418</v>
      </c>
      <c r="U107" s="24">
        <v>0</v>
      </c>
      <c r="V107" s="24">
        <v>86</v>
      </c>
      <c r="W107" s="24"/>
      <c r="X107" s="24">
        <v>250</v>
      </c>
      <c r="Y107" s="24">
        <v>0</v>
      </c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>
        <v>0</v>
      </c>
      <c r="AK107" s="24"/>
      <c r="AL107" s="24">
        <v>86</v>
      </c>
      <c r="AM107" s="24">
        <v>75</v>
      </c>
      <c r="AN107" s="24">
        <v>65</v>
      </c>
      <c r="AO107" s="24">
        <v>80</v>
      </c>
      <c r="AP107" s="24">
        <v>94</v>
      </c>
      <c r="AQ107" s="24">
        <v>89</v>
      </c>
      <c r="AR107" s="24">
        <v>79</v>
      </c>
      <c r="AS107" s="24">
        <v>60</v>
      </c>
      <c r="AT107" s="24">
        <v>69</v>
      </c>
      <c r="AU107" s="24">
        <v>75</v>
      </c>
      <c r="AV107" s="24">
        <v>83</v>
      </c>
      <c r="AW107" s="24">
        <v>74</v>
      </c>
      <c r="AX107" s="24"/>
      <c r="AY107" s="24"/>
      <c r="AZ107" s="24">
        <v>0</v>
      </c>
      <c r="BA107" s="24">
        <v>50</v>
      </c>
      <c r="BB107" s="24">
        <v>30</v>
      </c>
      <c r="BC107" s="24"/>
      <c r="BD107" s="24"/>
      <c r="BE107" s="24"/>
      <c r="BF107" s="24"/>
      <c r="BG107" s="24">
        <v>20</v>
      </c>
      <c r="BH107" s="24">
        <v>0</v>
      </c>
      <c r="BI107" s="24">
        <v>0</v>
      </c>
      <c r="BJ107" s="24">
        <v>45</v>
      </c>
      <c r="BK107" s="24"/>
      <c r="BL107" s="24"/>
      <c r="BM107" s="24"/>
      <c r="BN107" s="24"/>
      <c r="BO107" s="24"/>
      <c r="BP107" s="24"/>
      <c r="BQ107" s="24"/>
    </row>
    <row r="108" spans="1:69">
      <c r="A108" s="24">
        <v>1010</v>
      </c>
      <c r="B108" s="24" t="s">
        <v>980</v>
      </c>
      <c r="C108" s="24" t="s">
        <v>1726</v>
      </c>
      <c r="D108" s="24" t="s">
        <v>1727</v>
      </c>
      <c r="E108" s="24" t="s">
        <v>1728</v>
      </c>
      <c r="F108" s="24" t="s">
        <v>1729</v>
      </c>
      <c r="G108" s="24" t="s">
        <v>1776</v>
      </c>
      <c r="H108" s="24" t="s">
        <v>1777</v>
      </c>
      <c r="I108" s="24" t="s">
        <v>1732</v>
      </c>
      <c r="J108" s="24" t="s">
        <v>1778</v>
      </c>
      <c r="K108" s="24">
        <v>53</v>
      </c>
      <c r="L108" s="24" t="s">
        <v>1779</v>
      </c>
      <c r="M108" s="24" t="s">
        <v>1780</v>
      </c>
      <c r="N108" s="24">
        <v>9226372432</v>
      </c>
      <c r="O108" s="24" t="s">
        <v>1781</v>
      </c>
      <c r="P108" s="24">
        <v>401404</v>
      </c>
      <c r="Q108" s="24" t="s">
        <v>1782</v>
      </c>
      <c r="R108" s="24" t="s">
        <v>1105</v>
      </c>
      <c r="S108" s="24" t="s">
        <v>1783</v>
      </c>
      <c r="T108" s="24" t="s">
        <v>1418</v>
      </c>
      <c r="U108" s="24">
        <v>1573</v>
      </c>
      <c r="V108" s="24">
        <v>238</v>
      </c>
      <c r="W108" s="24"/>
      <c r="X108" s="24">
        <v>3275</v>
      </c>
      <c r="Y108" s="24">
        <v>1573</v>
      </c>
      <c r="Z108" s="24">
        <v>1213</v>
      </c>
      <c r="AA108" s="24">
        <v>1415</v>
      </c>
      <c r="AB108" s="24">
        <v>1700</v>
      </c>
      <c r="AC108" s="24">
        <v>1732</v>
      </c>
      <c r="AD108" s="24">
        <v>2000</v>
      </c>
      <c r="AE108" s="24">
        <v>1515</v>
      </c>
      <c r="AF108" s="24">
        <v>1522</v>
      </c>
      <c r="AG108" s="24">
        <v>1283</v>
      </c>
      <c r="AH108" s="24">
        <v>1655</v>
      </c>
      <c r="AI108" s="24">
        <v>1655</v>
      </c>
      <c r="AJ108" s="24">
        <v>1450</v>
      </c>
      <c r="AK108" s="24"/>
      <c r="AL108" s="24">
        <v>238</v>
      </c>
      <c r="AM108" s="24">
        <v>173</v>
      </c>
      <c r="AN108" s="24">
        <v>113</v>
      </c>
      <c r="AO108" s="24">
        <v>140</v>
      </c>
      <c r="AP108" s="24">
        <v>210</v>
      </c>
      <c r="AQ108" s="24">
        <v>275</v>
      </c>
      <c r="AR108" s="24">
        <v>202</v>
      </c>
      <c r="AS108" s="24">
        <v>260</v>
      </c>
      <c r="AT108" s="24">
        <v>169</v>
      </c>
      <c r="AU108" s="24">
        <v>275</v>
      </c>
      <c r="AV108" s="24">
        <v>275</v>
      </c>
      <c r="AW108" s="24">
        <v>200</v>
      </c>
      <c r="AX108" s="24"/>
      <c r="AY108" s="24"/>
      <c r="AZ108" s="24">
        <v>95</v>
      </c>
      <c r="BA108" s="24">
        <v>45</v>
      </c>
      <c r="BB108" s="24">
        <v>55</v>
      </c>
      <c r="BC108" s="24"/>
      <c r="BD108" s="24">
        <v>20</v>
      </c>
      <c r="BE108" s="24">
        <v>20</v>
      </c>
      <c r="BF108" s="24">
        <v>45</v>
      </c>
      <c r="BG108" s="24">
        <v>67</v>
      </c>
      <c r="BH108" s="24">
        <v>0</v>
      </c>
      <c r="BI108" s="24">
        <v>0</v>
      </c>
      <c r="BJ108" s="24">
        <v>110</v>
      </c>
      <c r="BK108" s="24"/>
      <c r="BL108" s="24"/>
      <c r="BM108" s="24"/>
      <c r="BN108" s="24"/>
      <c r="BO108" s="24"/>
      <c r="BP108" s="24"/>
      <c r="BQ108" s="24"/>
    </row>
    <row r="109" spans="1:69">
      <c r="A109" s="24">
        <v>1011</v>
      </c>
      <c r="B109" s="24" t="s">
        <v>980</v>
      </c>
      <c r="C109" s="24" t="s">
        <v>1726</v>
      </c>
      <c r="D109" s="24" t="s">
        <v>1727</v>
      </c>
      <c r="E109" s="24" t="s">
        <v>1728</v>
      </c>
      <c r="F109" s="24" t="s">
        <v>1729</v>
      </c>
      <c r="G109" s="24" t="s">
        <v>1784</v>
      </c>
      <c r="H109" s="24" t="s">
        <v>1785</v>
      </c>
      <c r="I109" s="24" t="s">
        <v>1732</v>
      </c>
      <c r="J109" s="24" t="s">
        <v>1786</v>
      </c>
      <c r="K109" s="24">
        <v>41</v>
      </c>
      <c r="L109" s="24" t="s">
        <v>1787</v>
      </c>
      <c r="M109" s="24" t="s">
        <v>1788</v>
      </c>
      <c r="N109" s="24">
        <v>8369840255</v>
      </c>
      <c r="O109" s="24" t="s">
        <v>1789</v>
      </c>
      <c r="P109" s="24">
        <v>400092</v>
      </c>
      <c r="Q109" s="24" t="s">
        <v>1790</v>
      </c>
      <c r="R109" s="24" t="s">
        <v>1105</v>
      </c>
      <c r="S109" s="24" t="s">
        <v>1791</v>
      </c>
      <c r="T109" s="24" t="s">
        <v>1418</v>
      </c>
      <c r="U109" s="24">
        <v>622</v>
      </c>
      <c r="V109" s="24">
        <v>49</v>
      </c>
      <c r="W109" s="24"/>
      <c r="X109" s="24">
        <v>2100</v>
      </c>
      <c r="Y109" s="24">
        <v>622</v>
      </c>
      <c r="Z109" s="24">
        <v>541</v>
      </c>
      <c r="AA109" s="24">
        <v>368</v>
      </c>
      <c r="AB109" s="24">
        <v>546</v>
      </c>
      <c r="AC109" s="24">
        <v>610</v>
      </c>
      <c r="AD109" s="24">
        <v>600</v>
      </c>
      <c r="AE109" s="24">
        <v>300</v>
      </c>
      <c r="AF109" s="24">
        <v>365</v>
      </c>
      <c r="AG109" s="24">
        <v>360</v>
      </c>
      <c r="AH109" s="24">
        <v>526</v>
      </c>
      <c r="AI109" s="24">
        <v>548</v>
      </c>
      <c r="AJ109" s="24">
        <v>445</v>
      </c>
      <c r="AK109" s="24"/>
      <c r="AL109" s="24">
        <v>49</v>
      </c>
      <c r="AM109" s="24">
        <v>41</v>
      </c>
      <c r="AN109" s="24">
        <v>43</v>
      </c>
      <c r="AO109" s="24">
        <v>37</v>
      </c>
      <c r="AP109" s="24">
        <v>61</v>
      </c>
      <c r="AQ109" s="24">
        <v>57</v>
      </c>
      <c r="AR109" s="24">
        <v>54</v>
      </c>
      <c r="AS109" s="24">
        <v>45</v>
      </c>
      <c r="AT109" s="24">
        <v>29</v>
      </c>
      <c r="AU109" s="24">
        <v>58</v>
      </c>
      <c r="AV109" s="24">
        <v>56</v>
      </c>
      <c r="AW109" s="24">
        <v>47</v>
      </c>
      <c r="AX109" s="24"/>
      <c r="AY109" s="24"/>
      <c r="AZ109" s="24">
        <v>90</v>
      </c>
      <c r="BA109" s="24">
        <v>40</v>
      </c>
      <c r="BB109" s="24">
        <v>25</v>
      </c>
      <c r="BC109" s="24">
        <v>20</v>
      </c>
      <c r="BD109" s="24">
        <v>20</v>
      </c>
      <c r="BE109" s="24">
        <v>20</v>
      </c>
      <c r="BF109" s="24">
        <v>20</v>
      </c>
      <c r="BG109" s="24"/>
      <c r="BH109" s="24">
        <v>0</v>
      </c>
      <c r="BI109" s="24">
        <v>0</v>
      </c>
      <c r="BJ109" s="24">
        <v>0</v>
      </c>
      <c r="BK109" s="24"/>
      <c r="BL109" s="24"/>
      <c r="BM109" s="24"/>
      <c r="BN109" s="24"/>
      <c r="BO109" s="24"/>
      <c r="BP109" s="24"/>
      <c r="BQ109" s="24"/>
    </row>
    <row r="110" spans="1:69">
      <c r="A110" s="24">
        <v>1012</v>
      </c>
      <c r="B110" s="24" t="s">
        <v>980</v>
      </c>
      <c r="C110" s="24" t="s">
        <v>1726</v>
      </c>
      <c r="D110" s="24" t="s">
        <v>1727</v>
      </c>
      <c r="E110" s="24" t="s">
        <v>1728</v>
      </c>
      <c r="F110" s="24" t="s">
        <v>1729</v>
      </c>
      <c r="G110" s="24" t="s">
        <v>1792</v>
      </c>
      <c r="H110" s="24" t="s">
        <v>1793</v>
      </c>
      <c r="I110" s="24" t="s">
        <v>1732</v>
      </c>
      <c r="J110" s="24" t="s">
        <v>1794</v>
      </c>
      <c r="K110" s="24">
        <v>7</v>
      </c>
      <c r="L110" s="24" t="s">
        <v>1795</v>
      </c>
      <c r="M110" s="24" t="s">
        <v>1796</v>
      </c>
      <c r="N110" s="24">
        <v>9323985479</v>
      </c>
      <c r="O110" s="24" t="s">
        <v>1797</v>
      </c>
      <c r="P110" s="24">
        <v>401209</v>
      </c>
      <c r="Q110" s="24" t="s">
        <v>1737</v>
      </c>
      <c r="R110" s="24" t="s">
        <v>1105</v>
      </c>
      <c r="S110" s="24" t="s">
        <v>1798</v>
      </c>
      <c r="T110" s="24" t="s">
        <v>1418</v>
      </c>
      <c r="U110" s="24">
        <v>2415</v>
      </c>
      <c r="V110" s="24">
        <v>206</v>
      </c>
      <c r="W110" s="24"/>
      <c r="X110" s="24">
        <v>3750</v>
      </c>
      <c r="Y110" s="24">
        <v>2415</v>
      </c>
      <c r="Z110" s="24">
        <v>2100</v>
      </c>
      <c r="AA110" s="24">
        <v>2185</v>
      </c>
      <c r="AB110" s="24">
        <v>2600</v>
      </c>
      <c r="AC110" s="24">
        <v>2970</v>
      </c>
      <c r="AD110" s="24">
        <v>2776</v>
      </c>
      <c r="AE110" s="24">
        <v>2160</v>
      </c>
      <c r="AF110" s="24">
        <v>2176</v>
      </c>
      <c r="AG110" s="24">
        <v>1553</v>
      </c>
      <c r="AH110" s="24">
        <v>1901</v>
      </c>
      <c r="AI110" s="24">
        <v>2169</v>
      </c>
      <c r="AJ110" s="24">
        <v>2332</v>
      </c>
      <c r="AK110" s="24"/>
      <c r="AL110" s="24">
        <v>206</v>
      </c>
      <c r="AM110" s="24">
        <v>179</v>
      </c>
      <c r="AN110" s="24">
        <v>144</v>
      </c>
      <c r="AO110" s="24">
        <v>140</v>
      </c>
      <c r="AP110" s="24">
        <v>197</v>
      </c>
      <c r="AQ110" s="24">
        <v>210</v>
      </c>
      <c r="AR110" s="24">
        <v>218</v>
      </c>
      <c r="AS110" s="24">
        <v>231</v>
      </c>
      <c r="AT110" s="24">
        <v>199</v>
      </c>
      <c r="AU110" s="24">
        <v>201</v>
      </c>
      <c r="AV110" s="24">
        <v>159</v>
      </c>
      <c r="AW110" s="24">
        <v>183</v>
      </c>
      <c r="AX110" s="24"/>
      <c r="AY110" s="24"/>
      <c r="AZ110" s="24"/>
      <c r="BA110" s="24">
        <v>150</v>
      </c>
      <c r="BB110" s="24">
        <v>110</v>
      </c>
      <c r="BC110" s="24"/>
      <c r="BD110" s="24">
        <v>50</v>
      </c>
      <c r="BE110" s="24"/>
      <c r="BF110" s="24"/>
      <c r="BG110" s="24"/>
      <c r="BH110" s="24">
        <v>0</v>
      </c>
      <c r="BI110" s="24">
        <v>0</v>
      </c>
      <c r="BJ110" s="24">
        <v>0</v>
      </c>
      <c r="BK110" s="24"/>
      <c r="BL110" s="24"/>
      <c r="BM110" s="24"/>
      <c r="BN110" s="24"/>
      <c r="BO110" s="24"/>
      <c r="BP110" s="24"/>
      <c r="BQ110" s="24"/>
    </row>
    <row r="111" spans="1:69">
      <c r="A111" s="24">
        <v>1013</v>
      </c>
      <c r="B111" s="24" t="s">
        <v>980</v>
      </c>
      <c r="C111" s="24" t="s">
        <v>1726</v>
      </c>
      <c r="D111" s="24" t="s">
        <v>1727</v>
      </c>
      <c r="E111" s="24" t="s">
        <v>1728</v>
      </c>
      <c r="F111" s="24" t="s">
        <v>1729</v>
      </c>
      <c r="G111" s="24" t="s">
        <v>1799</v>
      </c>
      <c r="H111" s="24" t="s">
        <v>1800</v>
      </c>
      <c r="I111" s="24" t="s">
        <v>1732</v>
      </c>
      <c r="J111" s="24" t="s">
        <v>1801</v>
      </c>
      <c r="K111" s="24">
        <v>39</v>
      </c>
      <c r="L111" s="24" t="s">
        <v>1802</v>
      </c>
      <c r="M111" s="24" t="s">
        <v>1803</v>
      </c>
      <c r="N111" s="24">
        <v>9820848183</v>
      </c>
      <c r="O111" s="24" t="s">
        <v>1804</v>
      </c>
      <c r="P111" s="24">
        <v>400064</v>
      </c>
      <c r="Q111" s="24" t="s">
        <v>1805</v>
      </c>
      <c r="R111" s="24" t="s">
        <v>1105</v>
      </c>
      <c r="S111" s="24" t="s">
        <v>1806</v>
      </c>
      <c r="T111" s="24" t="s">
        <v>1418</v>
      </c>
      <c r="U111" s="24">
        <v>1240</v>
      </c>
      <c r="V111" s="24">
        <v>127</v>
      </c>
      <c r="W111" s="24"/>
      <c r="X111" s="24">
        <v>2200</v>
      </c>
      <c r="Y111" s="24">
        <v>1240</v>
      </c>
      <c r="Z111" s="24">
        <v>1078</v>
      </c>
      <c r="AA111" s="24">
        <v>1029</v>
      </c>
      <c r="AB111" s="24">
        <v>1151</v>
      </c>
      <c r="AC111" s="24">
        <v>1200</v>
      </c>
      <c r="AD111" s="24">
        <v>1200</v>
      </c>
      <c r="AE111" s="24">
        <v>1000</v>
      </c>
      <c r="AF111" s="24">
        <v>450</v>
      </c>
      <c r="AG111" s="24">
        <v>944</v>
      </c>
      <c r="AH111" s="24">
        <v>1127</v>
      </c>
      <c r="AI111" s="24">
        <v>1200</v>
      </c>
      <c r="AJ111" s="24">
        <v>1058</v>
      </c>
      <c r="AK111" s="24"/>
      <c r="AL111" s="24">
        <v>127</v>
      </c>
      <c r="AM111" s="24">
        <v>110</v>
      </c>
      <c r="AN111" s="24">
        <v>70</v>
      </c>
      <c r="AO111" s="24">
        <v>95</v>
      </c>
      <c r="AP111" s="24">
        <v>107</v>
      </c>
      <c r="AQ111" s="24">
        <v>134</v>
      </c>
      <c r="AR111" s="24">
        <v>114</v>
      </c>
      <c r="AS111" s="24">
        <v>120</v>
      </c>
      <c r="AT111" s="24">
        <v>95</v>
      </c>
      <c r="AU111" s="24">
        <v>135</v>
      </c>
      <c r="AV111" s="24">
        <v>129</v>
      </c>
      <c r="AW111" s="24">
        <v>119</v>
      </c>
      <c r="AX111" s="24"/>
      <c r="AY111" s="24"/>
      <c r="AZ111" s="24">
        <v>0</v>
      </c>
      <c r="BA111" s="24">
        <v>10</v>
      </c>
      <c r="BB111" s="24">
        <v>10</v>
      </c>
      <c r="BC111" s="24"/>
      <c r="BD111" s="24"/>
      <c r="BE111" s="24"/>
      <c r="BF111" s="24"/>
      <c r="BG111" s="24"/>
      <c r="BH111" s="24">
        <v>0</v>
      </c>
      <c r="BI111" s="24">
        <v>0</v>
      </c>
      <c r="BJ111" s="24">
        <v>40</v>
      </c>
      <c r="BK111" s="24"/>
      <c r="BL111" s="24"/>
      <c r="BM111" s="24"/>
      <c r="BN111" s="24"/>
      <c r="BO111" s="24"/>
      <c r="BP111" s="24"/>
      <c r="BQ111" s="24"/>
    </row>
    <row r="112" spans="1:69">
      <c r="A112" s="24">
        <v>1014</v>
      </c>
      <c r="B112" s="24" t="s">
        <v>980</v>
      </c>
      <c r="C112" s="24" t="s">
        <v>1726</v>
      </c>
      <c r="D112" s="24" t="s">
        <v>1727</v>
      </c>
      <c r="E112" s="24" t="s">
        <v>1728</v>
      </c>
      <c r="F112" s="24" t="s">
        <v>1729</v>
      </c>
      <c r="G112" s="24" t="s">
        <v>1807</v>
      </c>
      <c r="H112" s="24" t="s">
        <v>1808</v>
      </c>
      <c r="I112" s="24" t="s">
        <v>1732</v>
      </c>
      <c r="J112" s="24" t="s">
        <v>1809</v>
      </c>
      <c r="K112" s="24">
        <v>41</v>
      </c>
      <c r="L112" s="24" t="s">
        <v>1810</v>
      </c>
      <c r="M112" s="24" t="s">
        <v>1811</v>
      </c>
      <c r="N112" s="24">
        <v>9870074135</v>
      </c>
      <c r="O112" s="24" t="s">
        <v>1812</v>
      </c>
      <c r="P112" s="24">
        <v>401101</v>
      </c>
      <c r="Q112" s="24" t="s">
        <v>1813</v>
      </c>
      <c r="R112" s="24" t="s">
        <v>1105</v>
      </c>
      <c r="S112" s="24" t="s">
        <v>1814</v>
      </c>
      <c r="T112" s="24" t="s">
        <v>1418</v>
      </c>
      <c r="U112" s="24">
        <v>1585</v>
      </c>
      <c r="V112" s="24">
        <v>219</v>
      </c>
      <c r="W112" s="24"/>
      <c r="X112" s="24">
        <v>3875</v>
      </c>
      <c r="Y112" s="24">
        <v>1585</v>
      </c>
      <c r="Z112" s="24">
        <v>1378</v>
      </c>
      <c r="AA112" s="24">
        <v>1402</v>
      </c>
      <c r="AB112" s="24">
        <v>1600</v>
      </c>
      <c r="AC112" s="24">
        <v>1800</v>
      </c>
      <c r="AD112" s="24">
        <v>1900</v>
      </c>
      <c r="AE112" s="24">
        <v>1450</v>
      </c>
      <c r="AF112" s="24">
        <v>1674</v>
      </c>
      <c r="AG112" s="24">
        <v>1236</v>
      </c>
      <c r="AH112" s="24">
        <v>1600</v>
      </c>
      <c r="AI112" s="24">
        <v>1639</v>
      </c>
      <c r="AJ112" s="24">
        <v>1427</v>
      </c>
      <c r="AK112" s="24"/>
      <c r="AL112" s="24">
        <v>219</v>
      </c>
      <c r="AM112" s="24">
        <v>169</v>
      </c>
      <c r="AN112" s="24">
        <v>112</v>
      </c>
      <c r="AO112" s="24">
        <v>156</v>
      </c>
      <c r="AP112" s="24">
        <v>164</v>
      </c>
      <c r="AQ112" s="24">
        <v>155</v>
      </c>
      <c r="AR112" s="24">
        <v>184</v>
      </c>
      <c r="AS112" s="24">
        <v>217</v>
      </c>
      <c r="AT112" s="24">
        <v>169</v>
      </c>
      <c r="AU112" s="24">
        <v>234</v>
      </c>
      <c r="AV112" s="24">
        <v>231</v>
      </c>
      <c r="AW112" s="24">
        <v>203</v>
      </c>
      <c r="AX112" s="24"/>
      <c r="AY112" s="24"/>
      <c r="AZ112" s="24">
        <v>90</v>
      </c>
      <c r="BA112" s="24">
        <v>25</v>
      </c>
      <c r="BB112" s="24">
        <v>10</v>
      </c>
      <c r="BC112" s="24">
        <v>20</v>
      </c>
      <c r="BD112" s="24"/>
      <c r="BE112" s="24"/>
      <c r="BF112" s="24">
        <v>20</v>
      </c>
      <c r="BG112" s="24"/>
      <c r="BH112" s="24">
        <v>0</v>
      </c>
      <c r="BI112" s="24">
        <v>0</v>
      </c>
      <c r="BJ112" s="24">
        <v>95</v>
      </c>
      <c r="BK112" s="24"/>
      <c r="BL112" s="24"/>
      <c r="BM112" s="24"/>
      <c r="BN112" s="24"/>
      <c r="BO112" s="24"/>
      <c r="BP112" s="24"/>
      <c r="BQ112" s="24"/>
    </row>
    <row r="113" spans="1:69">
      <c r="A113" s="24">
        <v>1015</v>
      </c>
      <c r="B113" s="24" t="s">
        <v>980</v>
      </c>
      <c r="C113" s="24" t="s">
        <v>1726</v>
      </c>
      <c r="D113" s="24" t="s">
        <v>1727</v>
      </c>
      <c r="E113" s="24" t="s">
        <v>1728</v>
      </c>
      <c r="F113" s="24" t="s">
        <v>1729</v>
      </c>
      <c r="G113" s="24" t="s">
        <v>1815</v>
      </c>
      <c r="H113" s="24" t="s">
        <v>1816</v>
      </c>
      <c r="I113" s="24" t="s">
        <v>1732</v>
      </c>
      <c r="J113" s="24" t="s">
        <v>1741</v>
      </c>
      <c r="K113" s="24">
        <v>11</v>
      </c>
      <c r="L113" s="24" t="s">
        <v>1817</v>
      </c>
      <c r="M113" s="24" t="s">
        <v>1818</v>
      </c>
      <c r="N113" s="24">
        <v>9156827622</v>
      </c>
      <c r="O113" s="24" t="s">
        <v>1819</v>
      </c>
      <c r="P113" s="24">
        <v>401202</v>
      </c>
      <c r="Q113" s="24" t="s">
        <v>1820</v>
      </c>
      <c r="R113" s="24" t="s">
        <v>1105</v>
      </c>
      <c r="S113" s="24" t="s">
        <v>1821</v>
      </c>
      <c r="T113" s="24" t="s">
        <v>1418</v>
      </c>
      <c r="U113" s="24">
        <v>0</v>
      </c>
      <c r="V113" s="24">
        <v>301</v>
      </c>
      <c r="W113" s="24"/>
      <c r="X113" s="24">
        <v>300</v>
      </c>
      <c r="Y113" s="24">
        <v>0</v>
      </c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>
        <v>0</v>
      </c>
      <c r="AK113" s="24"/>
      <c r="AL113" s="24">
        <v>301</v>
      </c>
      <c r="AM113" s="24">
        <v>143</v>
      </c>
      <c r="AN113" s="24">
        <v>168</v>
      </c>
      <c r="AO113" s="24">
        <v>300</v>
      </c>
      <c r="AP113" s="24">
        <v>300</v>
      </c>
      <c r="AQ113" s="24">
        <v>301</v>
      </c>
      <c r="AR113" s="24">
        <v>302</v>
      </c>
      <c r="AS113" s="24">
        <v>303</v>
      </c>
      <c r="AT113" s="24">
        <v>326</v>
      </c>
      <c r="AU113" s="24">
        <v>301</v>
      </c>
      <c r="AV113" s="24">
        <v>303</v>
      </c>
      <c r="AW113" s="24">
        <v>300</v>
      </c>
      <c r="AX113" s="24"/>
      <c r="AY113" s="24"/>
      <c r="AZ113" s="24">
        <v>20</v>
      </c>
      <c r="BA113" s="24"/>
      <c r="BB113" s="24">
        <v>100</v>
      </c>
      <c r="BC113" s="24"/>
      <c r="BD113" s="24">
        <v>50</v>
      </c>
      <c r="BE113" s="24">
        <v>50</v>
      </c>
      <c r="BF113" s="24"/>
      <c r="BG113" s="24">
        <v>27</v>
      </c>
      <c r="BH113" s="24">
        <v>0</v>
      </c>
      <c r="BI113" s="24">
        <v>0</v>
      </c>
      <c r="BJ113" s="24">
        <v>90</v>
      </c>
      <c r="BK113" s="24"/>
      <c r="BL113" s="24"/>
      <c r="BM113" s="24"/>
      <c r="BN113" s="24"/>
      <c r="BO113" s="24"/>
      <c r="BP113" s="24"/>
      <c r="BQ113" s="24"/>
    </row>
    <row r="114" spans="1:69">
      <c r="A114" s="24">
        <v>1016</v>
      </c>
      <c r="B114" s="24" t="s">
        <v>980</v>
      </c>
      <c r="C114" s="24" t="s">
        <v>1726</v>
      </c>
      <c r="D114" s="24" t="s">
        <v>1727</v>
      </c>
      <c r="E114" s="24" t="s">
        <v>1728</v>
      </c>
      <c r="F114" s="24" t="s">
        <v>1729</v>
      </c>
      <c r="G114" s="24" t="s">
        <v>1822</v>
      </c>
      <c r="H114" s="24" t="s">
        <v>1823</v>
      </c>
      <c r="I114" s="24" t="s">
        <v>1732</v>
      </c>
      <c r="J114" s="24" t="s">
        <v>1771</v>
      </c>
      <c r="K114" s="24">
        <v>13</v>
      </c>
      <c r="L114" s="24" t="s">
        <v>1824</v>
      </c>
      <c r="M114" s="24" t="s">
        <v>1825</v>
      </c>
      <c r="N114" s="24">
        <v>9028678381</v>
      </c>
      <c r="O114" s="24" t="s">
        <v>1826</v>
      </c>
      <c r="P114" s="24">
        <v>401202</v>
      </c>
      <c r="Q114" s="24" t="s">
        <v>1827</v>
      </c>
      <c r="R114" s="24" t="s">
        <v>1105</v>
      </c>
      <c r="S114" s="24" t="s">
        <v>1828</v>
      </c>
      <c r="T114" s="24" t="s">
        <v>1418</v>
      </c>
      <c r="U114" s="24">
        <v>1037</v>
      </c>
      <c r="V114" s="24">
        <v>0</v>
      </c>
      <c r="W114" s="24"/>
      <c r="X114" s="24">
        <v>1500</v>
      </c>
      <c r="Y114" s="24">
        <v>1037</v>
      </c>
      <c r="Z114" s="24">
        <v>902</v>
      </c>
      <c r="AA114" s="24">
        <v>794</v>
      </c>
      <c r="AB114" s="24">
        <v>1050</v>
      </c>
      <c r="AC114" s="24">
        <v>1066</v>
      </c>
      <c r="AD114" s="24">
        <v>900</v>
      </c>
      <c r="AE114" s="24">
        <v>900</v>
      </c>
      <c r="AF114" s="24">
        <v>960</v>
      </c>
      <c r="AG114" s="24">
        <v>922</v>
      </c>
      <c r="AH114" s="24">
        <v>1067</v>
      </c>
      <c r="AI114" s="24">
        <v>1000</v>
      </c>
      <c r="AJ114" s="24">
        <v>800</v>
      </c>
      <c r="AK114" s="24"/>
      <c r="AL114" s="24">
        <v>0</v>
      </c>
      <c r="AM114" s="24">
        <v>0</v>
      </c>
      <c r="AN114" s="24">
        <v>0</v>
      </c>
      <c r="AO114" s="24">
        <v>0</v>
      </c>
      <c r="AP114" s="24">
        <v>0</v>
      </c>
      <c r="AQ114" s="24">
        <v>0</v>
      </c>
      <c r="AR114" s="24">
        <v>0</v>
      </c>
      <c r="AS114" s="24">
        <v>0</v>
      </c>
      <c r="AT114" s="24">
        <v>1</v>
      </c>
      <c r="AU114" s="24">
        <v>0</v>
      </c>
      <c r="AV114" s="24">
        <v>0</v>
      </c>
      <c r="AW114" s="24">
        <v>0</v>
      </c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>
        <v>0</v>
      </c>
      <c r="BK114" s="24"/>
      <c r="BL114" s="24"/>
      <c r="BM114" s="24"/>
      <c r="BN114" s="24"/>
      <c r="BO114" s="24"/>
      <c r="BP114" s="24"/>
      <c r="BQ114" s="24"/>
    </row>
    <row r="115" spans="1:69">
      <c r="A115" s="24">
        <v>1017</v>
      </c>
      <c r="B115" s="24" t="s">
        <v>980</v>
      </c>
      <c r="C115" s="24" t="s">
        <v>1726</v>
      </c>
      <c r="D115" s="24" t="s">
        <v>1829</v>
      </c>
      <c r="E115" s="24" t="s">
        <v>1830</v>
      </c>
      <c r="F115" s="24" t="s">
        <v>1831</v>
      </c>
      <c r="G115" s="24" t="s">
        <v>1832</v>
      </c>
      <c r="H115" s="24" t="s">
        <v>1833</v>
      </c>
      <c r="I115" s="24" t="s">
        <v>1834</v>
      </c>
      <c r="J115" s="24" t="s">
        <v>1612</v>
      </c>
      <c r="K115" s="24">
        <v>28</v>
      </c>
      <c r="L115" s="24" t="s">
        <v>1835</v>
      </c>
      <c r="M115" s="24" t="s">
        <v>1836</v>
      </c>
      <c r="N115" s="24">
        <v>9082389891</v>
      </c>
      <c r="O115" s="24" t="s">
        <v>1837</v>
      </c>
      <c r="P115" s="24">
        <v>400104</v>
      </c>
      <c r="Q115" s="24" t="s">
        <v>1838</v>
      </c>
      <c r="R115" s="24" t="s">
        <v>1105</v>
      </c>
      <c r="S115" s="24" t="s">
        <v>1839</v>
      </c>
      <c r="T115" s="24" t="s">
        <v>1418</v>
      </c>
      <c r="U115" s="24">
        <v>489</v>
      </c>
      <c r="V115" s="24">
        <v>31</v>
      </c>
      <c r="W115" s="24"/>
      <c r="X115" s="24">
        <v>2300</v>
      </c>
      <c r="Y115" s="24">
        <v>489</v>
      </c>
      <c r="Z115" s="24">
        <v>425</v>
      </c>
      <c r="AA115" s="24">
        <v>668</v>
      </c>
      <c r="AB115" s="24">
        <v>568</v>
      </c>
      <c r="AC115" s="24">
        <v>121</v>
      </c>
      <c r="AD115" s="24">
        <v>0</v>
      </c>
      <c r="AE115" s="24">
        <v>0</v>
      </c>
      <c r="AF115" s="24">
        <v>0</v>
      </c>
      <c r="AG115" s="24">
        <v>365</v>
      </c>
      <c r="AH115" s="24">
        <v>537</v>
      </c>
      <c r="AI115" s="24">
        <v>280</v>
      </c>
      <c r="AJ115" s="24">
        <v>347</v>
      </c>
      <c r="AK115" s="24"/>
      <c r="AL115" s="24">
        <v>31</v>
      </c>
      <c r="AM115" s="24">
        <v>24</v>
      </c>
      <c r="AN115" s="24">
        <v>65</v>
      </c>
      <c r="AO115" s="24">
        <v>75</v>
      </c>
      <c r="AP115" s="24">
        <v>20</v>
      </c>
      <c r="AQ115" s="24">
        <v>0</v>
      </c>
      <c r="AR115" s="24">
        <v>0</v>
      </c>
      <c r="AS115" s="24"/>
      <c r="AT115" s="24">
        <v>46</v>
      </c>
      <c r="AU115" s="24">
        <v>55</v>
      </c>
      <c r="AV115" s="24">
        <v>31</v>
      </c>
      <c r="AW115" s="24">
        <v>38</v>
      </c>
      <c r="AX115" s="24"/>
      <c r="AY115" s="24"/>
      <c r="AZ115" s="24">
        <v>0</v>
      </c>
      <c r="BA115" s="24">
        <v>10</v>
      </c>
      <c r="BB115" s="24">
        <v>0</v>
      </c>
      <c r="BC115" s="24">
        <v>0</v>
      </c>
      <c r="BD115" s="24">
        <v>0</v>
      </c>
      <c r="BE115" s="24">
        <v>0</v>
      </c>
      <c r="BF115" s="24">
        <v>0</v>
      </c>
      <c r="BG115" s="24"/>
      <c r="BH115" s="24"/>
      <c r="BI115" s="24">
        <v>0</v>
      </c>
      <c r="BJ115" s="24">
        <v>0</v>
      </c>
      <c r="BK115" s="24"/>
      <c r="BL115" s="24"/>
      <c r="BM115" s="24"/>
      <c r="BN115" s="24"/>
      <c r="BO115" s="24"/>
      <c r="BP115" s="24"/>
      <c r="BQ115" s="24"/>
    </row>
    <row r="116" spans="1:69">
      <c r="A116" s="24">
        <v>1018</v>
      </c>
      <c r="B116" s="24" t="s">
        <v>980</v>
      </c>
      <c r="C116" s="24" t="s">
        <v>1726</v>
      </c>
      <c r="D116" s="24" t="s">
        <v>1829</v>
      </c>
      <c r="E116" s="24" t="s">
        <v>1830</v>
      </c>
      <c r="F116" s="24" t="s">
        <v>1831</v>
      </c>
      <c r="G116" s="24" t="s">
        <v>1840</v>
      </c>
      <c r="H116" s="24" t="s">
        <v>1841</v>
      </c>
      <c r="I116" s="24" t="s">
        <v>1834</v>
      </c>
      <c r="J116" s="24" t="s">
        <v>1612</v>
      </c>
      <c r="K116" s="24">
        <v>23</v>
      </c>
      <c r="L116" s="24" t="s">
        <v>1842</v>
      </c>
      <c r="M116" s="24" t="s">
        <v>1843</v>
      </c>
      <c r="N116" s="24" t="s">
        <v>1844</v>
      </c>
      <c r="O116" s="24" t="s">
        <v>1845</v>
      </c>
      <c r="P116" s="24">
        <v>400068</v>
      </c>
      <c r="Q116" s="24" t="s">
        <v>1846</v>
      </c>
      <c r="R116" s="24" t="s">
        <v>1105</v>
      </c>
      <c r="S116" s="24" t="s">
        <v>1847</v>
      </c>
      <c r="T116" s="24" t="s">
        <v>1418</v>
      </c>
      <c r="U116" s="24">
        <v>937</v>
      </c>
      <c r="V116" s="24">
        <v>93</v>
      </c>
      <c r="W116" s="24"/>
      <c r="X116" s="24">
        <v>2750</v>
      </c>
      <c r="Y116" s="24">
        <v>937</v>
      </c>
      <c r="Z116" s="24">
        <v>815</v>
      </c>
      <c r="AA116" s="24">
        <v>716</v>
      </c>
      <c r="AB116" s="24">
        <v>1253</v>
      </c>
      <c r="AC116" s="24">
        <v>1367</v>
      </c>
      <c r="AD116" s="24">
        <v>1521</v>
      </c>
      <c r="AE116" s="24">
        <v>1441</v>
      </c>
      <c r="AF116" s="24">
        <v>1599</v>
      </c>
      <c r="AG116" s="24">
        <v>546</v>
      </c>
      <c r="AH116" s="24">
        <v>96</v>
      </c>
      <c r="AI116" s="24">
        <v>548</v>
      </c>
      <c r="AJ116" s="24">
        <v>898</v>
      </c>
      <c r="AK116" s="24"/>
      <c r="AL116" s="24">
        <v>93</v>
      </c>
      <c r="AM116" s="24">
        <v>79</v>
      </c>
      <c r="AN116" s="24">
        <v>79</v>
      </c>
      <c r="AO116" s="24">
        <v>126</v>
      </c>
      <c r="AP116" s="24">
        <v>135</v>
      </c>
      <c r="AQ116" s="24">
        <v>223</v>
      </c>
      <c r="AR116" s="24">
        <v>137</v>
      </c>
      <c r="AS116" s="24">
        <v>175</v>
      </c>
      <c r="AT116" s="24">
        <v>164</v>
      </c>
      <c r="AU116" s="24">
        <v>5</v>
      </c>
      <c r="AV116" s="24">
        <v>50</v>
      </c>
      <c r="AW116" s="24">
        <v>165</v>
      </c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>
        <v>10</v>
      </c>
      <c r="BK116" s="24"/>
      <c r="BL116" s="24"/>
      <c r="BM116" s="24"/>
      <c r="BN116" s="24"/>
      <c r="BO116" s="24"/>
      <c r="BP116" s="24"/>
      <c r="BQ116" s="24"/>
    </row>
    <row r="117" spans="1:69">
      <c r="A117" s="24">
        <v>1019</v>
      </c>
      <c r="B117" s="24" t="s">
        <v>980</v>
      </c>
      <c r="C117" s="24" t="s">
        <v>1726</v>
      </c>
      <c r="D117" s="24" t="s">
        <v>1829</v>
      </c>
      <c r="E117" s="24" t="s">
        <v>1830</v>
      </c>
      <c r="F117" s="24" t="s">
        <v>1831</v>
      </c>
      <c r="G117" s="24" t="s">
        <v>1848</v>
      </c>
      <c r="H117" s="24" t="s">
        <v>1849</v>
      </c>
      <c r="I117" s="24" t="s">
        <v>1834</v>
      </c>
      <c r="J117" s="24" t="s">
        <v>1612</v>
      </c>
      <c r="K117" s="24">
        <v>32</v>
      </c>
      <c r="L117" s="24" t="s">
        <v>1850</v>
      </c>
      <c r="M117" s="24" t="s">
        <v>1851</v>
      </c>
      <c r="N117" s="24">
        <v>9820257023</v>
      </c>
      <c r="O117" s="24" t="s">
        <v>1852</v>
      </c>
      <c r="P117" s="24">
        <v>400095</v>
      </c>
      <c r="Q117" s="24" t="s">
        <v>1853</v>
      </c>
      <c r="R117" s="24" t="s">
        <v>1105</v>
      </c>
      <c r="S117" s="24" t="s">
        <v>1854</v>
      </c>
      <c r="T117" s="24" t="s">
        <v>1418</v>
      </c>
      <c r="U117" s="24">
        <v>2308</v>
      </c>
      <c r="V117" s="24">
        <v>356</v>
      </c>
      <c r="W117" s="24"/>
      <c r="X117" s="24">
        <v>3400</v>
      </c>
      <c r="Y117" s="24">
        <v>2308</v>
      </c>
      <c r="Z117" s="24">
        <v>1706</v>
      </c>
      <c r="AA117" s="24">
        <v>2070</v>
      </c>
      <c r="AB117" s="24">
        <v>2020</v>
      </c>
      <c r="AC117" s="24">
        <v>2373</v>
      </c>
      <c r="AD117" s="24">
        <v>2547</v>
      </c>
      <c r="AE117" s="24">
        <v>2495</v>
      </c>
      <c r="AF117" s="24">
        <v>2614</v>
      </c>
      <c r="AG117" s="24">
        <v>1903</v>
      </c>
      <c r="AH117" s="24">
        <v>2624</v>
      </c>
      <c r="AI117" s="24">
        <v>2382</v>
      </c>
      <c r="AJ117" s="24">
        <v>2108</v>
      </c>
      <c r="AK117" s="24"/>
      <c r="AL117" s="24">
        <v>356</v>
      </c>
      <c r="AM117" s="24">
        <v>278</v>
      </c>
      <c r="AN117" s="24">
        <v>235</v>
      </c>
      <c r="AO117" s="24">
        <v>272</v>
      </c>
      <c r="AP117" s="24">
        <v>298</v>
      </c>
      <c r="AQ117" s="24">
        <v>351</v>
      </c>
      <c r="AR117" s="24">
        <v>333</v>
      </c>
      <c r="AS117" s="24">
        <v>318</v>
      </c>
      <c r="AT117" s="24">
        <v>313</v>
      </c>
      <c r="AU117" s="24">
        <v>365</v>
      </c>
      <c r="AV117" s="24">
        <v>381</v>
      </c>
      <c r="AW117" s="24">
        <v>346</v>
      </c>
      <c r="AX117" s="24"/>
      <c r="AY117" s="24"/>
      <c r="AZ117" s="24">
        <v>55</v>
      </c>
      <c r="BA117" s="24">
        <v>55</v>
      </c>
      <c r="BB117" s="24">
        <v>10</v>
      </c>
      <c r="BC117" s="24">
        <v>5</v>
      </c>
      <c r="BD117" s="24">
        <v>0</v>
      </c>
      <c r="BE117" s="24">
        <v>30</v>
      </c>
      <c r="BF117" s="24">
        <v>10</v>
      </c>
      <c r="BG117" s="24">
        <v>20</v>
      </c>
      <c r="BH117" s="24">
        <v>25</v>
      </c>
      <c r="BI117" s="24">
        <v>0</v>
      </c>
      <c r="BJ117" s="24">
        <v>50</v>
      </c>
      <c r="BK117" s="24"/>
      <c r="BL117" s="24"/>
      <c r="BM117" s="24"/>
      <c r="BN117" s="24"/>
      <c r="BO117" s="24"/>
      <c r="BP117" s="24"/>
      <c r="BQ117" s="24"/>
    </row>
    <row r="118" spans="1:69">
      <c r="A118" s="24">
        <v>1020</v>
      </c>
      <c r="B118" s="24" t="s">
        <v>980</v>
      </c>
      <c r="C118" s="24" t="s">
        <v>1726</v>
      </c>
      <c r="D118" s="24" t="s">
        <v>1829</v>
      </c>
      <c r="E118" s="24" t="s">
        <v>1830</v>
      </c>
      <c r="F118" s="24" t="s">
        <v>1831</v>
      </c>
      <c r="G118" s="24" t="s">
        <v>1855</v>
      </c>
      <c r="H118" s="24" t="s">
        <v>1856</v>
      </c>
      <c r="I118" s="24" t="s">
        <v>1834</v>
      </c>
      <c r="J118" s="24" t="s">
        <v>1612</v>
      </c>
      <c r="K118" s="24">
        <v>30</v>
      </c>
      <c r="L118" s="24" t="s">
        <v>1857</v>
      </c>
      <c r="M118" s="24" t="s">
        <v>1858</v>
      </c>
      <c r="N118" s="24">
        <v>8356928297</v>
      </c>
      <c r="O118" s="24" t="s">
        <v>1859</v>
      </c>
      <c r="P118" s="24">
        <v>400065</v>
      </c>
      <c r="Q118" s="24" t="s">
        <v>1860</v>
      </c>
      <c r="R118" s="24" t="s">
        <v>1105</v>
      </c>
      <c r="S118" s="24" t="s">
        <v>1861</v>
      </c>
      <c r="T118" s="24" t="s">
        <v>1418</v>
      </c>
      <c r="U118" s="24">
        <v>1346</v>
      </c>
      <c r="V118" s="24">
        <v>155</v>
      </c>
      <c r="W118" s="24"/>
      <c r="X118" s="24">
        <v>4500</v>
      </c>
      <c r="Y118" s="24">
        <v>1346</v>
      </c>
      <c r="Z118" s="24">
        <v>1170</v>
      </c>
      <c r="AA118" s="24">
        <v>1001</v>
      </c>
      <c r="AB118" s="24">
        <v>0</v>
      </c>
      <c r="AC118" s="24">
        <v>642</v>
      </c>
      <c r="AD118" s="24">
        <v>1237</v>
      </c>
      <c r="AE118" s="24">
        <v>1298</v>
      </c>
      <c r="AF118" s="24">
        <v>1260</v>
      </c>
      <c r="AG118" s="24">
        <v>1082</v>
      </c>
      <c r="AH118" s="24">
        <v>1455</v>
      </c>
      <c r="AI118" s="24">
        <v>1679</v>
      </c>
      <c r="AJ118" s="24">
        <v>1022</v>
      </c>
      <c r="AK118" s="24"/>
      <c r="AL118" s="24">
        <v>155</v>
      </c>
      <c r="AM118" s="24">
        <v>131</v>
      </c>
      <c r="AN118" s="24">
        <v>115</v>
      </c>
      <c r="AO118" s="24">
        <v>0</v>
      </c>
      <c r="AP118" s="24">
        <v>89</v>
      </c>
      <c r="AQ118" s="24">
        <v>130</v>
      </c>
      <c r="AR118" s="24">
        <v>157</v>
      </c>
      <c r="AS118" s="24">
        <v>146</v>
      </c>
      <c r="AT118" s="24">
        <v>140</v>
      </c>
      <c r="AU118" s="24">
        <v>190</v>
      </c>
      <c r="AV118" s="24">
        <v>174</v>
      </c>
      <c r="AW118" s="24">
        <v>141</v>
      </c>
      <c r="AX118" s="24"/>
      <c r="AY118" s="24"/>
      <c r="AZ118" s="24">
        <v>35</v>
      </c>
      <c r="BA118" s="24">
        <v>30</v>
      </c>
      <c r="BB118" s="24">
        <v>0</v>
      </c>
      <c r="BC118" s="24">
        <v>0</v>
      </c>
      <c r="BD118" s="24">
        <v>0</v>
      </c>
      <c r="BE118" s="24">
        <v>10</v>
      </c>
      <c r="BF118" s="24">
        <v>15</v>
      </c>
      <c r="BG118" s="24">
        <v>20</v>
      </c>
      <c r="BH118" s="24"/>
      <c r="BI118" s="24">
        <v>0</v>
      </c>
      <c r="BJ118" s="24">
        <v>10</v>
      </c>
      <c r="BK118" s="24"/>
      <c r="BL118" s="24"/>
      <c r="BM118" s="24"/>
      <c r="BN118" s="24"/>
      <c r="BO118" s="24"/>
      <c r="BP118" s="24"/>
      <c r="BQ118" s="24"/>
    </row>
    <row r="119" spans="1:69">
      <c r="A119" s="24">
        <v>1021</v>
      </c>
      <c r="B119" s="24" t="s">
        <v>980</v>
      </c>
      <c r="C119" s="24" t="s">
        <v>1726</v>
      </c>
      <c r="D119" s="24" t="s">
        <v>1829</v>
      </c>
      <c r="E119" s="24" t="s">
        <v>1830</v>
      </c>
      <c r="F119" s="24" t="s">
        <v>1831</v>
      </c>
      <c r="G119" s="24" t="s">
        <v>1862</v>
      </c>
      <c r="H119" s="24" t="s">
        <v>1863</v>
      </c>
      <c r="I119" s="24" t="s">
        <v>1834</v>
      </c>
      <c r="J119" s="24" t="s">
        <v>1612</v>
      </c>
      <c r="K119" s="24">
        <v>28</v>
      </c>
      <c r="L119" s="24" t="s">
        <v>1864</v>
      </c>
      <c r="M119" s="24" t="s">
        <v>1865</v>
      </c>
      <c r="N119" s="24">
        <v>8097731604</v>
      </c>
      <c r="O119" s="24" t="s">
        <v>1866</v>
      </c>
      <c r="P119" s="24">
        <v>400104</v>
      </c>
      <c r="Q119" s="24" t="s">
        <v>1867</v>
      </c>
      <c r="R119" s="24" t="s">
        <v>1105</v>
      </c>
      <c r="S119" s="24" t="s">
        <v>1868</v>
      </c>
      <c r="T119" s="24" t="s">
        <v>1418</v>
      </c>
      <c r="U119" s="24">
        <v>1221</v>
      </c>
      <c r="V119" s="24">
        <v>213</v>
      </c>
      <c r="W119" s="24"/>
      <c r="X119" s="24">
        <v>2300</v>
      </c>
      <c r="Y119" s="24">
        <v>1221</v>
      </c>
      <c r="Z119" s="24">
        <v>850</v>
      </c>
      <c r="AA119" s="24">
        <v>946</v>
      </c>
      <c r="AB119" s="24">
        <v>1615</v>
      </c>
      <c r="AC119" s="24">
        <v>1339</v>
      </c>
      <c r="AD119" s="24">
        <v>1259</v>
      </c>
      <c r="AE119" s="24">
        <v>1271</v>
      </c>
      <c r="AF119" s="24">
        <v>1191</v>
      </c>
      <c r="AG119" s="24">
        <v>1119</v>
      </c>
      <c r="AH119" s="24">
        <v>1512</v>
      </c>
      <c r="AI119" s="24">
        <v>1379</v>
      </c>
      <c r="AJ119" s="24">
        <v>846</v>
      </c>
      <c r="AK119" s="24"/>
      <c r="AL119" s="24">
        <v>213</v>
      </c>
      <c r="AM119" s="24">
        <v>147</v>
      </c>
      <c r="AN119" s="24">
        <v>166</v>
      </c>
      <c r="AO119" s="24">
        <v>215</v>
      </c>
      <c r="AP119" s="24">
        <v>216</v>
      </c>
      <c r="AQ119" s="24">
        <v>221</v>
      </c>
      <c r="AR119" s="24">
        <v>231</v>
      </c>
      <c r="AS119" s="24">
        <v>169</v>
      </c>
      <c r="AT119" s="24">
        <v>192</v>
      </c>
      <c r="AU119" s="24">
        <v>236</v>
      </c>
      <c r="AV119" s="24">
        <v>243</v>
      </c>
      <c r="AW119" s="24">
        <v>200</v>
      </c>
      <c r="AX119" s="24"/>
      <c r="AY119" s="24"/>
      <c r="AZ119" s="24">
        <v>25</v>
      </c>
      <c r="BA119" s="24">
        <v>75</v>
      </c>
      <c r="BB119" s="24">
        <v>0</v>
      </c>
      <c r="BC119" s="24">
        <v>0</v>
      </c>
      <c r="BD119" s="24">
        <v>0</v>
      </c>
      <c r="BE119" s="24"/>
      <c r="BF119" s="24">
        <v>20</v>
      </c>
      <c r="BG119" s="24"/>
      <c r="BH119" s="24"/>
      <c r="BI119" s="24">
        <v>0</v>
      </c>
      <c r="BJ119" s="24">
        <v>10</v>
      </c>
      <c r="BK119" s="24"/>
      <c r="BL119" s="24"/>
      <c r="BM119" s="24"/>
      <c r="BN119" s="24"/>
      <c r="BO119" s="24"/>
      <c r="BP119" s="24"/>
      <c r="BQ119" s="24"/>
    </row>
    <row r="120" spans="1:69">
      <c r="A120" s="24">
        <v>1022</v>
      </c>
      <c r="B120" s="24" t="s">
        <v>980</v>
      </c>
      <c r="C120" s="24" t="s">
        <v>1726</v>
      </c>
      <c r="D120" s="24" t="s">
        <v>1829</v>
      </c>
      <c r="E120" s="24" t="s">
        <v>1830</v>
      </c>
      <c r="F120" s="24" t="s">
        <v>1831</v>
      </c>
      <c r="G120" s="24" t="s">
        <v>1869</v>
      </c>
      <c r="H120" s="24" t="s">
        <v>1870</v>
      </c>
      <c r="I120" s="24" t="s">
        <v>1834</v>
      </c>
      <c r="J120" s="24" t="s">
        <v>1612</v>
      </c>
      <c r="K120" s="24">
        <v>40</v>
      </c>
      <c r="L120" s="24" t="s">
        <v>1871</v>
      </c>
      <c r="M120" s="24" t="s">
        <v>1872</v>
      </c>
      <c r="N120" s="24">
        <v>9820063638</v>
      </c>
      <c r="O120" s="24" t="s">
        <v>1873</v>
      </c>
      <c r="P120" s="24">
        <v>400069</v>
      </c>
      <c r="Q120" s="24" t="s">
        <v>1874</v>
      </c>
      <c r="R120" s="24" t="s">
        <v>1105</v>
      </c>
      <c r="S120" s="24" t="s">
        <v>1875</v>
      </c>
      <c r="T120" s="24" t="s">
        <v>1418</v>
      </c>
      <c r="U120" s="24">
        <v>670</v>
      </c>
      <c r="V120" s="24">
        <v>190</v>
      </c>
      <c r="W120" s="24"/>
      <c r="X120" s="24">
        <v>1750</v>
      </c>
      <c r="Y120" s="24">
        <v>670</v>
      </c>
      <c r="Z120" s="24">
        <v>583</v>
      </c>
      <c r="AA120" s="24">
        <v>529</v>
      </c>
      <c r="AB120" s="24">
        <v>528</v>
      </c>
      <c r="AC120" s="24">
        <v>669</v>
      </c>
      <c r="AD120" s="24">
        <v>705</v>
      </c>
      <c r="AE120" s="24">
        <v>396</v>
      </c>
      <c r="AF120" s="24">
        <v>725</v>
      </c>
      <c r="AG120" s="24">
        <v>433</v>
      </c>
      <c r="AH120" s="24">
        <v>796</v>
      </c>
      <c r="AI120" s="24">
        <v>732</v>
      </c>
      <c r="AJ120" s="24">
        <v>523</v>
      </c>
      <c r="AK120" s="24"/>
      <c r="AL120" s="24">
        <v>190</v>
      </c>
      <c r="AM120" s="24">
        <v>154</v>
      </c>
      <c r="AN120" s="24">
        <v>145</v>
      </c>
      <c r="AO120" s="24">
        <v>123</v>
      </c>
      <c r="AP120" s="24">
        <v>162</v>
      </c>
      <c r="AQ120" s="24">
        <v>172</v>
      </c>
      <c r="AR120" s="24">
        <v>122</v>
      </c>
      <c r="AS120" s="24">
        <v>155</v>
      </c>
      <c r="AT120" s="24">
        <v>160</v>
      </c>
      <c r="AU120" s="24">
        <v>163</v>
      </c>
      <c r="AV120" s="24">
        <v>199</v>
      </c>
      <c r="AW120" s="24">
        <v>190</v>
      </c>
      <c r="AX120" s="24"/>
      <c r="AY120" s="24"/>
      <c r="AZ120" s="24">
        <v>65</v>
      </c>
      <c r="BA120" s="24">
        <v>35</v>
      </c>
      <c r="BB120" s="24">
        <v>0</v>
      </c>
      <c r="BC120" s="24">
        <v>0</v>
      </c>
      <c r="BD120" s="24">
        <v>0</v>
      </c>
      <c r="BE120" s="24">
        <v>10</v>
      </c>
      <c r="BF120" s="24">
        <v>25</v>
      </c>
      <c r="BG120" s="24"/>
      <c r="BH120" s="24">
        <v>10</v>
      </c>
      <c r="BI120" s="24">
        <v>0</v>
      </c>
      <c r="BJ120" s="24">
        <v>15</v>
      </c>
      <c r="BK120" s="24"/>
      <c r="BL120" s="24"/>
      <c r="BM120" s="24"/>
      <c r="BN120" s="24"/>
      <c r="BO120" s="24"/>
      <c r="BP120" s="24"/>
      <c r="BQ120" s="24"/>
    </row>
    <row r="121" spans="1:69">
      <c r="A121" s="24">
        <v>1023</v>
      </c>
      <c r="B121" s="24" t="s">
        <v>980</v>
      </c>
      <c r="C121" s="24" t="s">
        <v>1726</v>
      </c>
      <c r="D121" s="24" t="s">
        <v>1829</v>
      </c>
      <c r="E121" s="24" t="s">
        <v>1830</v>
      </c>
      <c r="F121" s="24" t="s">
        <v>1831</v>
      </c>
      <c r="G121" s="24" t="s">
        <v>1876</v>
      </c>
      <c r="H121" s="24" t="s">
        <v>1877</v>
      </c>
      <c r="I121" s="24" t="s">
        <v>1878</v>
      </c>
      <c r="J121" s="24" t="s">
        <v>1612</v>
      </c>
      <c r="K121" s="24">
        <v>50</v>
      </c>
      <c r="L121" s="24" t="s">
        <v>1879</v>
      </c>
      <c r="M121" s="24" t="s">
        <v>1880</v>
      </c>
      <c r="N121" s="24" t="s">
        <v>1881</v>
      </c>
      <c r="O121" s="24" t="s">
        <v>1882</v>
      </c>
      <c r="P121" s="24">
        <v>400051</v>
      </c>
      <c r="Q121" s="24" t="s">
        <v>1874</v>
      </c>
      <c r="R121" s="24" t="s">
        <v>1105</v>
      </c>
      <c r="S121" s="24" t="s">
        <v>1101</v>
      </c>
      <c r="T121" s="24" t="s">
        <v>1418</v>
      </c>
      <c r="U121" s="24">
        <v>520</v>
      </c>
      <c r="V121" s="24">
        <v>81</v>
      </c>
      <c r="W121" s="24"/>
      <c r="X121" s="24">
        <v>0</v>
      </c>
      <c r="Y121" s="24">
        <v>520</v>
      </c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>
        <v>142</v>
      </c>
      <c r="AK121" s="24"/>
      <c r="AL121" s="24">
        <v>81</v>
      </c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>
        <v>12</v>
      </c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>
        <v>0</v>
      </c>
      <c r="BK121" s="24"/>
      <c r="BL121" s="24"/>
      <c r="BM121" s="24"/>
      <c r="BN121" s="24"/>
      <c r="BO121" s="24"/>
      <c r="BP121" s="24"/>
      <c r="BQ121" s="24"/>
    </row>
    <row r="122" spans="1:69">
      <c r="A122" s="24">
        <v>2119</v>
      </c>
      <c r="B122" s="24" t="s">
        <v>980</v>
      </c>
      <c r="C122" s="24" t="s">
        <v>1101</v>
      </c>
      <c r="D122" s="24" t="s">
        <v>1883</v>
      </c>
      <c r="E122" s="24" t="s">
        <v>1884</v>
      </c>
      <c r="F122" s="24" t="s">
        <v>1885</v>
      </c>
      <c r="G122" s="24" t="s">
        <v>1102</v>
      </c>
      <c r="H122" s="24" t="s">
        <v>1886</v>
      </c>
      <c r="I122" s="24" t="s">
        <v>1887</v>
      </c>
      <c r="J122" s="24" t="s">
        <v>1888</v>
      </c>
      <c r="K122" s="24">
        <v>90</v>
      </c>
      <c r="L122" s="24" t="s">
        <v>1889</v>
      </c>
      <c r="M122" s="24" t="s">
        <v>1890</v>
      </c>
      <c r="N122" s="24">
        <v>9834187687</v>
      </c>
      <c r="O122" s="24" t="s">
        <v>1891</v>
      </c>
      <c r="P122" s="24">
        <v>415523</v>
      </c>
      <c r="Q122" s="24" t="s">
        <v>1892</v>
      </c>
      <c r="R122" s="24" t="s">
        <v>1893</v>
      </c>
      <c r="S122" s="24" t="s">
        <v>1894</v>
      </c>
      <c r="T122" s="24" t="s">
        <v>1102</v>
      </c>
      <c r="U122" s="24">
        <v>210</v>
      </c>
      <c r="V122" s="24">
        <v>50</v>
      </c>
      <c r="W122" s="24"/>
      <c r="X122" s="24">
        <v>260</v>
      </c>
      <c r="Y122" s="24">
        <v>210</v>
      </c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>
        <v>50</v>
      </c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</row>
    <row r="123" spans="1:69">
      <c r="A123" s="24">
        <v>2120</v>
      </c>
      <c r="B123" s="24" t="s">
        <v>980</v>
      </c>
      <c r="C123" s="24" t="s">
        <v>1101</v>
      </c>
      <c r="D123" s="24" t="s">
        <v>1883</v>
      </c>
      <c r="E123" s="24" t="s">
        <v>1884</v>
      </c>
      <c r="F123" s="24" t="s">
        <v>1885</v>
      </c>
      <c r="G123" s="24" t="s">
        <v>1895</v>
      </c>
      <c r="H123" s="24" t="s">
        <v>1896</v>
      </c>
      <c r="I123" s="24" t="s">
        <v>1887</v>
      </c>
      <c r="J123" s="24" t="s">
        <v>1897</v>
      </c>
      <c r="K123" s="24">
        <v>35</v>
      </c>
      <c r="L123" s="24" t="s">
        <v>1898</v>
      </c>
      <c r="M123" s="24" t="s">
        <v>1899</v>
      </c>
      <c r="N123" s="24">
        <v>9881377432</v>
      </c>
      <c r="O123" s="24" t="s">
        <v>1900</v>
      </c>
      <c r="P123" s="24">
        <v>415002</v>
      </c>
      <c r="Q123" s="24" t="s">
        <v>1901</v>
      </c>
      <c r="R123" s="24" t="s">
        <v>1893</v>
      </c>
      <c r="S123" s="24" t="s">
        <v>1894</v>
      </c>
      <c r="T123" s="24" t="s">
        <v>1102</v>
      </c>
      <c r="U123" s="24">
        <v>360</v>
      </c>
      <c r="V123" s="24">
        <v>40</v>
      </c>
      <c r="W123" s="24"/>
      <c r="X123" s="24">
        <v>400</v>
      </c>
      <c r="Y123" s="24">
        <v>360</v>
      </c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>
        <v>40</v>
      </c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</row>
    <row r="124" spans="1:69">
      <c r="A124" s="24">
        <v>2121</v>
      </c>
      <c r="B124" s="24" t="s">
        <v>980</v>
      </c>
      <c r="C124" s="24" t="s">
        <v>1101</v>
      </c>
      <c r="D124" s="24" t="s">
        <v>1883</v>
      </c>
      <c r="E124" s="24" t="s">
        <v>1884</v>
      </c>
      <c r="F124" s="24" t="s">
        <v>1885</v>
      </c>
      <c r="G124" s="24" t="s">
        <v>1902</v>
      </c>
      <c r="H124" s="24" t="s">
        <v>1903</v>
      </c>
      <c r="I124" s="24" t="s">
        <v>1885</v>
      </c>
      <c r="J124" s="24" t="s">
        <v>1904</v>
      </c>
      <c r="K124" s="24">
        <v>30</v>
      </c>
      <c r="L124" s="24" t="s">
        <v>991</v>
      </c>
      <c r="M124" s="24" t="s">
        <v>1905</v>
      </c>
      <c r="N124" s="24" t="s">
        <v>1906</v>
      </c>
      <c r="O124" s="24" t="s">
        <v>1907</v>
      </c>
      <c r="P124" s="24">
        <v>415002</v>
      </c>
      <c r="Q124" s="24" t="s">
        <v>1908</v>
      </c>
      <c r="R124" s="24"/>
      <c r="S124" s="24" t="s">
        <v>1894</v>
      </c>
      <c r="T124" s="24"/>
      <c r="U124" s="24"/>
      <c r="V124" s="24"/>
      <c r="W124" s="24"/>
      <c r="X124" s="24"/>
      <c r="Y124" s="24">
        <v>0</v>
      </c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>
        <v>0</v>
      </c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</row>
    <row r="125" spans="1:69">
      <c r="A125" s="24">
        <v>2122</v>
      </c>
      <c r="B125" s="24" t="s">
        <v>980</v>
      </c>
      <c r="C125" s="24" t="s">
        <v>1101</v>
      </c>
      <c r="D125" s="24" t="s">
        <v>1883</v>
      </c>
      <c r="E125" s="24" t="s">
        <v>1884</v>
      </c>
      <c r="F125" s="24" t="s">
        <v>1885</v>
      </c>
      <c r="G125" s="24" t="s">
        <v>1909</v>
      </c>
      <c r="H125" s="24" t="s">
        <v>1910</v>
      </c>
      <c r="I125" s="24" t="s">
        <v>1885</v>
      </c>
      <c r="J125" s="24" t="s">
        <v>1911</v>
      </c>
      <c r="K125" s="24">
        <v>25</v>
      </c>
      <c r="L125" s="24" t="s">
        <v>991</v>
      </c>
      <c r="M125" s="24" t="s">
        <v>1912</v>
      </c>
      <c r="N125" s="24" t="s">
        <v>1913</v>
      </c>
      <c r="O125" s="24" t="s">
        <v>1914</v>
      </c>
      <c r="P125" s="24">
        <v>415502</v>
      </c>
      <c r="Q125" s="24" t="s">
        <v>1915</v>
      </c>
      <c r="R125" s="24" t="s">
        <v>1893</v>
      </c>
      <c r="S125" s="24" t="s">
        <v>1894</v>
      </c>
      <c r="T125" s="24"/>
      <c r="U125" s="24"/>
      <c r="V125" s="24"/>
      <c r="W125" s="24"/>
      <c r="X125" s="24"/>
      <c r="Y125" s="24">
        <v>0</v>
      </c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>
        <v>0</v>
      </c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</row>
    <row r="126" spans="1:69">
      <c r="A126" s="24">
        <v>2123</v>
      </c>
      <c r="B126" s="24" t="s">
        <v>980</v>
      </c>
      <c r="C126" s="24" t="s">
        <v>1101</v>
      </c>
      <c r="D126" s="24" t="s">
        <v>1883</v>
      </c>
      <c r="E126" s="24" t="s">
        <v>1884</v>
      </c>
      <c r="F126" s="24" t="s">
        <v>1885</v>
      </c>
      <c r="G126" s="24" t="s">
        <v>1916</v>
      </c>
      <c r="H126" s="24" t="s">
        <v>1917</v>
      </c>
      <c r="I126" s="24" t="s">
        <v>1887</v>
      </c>
      <c r="J126" s="24" t="s">
        <v>1918</v>
      </c>
      <c r="K126" s="24">
        <v>20</v>
      </c>
      <c r="L126" s="24" t="s">
        <v>991</v>
      </c>
      <c r="M126" s="24" t="s">
        <v>1919</v>
      </c>
      <c r="N126" s="24">
        <v>9860054401</v>
      </c>
      <c r="O126" s="24" t="s">
        <v>1920</v>
      </c>
      <c r="P126" s="24">
        <v>415501</v>
      </c>
      <c r="Q126" s="24" t="s">
        <v>1921</v>
      </c>
      <c r="R126" s="24" t="s">
        <v>1893</v>
      </c>
      <c r="S126" s="24" t="s">
        <v>1894</v>
      </c>
      <c r="T126" s="24" t="s">
        <v>1102</v>
      </c>
      <c r="U126" s="24"/>
      <c r="V126" s="24"/>
      <c r="W126" s="24"/>
      <c r="X126" s="24"/>
      <c r="Y126" s="24">
        <v>0</v>
      </c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>
        <v>0</v>
      </c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</row>
    <row r="127" spans="1:69">
      <c r="A127" s="24">
        <v>2124</v>
      </c>
      <c r="B127" s="24" t="s">
        <v>980</v>
      </c>
      <c r="C127" s="24" t="s">
        <v>1101</v>
      </c>
      <c r="D127" s="24" t="s">
        <v>1883</v>
      </c>
      <c r="E127" s="24" t="s">
        <v>1884</v>
      </c>
      <c r="F127" s="24" t="s">
        <v>1885</v>
      </c>
      <c r="G127" s="24" t="s">
        <v>1102</v>
      </c>
      <c r="H127" s="24" t="s">
        <v>1922</v>
      </c>
      <c r="I127" s="24" t="s">
        <v>1887</v>
      </c>
      <c r="J127" s="24" t="s">
        <v>1923</v>
      </c>
      <c r="K127" s="24">
        <v>40</v>
      </c>
      <c r="L127" s="24" t="s">
        <v>991</v>
      </c>
      <c r="M127" s="24" t="s">
        <v>1924</v>
      </c>
      <c r="N127" s="24">
        <v>8446844535</v>
      </c>
      <c r="O127" s="24" t="s">
        <v>1925</v>
      </c>
      <c r="P127" s="24">
        <v>415110</v>
      </c>
      <c r="Q127" s="24" t="s">
        <v>1926</v>
      </c>
      <c r="R127" s="24" t="s">
        <v>1893</v>
      </c>
      <c r="S127" s="24" t="s">
        <v>1894</v>
      </c>
      <c r="T127" s="24" t="s">
        <v>1102</v>
      </c>
      <c r="U127" s="24">
        <v>230</v>
      </c>
      <c r="V127" s="24">
        <v>40</v>
      </c>
      <c r="W127" s="24"/>
      <c r="X127" s="24">
        <v>270</v>
      </c>
      <c r="Y127" s="24">
        <v>230</v>
      </c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>
        <v>40</v>
      </c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</row>
    <row r="128" spans="1:69">
      <c r="A128" s="24">
        <v>2125</v>
      </c>
      <c r="B128" s="24" t="s">
        <v>980</v>
      </c>
      <c r="C128" s="24" t="s">
        <v>1101</v>
      </c>
      <c r="D128" s="24" t="s">
        <v>1883</v>
      </c>
      <c r="E128" s="24" t="s">
        <v>1884</v>
      </c>
      <c r="F128" s="24" t="s">
        <v>1885</v>
      </c>
      <c r="G128" s="24" t="s">
        <v>1927</v>
      </c>
      <c r="H128" s="24" t="s">
        <v>1928</v>
      </c>
      <c r="I128" s="24" t="s">
        <v>1887</v>
      </c>
      <c r="J128" s="24" t="s">
        <v>1929</v>
      </c>
      <c r="K128" s="24">
        <v>50</v>
      </c>
      <c r="L128" s="24" t="s">
        <v>1930</v>
      </c>
      <c r="M128" s="24" t="s">
        <v>1931</v>
      </c>
      <c r="N128" s="24">
        <v>8888390417</v>
      </c>
      <c r="O128" s="24" t="s">
        <v>1932</v>
      </c>
      <c r="P128" s="24">
        <v>415501</v>
      </c>
      <c r="Q128" s="24" t="s">
        <v>1933</v>
      </c>
      <c r="R128" s="24" t="s">
        <v>1893</v>
      </c>
      <c r="S128" s="24" t="s">
        <v>1894</v>
      </c>
      <c r="T128" s="24" t="s">
        <v>1102</v>
      </c>
      <c r="U128" s="24">
        <v>150</v>
      </c>
      <c r="V128" s="24">
        <v>30</v>
      </c>
      <c r="W128" s="24"/>
      <c r="X128" s="24">
        <v>180</v>
      </c>
      <c r="Y128" s="24">
        <v>150</v>
      </c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>
        <v>30</v>
      </c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</row>
    <row r="129" spans="1:69">
      <c r="A129" s="24">
        <v>2126</v>
      </c>
      <c r="B129" s="24" t="s">
        <v>980</v>
      </c>
      <c r="C129" s="24" t="s">
        <v>1101</v>
      </c>
      <c r="D129" s="24" t="s">
        <v>1883</v>
      </c>
      <c r="E129" s="24" t="s">
        <v>1884</v>
      </c>
      <c r="F129" s="24" t="s">
        <v>1885</v>
      </c>
      <c r="G129" s="24" t="s">
        <v>1934</v>
      </c>
      <c r="H129" s="24" t="s">
        <v>1935</v>
      </c>
      <c r="I129" s="24" t="s">
        <v>1887</v>
      </c>
      <c r="J129" s="24" t="s">
        <v>1936</v>
      </c>
      <c r="K129" s="24">
        <v>55</v>
      </c>
      <c r="L129" s="24" t="s">
        <v>991</v>
      </c>
      <c r="M129" s="24" t="s">
        <v>1937</v>
      </c>
      <c r="N129" s="24">
        <v>8446844535</v>
      </c>
      <c r="O129" s="24" t="s">
        <v>1938</v>
      </c>
      <c r="P129" s="24">
        <v>415804</v>
      </c>
      <c r="Q129" s="24" t="s">
        <v>1939</v>
      </c>
      <c r="R129" s="24" t="s">
        <v>1893</v>
      </c>
      <c r="S129" s="24" t="s">
        <v>1894</v>
      </c>
      <c r="T129" s="24" t="s">
        <v>1102</v>
      </c>
      <c r="U129" s="24">
        <v>40</v>
      </c>
      <c r="V129" s="24">
        <v>10</v>
      </c>
      <c r="W129" s="24"/>
      <c r="X129" s="24">
        <v>50</v>
      </c>
      <c r="Y129" s="24">
        <v>40</v>
      </c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>
        <v>10</v>
      </c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</row>
    <row r="130" spans="1:69">
      <c r="A130" s="24">
        <v>2127</v>
      </c>
      <c r="B130" s="24" t="s">
        <v>980</v>
      </c>
      <c r="C130" s="24" t="s">
        <v>1088</v>
      </c>
      <c r="D130" s="24" t="s">
        <v>1089</v>
      </c>
      <c r="E130" s="24" t="s">
        <v>1090</v>
      </c>
      <c r="F130" s="24" t="s">
        <v>1091</v>
      </c>
      <c r="G130" s="24" t="s">
        <v>1940</v>
      </c>
      <c r="H130" s="24" t="s">
        <v>1941</v>
      </c>
      <c r="I130" s="24" t="s">
        <v>1094</v>
      </c>
      <c r="J130" s="24" t="s">
        <v>1942</v>
      </c>
      <c r="K130" s="24">
        <v>55</v>
      </c>
      <c r="L130" s="24" t="s">
        <v>1109</v>
      </c>
      <c r="M130" s="24" t="s">
        <v>1943</v>
      </c>
      <c r="N130" s="24">
        <v>9834654113</v>
      </c>
      <c r="O130" s="24" t="s">
        <v>1944</v>
      </c>
      <c r="P130" s="24">
        <v>415408</v>
      </c>
      <c r="Q130" s="24" t="s">
        <v>991</v>
      </c>
      <c r="R130" s="24" t="s">
        <v>1100</v>
      </c>
      <c r="S130" s="24" t="s">
        <v>1101</v>
      </c>
      <c r="T130" s="24" t="s">
        <v>1102</v>
      </c>
      <c r="U130" s="24">
        <v>65</v>
      </c>
      <c r="V130" s="24">
        <v>5</v>
      </c>
      <c r="W130" s="24"/>
      <c r="X130" s="24">
        <v>70</v>
      </c>
      <c r="Y130" s="24">
        <v>65</v>
      </c>
      <c r="Z130" s="24">
        <v>50</v>
      </c>
      <c r="AA130" s="24">
        <v>47</v>
      </c>
      <c r="AB130" s="24">
        <v>37</v>
      </c>
      <c r="AC130" s="24">
        <v>30</v>
      </c>
      <c r="AD130" s="24">
        <v>15</v>
      </c>
      <c r="AE130" s="24">
        <v>50</v>
      </c>
      <c r="AF130" s="24">
        <v>0</v>
      </c>
      <c r="AG130" s="24">
        <v>32</v>
      </c>
      <c r="AH130" s="24">
        <v>30</v>
      </c>
      <c r="AI130" s="24">
        <v>40</v>
      </c>
      <c r="AJ130" s="24">
        <v>59</v>
      </c>
      <c r="AK130" s="24"/>
      <c r="AL130" s="24">
        <v>5</v>
      </c>
      <c r="AM130" s="24">
        <v>2</v>
      </c>
      <c r="AN130" s="24">
        <v>0</v>
      </c>
      <c r="AO130" s="24">
        <v>5</v>
      </c>
      <c r="AP130" s="24">
        <v>1</v>
      </c>
      <c r="AQ130" s="24">
        <v>6</v>
      </c>
      <c r="AR130" s="24">
        <v>2</v>
      </c>
      <c r="AS130" s="24">
        <v>0</v>
      </c>
      <c r="AT130" s="24">
        <v>5</v>
      </c>
      <c r="AU130" s="24">
        <v>1</v>
      </c>
      <c r="AV130" s="24">
        <v>3</v>
      </c>
      <c r="AW130" s="24">
        <v>2</v>
      </c>
      <c r="AX130" s="24"/>
      <c r="AY130" s="24"/>
      <c r="AZ130" s="24">
        <v>70</v>
      </c>
      <c r="BA130" s="24">
        <v>0</v>
      </c>
      <c r="BB130" s="24">
        <v>0</v>
      </c>
      <c r="BC130" s="24">
        <v>0</v>
      </c>
      <c r="BD130" s="24">
        <v>0</v>
      </c>
      <c r="BE130" s="24">
        <v>0</v>
      </c>
      <c r="BF130" s="24">
        <v>0</v>
      </c>
      <c r="BG130" s="24">
        <v>0</v>
      </c>
      <c r="BH130" s="24">
        <v>0</v>
      </c>
      <c r="BI130" s="24">
        <v>0</v>
      </c>
      <c r="BJ130" s="24"/>
      <c r="BK130" s="24"/>
      <c r="BL130" s="24"/>
      <c r="BM130" s="24"/>
      <c r="BN130" s="24"/>
      <c r="BO130" s="24"/>
      <c r="BP130" s="24"/>
      <c r="BQ130" s="24"/>
    </row>
    <row r="131" spans="1:69">
      <c r="A131" s="24">
        <v>2128</v>
      </c>
      <c r="B131" s="24" t="s">
        <v>980</v>
      </c>
      <c r="C131" s="24" t="s">
        <v>1088</v>
      </c>
      <c r="D131" s="24" t="s">
        <v>1089</v>
      </c>
      <c r="E131" s="24" t="s">
        <v>1090</v>
      </c>
      <c r="F131" s="24" t="s">
        <v>1091</v>
      </c>
      <c r="G131" s="24" t="s">
        <v>1945</v>
      </c>
      <c r="H131" s="24" t="s">
        <v>1946</v>
      </c>
      <c r="I131" s="24" t="s">
        <v>1094</v>
      </c>
      <c r="J131" s="24" t="s">
        <v>1947</v>
      </c>
      <c r="K131" s="24">
        <v>50</v>
      </c>
      <c r="L131" s="24" t="s">
        <v>1109</v>
      </c>
      <c r="M131" s="24" t="s">
        <v>1948</v>
      </c>
      <c r="N131" s="24">
        <v>7385856677</v>
      </c>
      <c r="O131" s="24" t="s">
        <v>1949</v>
      </c>
      <c r="P131" s="24">
        <v>416405</v>
      </c>
      <c r="Q131" s="24" t="s">
        <v>1950</v>
      </c>
      <c r="R131" s="24" t="s">
        <v>1100</v>
      </c>
      <c r="S131" s="24" t="s">
        <v>1101</v>
      </c>
      <c r="T131" s="24" t="s">
        <v>1102</v>
      </c>
      <c r="U131" s="24">
        <v>100</v>
      </c>
      <c r="V131" s="24">
        <v>10</v>
      </c>
      <c r="W131" s="24"/>
      <c r="X131" s="24">
        <v>110</v>
      </c>
      <c r="Y131" s="24">
        <v>100</v>
      </c>
      <c r="Z131" s="24">
        <v>83</v>
      </c>
      <c r="AA131" s="24">
        <v>55</v>
      </c>
      <c r="AB131" s="24">
        <v>60</v>
      </c>
      <c r="AC131" s="24">
        <v>50</v>
      </c>
      <c r="AD131" s="24">
        <v>72</v>
      </c>
      <c r="AE131" s="24">
        <v>40</v>
      </c>
      <c r="AF131" s="24">
        <v>0</v>
      </c>
      <c r="AG131" s="24">
        <v>39</v>
      </c>
      <c r="AH131" s="24">
        <v>100</v>
      </c>
      <c r="AI131" s="24">
        <v>49</v>
      </c>
      <c r="AJ131" s="24">
        <v>23</v>
      </c>
      <c r="AK131" s="24"/>
      <c r="AL131" s="24">
        <v>10</v>
      </c>
      <c r="AM131" s="24">
        <v>3</v>
      </c>
      <c r="AN131" s="24">
        <v>3</v>
      </c>
      <c r="AO131" s="24">
        <v>0</v>
      </c>
      <c r="AP131" s="24">
        <v>0</v>
      </c>
      <c r="AQ131" s="24">
        <v>1</v>
      </c>
      <c r="AR131" s="24">
        <v>0</v>
      </c>
      <c r="AS131" s="24">
        <v>0</v>
      </c>
      <c r="AT131" s="24">
        <v>2</v>
      </c>
      <c r="AU131" s="24">
        <v>2</v>
      </c>
      <c r="AV131" s="24">
        <v>4</v>
      </c>
      <c r="AW131" s="24">
        <v>0</v>
      </c>
      <c r="AX131" s="24"/>
      <c r="AY131" s="24"/>
      <c r="AZ131" s="24">
        <v>207</v>
      </c>
      <c r="BA131" s="24">
        <v>65</v>
      </c>
      <c r="BB131" s="24">
        <v>10</v>
      </c>
      <c r="BC131" s="24">
        <v>0</v>
      </c>
      <c r="BD131" s="24">
        <v>0</v>
      </c>
      <c r="BE131" s="24">
        <v>0</v>
      </c>
      <c r="BF131" s="24">
        <v>0</v>
      </c>
      <c r="BG131" s="24">
        <v>0</v>
      </c>
      <c r="BH131" s="24">
        <v>5</v>
      </c>
      <c r="BI131" s="24">
        <v>20</v>
      </c>
      <c r="BJ131" s="24">
        <v>40</v>
      </c>
      <c r="BK131" s="24"/>
      <c r="BL131" s="24"/>
      <c r="BM131" s="24"/>
      <c r="BN131" s="24"/>
      <c r="BO131" s="24"/>
      <c r="BP131" s="24"/>
      <c r="BQ131" s="24"/>
    </row>
    <row r="132" spans="1:69">
      <c r="A132" s="24">
        <v>2129</v>
      </c>
      <c r="B132" s="24" t="s">
        <v>980</v>
      </c>
      <c r="C132" s="24" t="s">
        <v>1951</v>
      </c>
      <c r="D132" s="24" t="s">
        <v>1952</v>
      </c>
      <c r="E132" s="24" t="s">
        <v>1953</v>
      </c>
      <c r="F132" s="24" t="s">
        <v>1954</v>
      </c>
      <c r="G132" s="24" t="s">
        <v>1102</v>
      </c>
      <c r="H132" s="24" t="s">
        <v>1955</v>
      </c>
      <c r="I132" s="24" t="s">
        <v>1956</v>
      </c>
      <c r="J132" s="24" t="s">
        <v>1956</v>
      </c>
      <c r="K132" s="24" t="s">
        <v>1102</v>
      </c>
      <c r="L132" s="24" t="s">
        <v>1957</v>
      </c>
      <c r="M132" s="24" t="s">
        <v>1958</v>
      </c>
      <c r="N132" s="24">
        <v>9423428191</v>
      </c>
      <c r="O132" s="24" t="s">
        <v>1959</v>
      </c>
      <c r="P132" s="24">
        <v>444001</v>
      </c>
      <c r="Q132" s="24" t="s">
        <v>1960</v>
      </c>
      <c r="R132" s="24" t="s">
        <v>1100</v>
      </c>
      <c r="S132" s="24" t="s">
        <v>1961</v>
      </c>
      <c r="T132" s="24" t="s">
        <v>1102</v>
      </c>
      <c r="U132" s="24">
        <v>40</v>
      </c>
      <c r="V132" s="24">
        <v>30</v>
      </c>
      <c r="W132" s="24"/>
      <c r="X132" s="24">
        <v>70</v>
      </c>
      <c r="Y132" s="24">
        <v>40</v>
      </c>
      <c r="Z132" s="24">
        <v>22</v>
      </c>
      <c r="AA132" s="24">
        <v>0</v>
      </c>
      <c r="AB132" s="24">
        <v>0</v>
      </c>
      <c r="AC132" s="24">
        <v>23</v>
      </c>
      <c r="AD132" s="24">
        <v>0</v>
      </c>
      <c r="AE132" s="24">
        <v>0</v>
      </c>
      <c r="AF132" s="24">
        <v>0</v>
      </c>
      <c r="AG132" s="24">
        <v>0</v>
      </c>
      <c r="AH132" s="24">
        <v>0</v>
      </c>
      <c r="AI132" s="24">
        <v>6</v>
      </c>
      <c r="AJ132" s="24">
        <v>0</v>
      </c>
      <c r="AK132" s="24"/>
      <c r="AL132" s="24">
        <v>30</v>
      </c>
      <c r="AM132" s="24">
        <v>23</v>
      </c>
      <c r="AN132" s="24">
        <v>0</v>
      </c>
      <c r="AO132" s="24">
        <v>42</v>
      </c>
      <c r="AP132" s="24">
        <v>38</v>
      </c>
      <c r="AQ132" s="24">
        <v>27</v>
      </c>
      <c r="AR132" s="24">
        <v>22</v>
      </c>
      <c r="AS132" s="24">
        <v>29</v>
      </c>
      <c r="AT132" s="24">
        <v>4</v>
      </c>
      <c r="AU132" s="24">
        <v>0</v>
      </c>
      <c r="AV132" s="24">
        <v>6</v>
      </c>
      <c r="AW132" s="24">
        <v>0</v>
      </c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</row>
    <row r="133" spans="1:69">
      <c r="A133" s="24">
        <v>2130</v>
      </c>
      <c r="B133" s="24" t="s">
        <v>980</v>
      </c>
      <c r="C133" s="24" t="s">
        <v>1951</v>
      </c>
      <c r="D133" s="24" t="s">
        <v>1952</v>
      </c>
      <c r="E133" s="24" t="s">
        <v>1953</v>
      </c>
      <c r="F133" s="24" t="s">
        <v>1954</v>
      </c>
      <c r="G133" s="24" t="s">
        <v>1102</v>
      </c>
      <c r="H133" s="24" t="s">
        <v>1962</v>
      </c>
      <c r="I133" s="24" t="s">
        <v>1963</v>
      </c>
      <c r="J133" s="24" t="s">
        <v>1963</v>
      </c>
      <c r="K133" s="24" t="s">
        <v>1102</v>
      </c>
      <c r="L133" s="24" t="s">
        <v>1102</v>
      </c>
      <c r="M133" s="24" t="s">
        <v>1964</v>
      </c>
      <c r="N133" s="24">
        <v>9422843055</v>
      </c>
      <c r="O133" s="24" t="s">
        <v>1965</v>
      </c>
      <c r="P133" s="24">
        <v>442201</v>
      </c>
      <c r="Q133" s="24" t="s">
        <v>991</v>
      </c>
      <c r="R133" s="24" t="s">
        <v>1100</v>
      </c>
      <c r="S133" s="24" t="s">
        <v>1961</v>
      </c>
      <c r="T133" s="24" t="s">
        <v>1102</v>
      </c>
      <c r="U133" s="24">
        <v>30</v>
      </c>
      <c r="V133" s="24">
        <v>15</v>
      </c>
      <c r="W133" s="24"/>
      <c r="X133" s="24">
        <v>45</v>
      </c>
      <c r="Y133" s="24">
        <v>30</v>
      </c>
      <c r="Z133" s="24">
        <v>0</v>
      </c>
      <c r="AA133" s="24"/>
      <c r="AB133" s="24">
        <v>22</v>
      </c>
      <c r="AC133" s="24">
        <v>8</v>
      </c>
      <c r="AD133" s="24">
        <v>17</v>
      </c>
      <c r="AE133" s="24">
        <v>13</v>
      </c>
      <c r="AF133" s="24">
        <v>8</v>
      </c>
      <c r="AG133" s="24">
        <v>7</v>
      </c>
      <c r="AH133" s="24">
        <v>12</v>
      </c>
      <c r="AI133" s="24">
        <v>0</v>
      </c>
      <c r="AJ133" s="24">
        <v>12</v>
      </c>
      <c r="AK133" s="24"/>
      <c r="AL133" s="24">
        <v>15</v>
      </c>
      <c r="AM133" s="24">
        <v>4</v>
      </c>
      <c r="AN133" s="24">
        <v>0</v>
      </c>
      <c r="AO133" s="24">
        <v>6</v>
      </c>
      <c r="AP133" s="24">
        <v>3</v>
      </c>
      <c r="AQ133" s="24">
        <v>9</v>
      </c>
      <c r="AR133" s="24">
        <v>3</v>
      </c>
      <c r="AS133" s="24">
        <v>5</v>
      </c>
      <c r="AT133" s="24">
        <v>6</v>
      </c>
      <c r="AU133" s="24">
        <v>2</v>
      </c>
      <c r="AV133" s="24">
        <v>2</v>
      </c>
      <c r="AW133" s="24">
        <v>6</v>
      </c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</row>
    <row r="134" spans="1:69">
      <c r="A134" s="24">
        <v>2131</v>
      </c>
      <c r="B134" s="24" t="s">
        <v>980</v>
      </c>
      <c r="C134" s="24" t="s">
        <v>1951</v>
      </c>
      <c r="D134" s="24" t="s">
        <v>1952</v>
      </c>
      <c r="E134" s="24" t="s">
        <v>1953</v>
      </c>
      <c r="F134" s="24" t="s">
        <v>1954</v>
      </c>
      <c r="G134" s="24" t="s">
        <v>1102</v>
      </c>
      <c r="H134" s="24" t="s">
        <v>1966</v>
      </c>
      <c r="I134" s="24" t="s">
        <v>1967</v>
      </c>
      <c r="J134" s="24" t="s">
        <v>1967</v>
      </c>
      <c r="K134" s="24" t="s">
        <v>1102</v>
      </c>
      <c r="L134" s="24" t="s">
        <v>1102</v>
      </c>
      <c r="M134" s="24" t="s">
        <v>1968</v>
      </c>
      <c r="N134" s="24" t="s">
        <v>1969</v>
      </c>
      <c r="O134" s="24" t="s">
        <v>1970</v>
      </c>
      <c r="P134" s="24">
        <v>442701</v>
      </c>
      <c r="Q134" s="24" t="s">
        <v>991</v>
      </c>
      <c r="R134" s="24" t="s">
        <v>1100</v>
      </c>
      <c r="S134" s="24" t="s">
        <v>1961</v>
      </c>
      <c r="T134" s="24" t="s">
        <v>1102</v>
      </c>
      <c r="U134" s="24">
        <v>60</v>
      </c>
      <c r="V134" s="24">
        <v>15</v>
      </c>
      <c r="W134" s="24"/>
      <c r="X134" s="24">
        <v>75</v>
      </c>
      <c r="Y134" s="24">
        <v>60</v>
      </c>
      <c r="Z134" s="24">
        <v>32</v>
      </c>
      <c r="AA134" s="24">
        <v>28</v>
      </c>
      <c r="AB134" s="24">
        <v>36</v>
      </c>
      <c r="AC134" s="24">
        <v>53</v>
      </c>
      <c r="AD134" s="24">
        <v>36</v>
      </c>
      <c r="AE134" s="24">
        <v>43</v>
      </c>
      <c r="AF134" s="24">
        <v>41</v>
      </c>
      <c r="AG134" s="24">
        <v>34</v>
      </c>
      <c r="AH134" s="24">
        <v>46</v>
      </c>
      <c r="AI134" s="24">
        <v>72</v>
      </c>
      <c r="AJ134" s="24">
        <v>31</v>
      </c>
      <c r="AK134" s="24"/>
      <c r="AL134" s="24">
        <v>15</v>
      </c>
      <c r="AM134" s="24">
        <v>12</v>
      </c>
      <c r="AN134" s="24">
        <v>10</v>
      </c>
      <c r="AO134" s="24">
        <v>8</v>
      </c>
      <c r="AP134" s="24">
        <v>11</v>
      </c>
      <c r="AQ134" s="24">
        <v>11</v>
      </c>
      <c r="AR134" s="24">
        <v>15</v>
      </c>
      <c r="AS134" s="24">
        <v>10</v>
      </c>
      <c r="AT134" s="24">
        <v>15</v>
      </c>
      <c r="AU134" s="24">
        <v>16</v>
      </c>
      <c r="AV134" s="24">
        <v>34</v>
      </c>
      <c r="AW134" s="24">
        <v>13</v>
      </c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</row>
    <row r="135" spans="1:69">
      <c r="A135" s="24">
        <v>2132</v>
      </c>
      <c r="B135" s="24" t="s">
        <v>980</v>
      </c>
      <c r="C135" s="24" t="s">
        <v>1951</v>
      </c>
      <c r="D135" s="24" t="s">
        <v>1952</v>
      </c>
      <c r="E135" s="24" t="s">
        <v>1953</v>
      </c>
      <c r="F135" s="24" t="s">
        <v>1954</v>
      </c>
      <c r="G135" s="24" t="s">
        <v>1102</v>
      </c>
      <c r="H135" s="24" t="s">
        <v>1971</v>
      </c>
      <c r="I135" s="24" t="s">
        <v>1972</v>
      </c>
      <c r="J135" s="24" t="s">
        <v>1972</v>
      </c>
      <c r="K135" s="24" t="s">
        <v>1102</v>
      </c>
      <c r="L135" s="24" t="s">
        <v>1102</v>
      </c>
      <c r="M135" s="24" t="s">
        <v>1973</v>
      </c>
      <c r="N135" s="24" t="s">
        <v>1974</v>
      </c>
      <c r="O135" s="24" t="s">
        <v>1975</v>
      </c>
      <c r="P135" s="24">
        <v>442902</v>
      </c>
      <c r="Q135" s="24" t="s">
        <v>991</v>
      </c>
      <c r="R135" s="24" t="s">
        <v>1100</v>
      </c>
      <c r="S135" s="24" t="s">
        <v>1961</v>
      </c>
      <c r="T135" s="24" t="s">
        <v>1102</v>
      </c>
      <c r="U135" s="24">
        <v>60</v>
      </c>
      <c r="V135" s="24">
        <v>10</v>
      </c>
      <c r="W135" s="24"/>
      <c r="X135" s="24">
        <v>70</v>
      </c>
      <c r="Y135" s="24">
        <v>60</v>
      </c>
      <c r="Z135" s="24">
        <v>31</v>
      </c>
      <c r="AA135" s="24">
        <v>59</v>
      </c>
      <c r="AB135" s="24">
        <v>34</v>
      </c>
      <c r="AC135" s="24">
        <v>29</v>
      </c>
      <c r="AD135" s="24">
        <v>33</v>
      </c>
      <c r="AE135" s="24">
        <v>60</v>
      </c>
      <c r="AF135" s="24">
        <v>33</v>
      </c>
      <c r="AG135" s="24">
        <v>40</v>
      </c>
      <c r="AH135" s="24">
        <v>64</v>
      </c>
      <c r="AI135" s="24">
        <v>23</v>
      </c>
      <c r="AJ135" s="24">
        <v>46</v>
      </c>
      <c r="AK135" s="24"/>
      <c r="AL135" s="24">
        <v>10</v>
      </c>
      <c r="AM135" s="24">
        <v>7</v>
      </c>
      <c r="AN135" s="24">
        <v>13</v>
      </c>
      <c r="AO135" s="24">
        <v>6</v>
      </c>
      <c r="AP135" s="24">
        <v>8</v>
      </c>
      <c r="AQ135" s="24">
        <v>8</v>
      </c>
      <c r="AR135" s="24">
        <v>12</v>
      </c>
      <c r="AS135" s="24">
        <v>8</v>
      </c>
      <c r="AT135" s="24">
        <v>18</v>
      </c>
      <c r="AU135" s="24">
        <v>10</v>
      </c>
      <c r="AV135" s="24">
        <v>13</v>
      </c>
      <c r="AW135" s="24">
        <v>8</v>
      </c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</row>
    <row r="136" spans="1:69">
      <c r="A136" s="24">
        <v>2133</v>
      </c>
      <c r="B136" s="24" t="s">
        <v>980</v>
      </c>
      <c r="C136" s="24" t="s">
        <v>1951</v>
      </c>
      <c r="D136" s="24" t="s">
        <v>1952</v>
      </c>
      <c r="E136" s="24" t="s">
        <v>1953</v>
      </c>
      <c r="F136" s="24" t="s">
        <v>1954</v>
      </c>
      <c r="G136" s="24" t="s">
        <v>1102</v>
      </c>
      <c r="H136" s="24" t="s">
        <v>1976</v>
      </c>
      <c r="I136" s="24" t="s">
        <v>1977</v>
      </c>
      <c r="J136" s="24" t="s">
        <v>1977</v>
      </c>
      <c r="K136" s="24" t="s">
        <v>1102</v>
      </c>
      <c r="L136" s="24" t="s">
        <v>1978</v>
      </c>
      <c r="M136" s="24" t="s">
        <v>1979</v>
      </c>
      <c r="N136" s="24">
        <v>7899915374</v>
      </c>
      <c r="O136" s="24" t="s">
        <v>1980</v>
      </c>
      <c r="P136" s="24">
        <v>441108</v>
      </c>
      <c r="Q136" s="24" t="s">
        <v>1981</v>
      </c>
      <c r="R136" s="24" t="s">
        <v>1100</v>
      </c>
      <c r="S136" s="24" t="s">
        <v>1961</v>
      </c>
      <c r="T136" s="24" t="s">
        <v>1102</v>
      </c>
      <c r="U136" s="24">
        <v>30</v>
      </c>
      <c r="V136" s="24">
        <v>5</v>
      </c>
      <c r="W136" s="24"/>
      <c r="X136" s="24">
        <v>35</v>
      </c>
      <c r="Y136" s="24">
        <v>30</v>
      </c>
      <c r="Z136" s="24">
        <v>6</v>
      </c>
      <c r="AA136" s="24">
        <v>13</v>
      </c>
      <c r="AB136" s="24">
        <v>12</v>
      </c>
      <c r="AC136" s="24">
        <v>25</v>
      </c>
      <c r="AD136" s="24">
        <v>8</v>
      </c>
      <c r="AE136" s="24">
        <v>14</v>
      </c>
      <c r="AF136" s="24">
        <v>15</v>
      </c>
      <c r="AG136" s="24">
        <v>17</v>
      </c>
      <c r="AH136" s="24">
        <v>6</v>
      </c>
      <c r="AI136" s="24">
        <v>11</v>
      </c>
      <c r="AJ136" s="24">
        <v>9</v>
      </c>
      <c r="AK136" s="24"/>
      <c r="AL136" s="24">
        <v>5</v>
      </c>
      <c r="AM136" s="24">
        <v>1</v>
      </c>
      <c r="AN136" s="24">
        <v>0</v>
      </c>
      <c r="AO136" s="24">
        <v>3</v>
      </c>
      <c r="AP136" s="24">
        <v>2</v>
      </c>
      <c r="AQ136" s="24">
        <v>2</v>
      </c>
      <c r="AR136" s="24">
        <v>6</v>
      </c>
      <c r="AS136" s="24">
        <v>2</v>
      </c>
      <c r="AT136" s="24">
        <v>4</v>
      </c>
      <c r="AU136" s="24">
        <v>0</v>
      </c>
      <c r="AV136" s="24">
        <v>0</v>
      </c>
      <c r="AW136" s="24">
        <v>1</v>
      </c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</row>
    <row r="137" spans="1:69">
      <c r="A137" s="24">
        <v>2134</v>
      </c>
      <c r="B137" s="24" t="s">
        <v>980</v>
      </c>
      <c r="C137" s="24" t="s">
        <v>1951</v>
      </c>
      <c r="D137" s="24" t="s">
        <v>1952</v>
      </c>
      <c r="E137" s="24" t="s">
        <v>1953</v>
      </c>
      <c r="F137" s="24" t="s">
        <v>1954</v>
      </c>
      <c r="G137" s="24" t="s">
        <v>1102</v>
      </c>
      <c r="H137" s="24" t="s">
        <v>1982</v>
      </c>
      <c r="I137" s="24" t="s">
        <v>1983</v>
      </c>
      <c r="J137" s="24" t="s">
        <v>1983</v>
      </c>
      <c r="K137" s="24" t="s">
        <v>1102</v>
      </c>
      <c r="L137" s="24" t="s">
        <v>1102</v>
      </c>
      <c r="M137" s="24" t="s">
        <v>1984</v>
      </c>
      <c r="N137" s="24">
        <v>9420646175</v>
      </c>
      <c r="O137" s="24" t="s">
        <v>1985</v>
      </c>
      <c r="P137" s="24">
        <v>442401</v>
      </c>
      <c r="Q137" s="24" t="s">
        <v>991</v>
      </c>
      <c r="R137" s="24" t="s">
        <v>1100</v>
      </c>
      <c r="S137" s="24" t="s">
        <v>1961</v>
      </c>
      <c r="T137" s="24" t="s">
        <v>1102</v>
      </c>
      <c r="U137" s="24">
        <v>50</v>
      </c>
      <c r="V137" s="24">
        <v>15</v>
      </c>
      <c r="W137" s="24"/>
      <c r="X137" s="24">
        <v>65</v>
      </c>
      <c r="Y137" s="24">
        <v>50</v>
      </c>
      <c r="Z137" s="24">
        <v>42</v>
      </c>
      <c r="AA137" s="24">
        <v>22</v>
      </c>
      <c r="AB137" s="24">
        <v>71</v>
      </c>
      <c r="AC137" s="24">
        <v>13</v>
      </c>
      <c r="AD137" s="24">
        <v>2</v>
      </c>
      <c r="AE137" s="24">
        <v>39</v>
      </c>
      <c r="AF137" s="24">
        <v>26</v>
      </c>
      <c r="AG137" s="24">
        <v>12</v>
      </c>
      <c r="AH137" s="24">
        <v>39</v>
      </c>
      <c r="AI137" s="24">
        <v>25</v>
      </c>
      <c r="AJ137" s="24">
        <v>38</v>
      </c>
      <c r="AK137" s="24"/>
      <c r="AL137" s="24">
        <v>15</v>
      </c>
      <c r="AM137" s="24">
        <v>3</v>
      </c>
      <c r="AN137" s="24">
        <v>5</v>
      </c>
      <c r="AO137" s="24">
        <v>4</v>
      </c>
      <c r="AP137" s="24">
        <v>11</v>
      </c>
      <c r="AQ137" s="24">
        <v>6</v>
      </c>
      <c r="AR137" s="24">
        <v>2</v>
      </c>
      <c r="AS137" s="24">
        <v>15</v>
      </c>
      <c r="AT137" s="24">
        <v>4</v>
      </c>
      <c r="AU137" s="24">
        <v>10</v>
      </c>
      <c r="AV137" s="24">
        <v>10</v>
      </c>
      <c r="AW137" s="24">
        <v>9</v>
      </c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</row>
    <row r="138" spans="1:69">
      <c r="A138" s="24">
        <v>2135</v>
      </c>
      <c r="B138" s="24" t="s">
        <v>980</v>
      </c>
      <c r="C138" s="24" t="s">
        <v>1951</v>
      </c>
      <c r="D138" s="24" t="s">
        <v>1952</v>
      </c>
      <c r="E138" s="24" t="s">
        <v>1953</v>
      </c>
      <c r="F138" s="24" t="s">
        <v>1954</v>
      </c>
      <c r="G138" s="24" t="s">
        <v>1102</v>
      </c>
      <c r="H138" s="24" t="s">
        <v>1986</v>
      </c>
      <c r="I138" s="24" t="s">
        <v>1983</v>
      </c>
      <c r="J138" s="24" t="s">
        <v>1983</v>
      </c>
      <c r="K138" s="24" t="s">
        <v>1102</v>
      </c>
      <c r="L138" s="24" t="s">
        <v>1987</v>
      </c>
      <c r="M138" s="24" t="s">
        <v>1988</v>
      </c>
      <c r="N138" s="24">
        <v>9527200681</v>
      </c>
      <c r="O138" s="24" t="s">
        <v>1989</v>
      </c>
      <c r="P138" s="24">
        <v>442401</v>
      </c>
      <c r="Q138" s="24" t="s">
        <v>1990</v>
      </c>
      <c r="R138" s="24" t="s">
        <v>1100</v>
      </c>
      <c r="S138" s="24" t="s">
        <v>1961</v>
      </c>
      <c r="T138" s="24" t="s">
        <v>1102</v>
      </c>
      <c r="U138" s="24">
        <v>20</v>
      </c>
      <c r="V138" s="24">
        <v>10</v>
      </c>
      <c r="W138" s="24"/>
      <c r="X138" s="24">
        <v>30</v>
      </c>
      <c r="Y138" s="24">
        <v>20</v>
      </c>
      <c r="Z138" s="24">
        <v>2</v>
      </c>
      <c r="AA138" s="24">
        <v>0</v>
      </c>
      <c r="AB138" s="24">
        <v>0</v>
      </c>
      <c r="AC138" s="24">
        <v>6</v>
      </c>
      <c r="AD138" s="24">
        <v>1</v>
      </c>
      <c r="AE138" s="24">
        <v>0</v>
      </c>
      <c r="AF138" s="24">
        <v>0</v>
      </c>
      <c r="AG138" s="24">
        <v>0</v>
      </c>
      <c r="AH138" s="24">
        <v>17</v>
      </c>
      <c r="AI138" s="24">
        <v>5</v>
      </c>
      <c r="AJ138" s="24">
        <v>0</v>
      </c>
      <c r="AK138" s="24"/>
      <c r="AL138" s="24">
        <v>10</v>
      </c>
      <c r="AM138" s="24">
        <v>3</v>
      </c>
      <c r="AN138" s="24">
        <v>0</v>
      </c>
      <c r="AO138" s="24">
        <v>0</v>
      </c>
      <c r="AP138" s="24">
        <v>29</v>
      </c>
      <c r="AQ138" s="24">
        <v>10</v>
      </c>
      <c r="AR138" s="24">
        <v>0</v>
      </c>
      <c r="AS138" s="24">
        <v>5</v>
      </c>
      <c r="AT138" s="24">
        <v>6</v>
      </c>
      <c r="AU138" s="24">
        <v>24</v>
      </c>
      <c r="AV138" s="24">
        <v>2</v>
      </c>
      <c r="AW138" s="24">
        <v>0</v>
      </c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</row>
    <row r="139" spans="1:69">
      <c r="A139" s="24">
        <v>2136</v>
      </c>
      <c r="B139" s="24" t="s">
        <v>980</v>
      </c>
      <c r="C139" s="24" t="s">
        <v>1951</v>
      </c>
      <c r="D139" s="24" t="s">
        <v>1952</v>
      </c>
      <c r="E139" s="24" t="s">
        <v>1953</v>
      </c>
      <c r="F139" s="24" t="s">
        <v>1954</v>
      </c>
      <c r="G139" s="24" t="s">
        <v>1102</v>
      </c>
      <c r="H139" s="24" t="s">
        <v>1991</v>
      </c>
      <c r="I139" s="24" t="s">
        <v>1992</v>
      </c>
      <c r="J139" s="24" t="s">
        <v>1992</v>
      </c>
      <c r="K139" s="24" t="s">
        <v>1102</v>
      </c>
      <c r="L139" s="24" t="s">
        <v>1993</v>
      </c>
      <c r="M139" s="24" t="s">
        <v>1994</v>
      </c>
      <c r="N139" s="24" t="s">
        <v>1995</v>
      </c>
      <c r="O139" s="24" t="s">
        <v>1996</v>
      </c>
      <c r="P139" s="24">
        <v>442903</v>
      </c>
      <c r="Q139" s="24" t="s">
        <v>1997</v>
      </c>
      <c r="R139" s="24" t="s">
        <v>1100</v>
      </c>
      <c r="S139" s="24" t="s">
        <v>1961</v>
      </c>
      <c r="T139" s="24" t="s">
        <v>1102</v>
      </c>
      <c r="U139" s="24">
        <v>20</v>
      </c>
      <c r="V139" s="24">
        <v>15</v>
      </c>
      <c r="W139" s="24"/>
      <c r="X139" s="24">
        <v>35</v>
      </c>
      <c r="Y139" s="24">
        <v>20</v>
      </c>
      <c r="Z139" s="24">
        <v>0</v>
      </c>
      <c r="AA139" s="24">
        <v>8</v>
      </c>
      <c r="AB139" s="24">
        <v>13</v>
      </c>
      <c r="AC139" s="24">
        <v>11</v>
      </c>
      <c r="AD139" s="24">
        <v>15</v>
      </c>
      <c r="AE139" s="24">
        <v>9</v>
      </c>
      <c r="AF139" s="24">
        <v>6</v>
      </c>
      <c r="AG139" s="24">
        <v>0</v>
      </c>
      <c r="AH139" s="24">
        <v>12</v>
      </c>
      <c r="AI139" s="24">
        <v>13</v>
      </c>
      <c r="AJ139" s="24">
        <v>12</v>
      </c>
      <c r="AK139" s="24"/>
      <c r="AL139" s="24">
        <v>15</v>
      </c>
      <c r="AM139" s="24">
        <v>0</v>
      </c>
      <c r="AN139" s="24">
        <v>10</v>
      </c>
      <c r="AO139" s="24">
        <v>7</v>
      </c>
      <c r="AP139" s="24">
        <v>11</v>
      </c>
      <c r="AQ139" s="24">
        <v>12</v>
      </c>
      <c r="AR139" s="24">
        <v>15</v>
      </c>
      <c r="AS139" s="24">
        <v>12</v>
      </c>
      <c r="AT139" s="24">
        <v>16</v>
      </c>
      <c r="AU139" s="24">
        <v>9</v>
      </c>
      <c r="AV139" s="24">
        <v>7</v>
      </c>
      <c r="AW139" s="24">
        <v>12</v>
      </c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</row>
    <row r="140" spans="1:69">
      <c r="A140" s="24">
        <v>2137</v>
      </c>
      <c r="B140" s="24" t="s">
        <v>980</v>
      </c>
      <c r="C140" s="24" t="s">
        <v>1951</v>
      </c>
      <c r="D140" s="24" t="s">
        <v>1952</v>
      </c>
      <c r="E140" s="24" t="s">
        <v>1953</v>
      </c>
      <c r="F140" s="24" t="s">
        <v>1954</v>
      </c>
      <c r="G140" s="24" t="s">
        <v>1102</v>
      </c>
      <c r="H140" s="24" t="s">
        <v>1998</v>
      </c>
      <c r="I140" s="24" t="s">
        <v>1999</v>
      </c>
      <c r="J140" s="24" t="s">
        <v>1999</v>
      </c>
      <c r="K140" s="24" t="s">
        <v>1102</v>
      </c>
      <c r="L140" s="24" t="s">
        <v>2000</v>
      </c>
      <c r="M140" s="24" t="s">
        <v>2001</v>
      </c>
      <c r="N140" s="24">
        <v>9665107937</v>
      </c>
      <c r="O140" s="24" t="s">
        <v>2002</v>
      </c>
      <c r="P140" s="24">
        <v>444803</v>
      </c>
      <c r="Q140" s="24" t="s">
        <v>2003</v>
      </c>
      <c r="R140" s="24" t="s">
        <v>1100</v>
      </c>
      <c r="S140" s="24" t="s">
        <v>1961</v>
      </c>
      <c r="T140" s="24" t="s">
        <v>1102</v>
      </c>
      <c r="U140" s="24">
        <v>0</v>
      </c>
      <c r="V140" s="24">
        <v>35</v>
      </c>
      <c r="W140" s="24"/>
      <c r="X140" s="24">
        <v>35</v>
      </c>
      <c r="Y140" s="24">
        <v>0</v>
      </c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>
        <v>0</v>
      </c>
      <c r="AK140" s="24"/>
      <c r="AL140" s="24">
        <v>35</v>
      </c>
      <c r="AM140" s="24">
        <v>20</v>
      </c>
      <c r="AN140" s="24">
        <v>10</v>
      </c>
      <c r="AO140" s="24">
        <v>8</v>
      </c>
      <c r="AP140" s="24">
        <v>23</v>
      </c>
      <c r="AQ140" s="24">
        <v>15</v>
      </c>
      <c r="AR140" s="24">
        <v>10</v>
      </c>
      <c r="AS140" s="24">
        <v>9</v>
      </c>
      <c r="AT140" s="24">
        <v>10</v>
      </c>
      <c r="AU140" s="24">
        <v>10</v>
      </c>
      <c r="AV140" s="24">
        <v>10</v>
      </c>
      <c r="AW140" s="24">
        <v>21</v>
      </c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</row>
    <row r="141" spans="1:69">
      <c r="A141" s="24">
        <v>2138</v>
      </c>
      <c r="B141" s="24" t="s">
        <v>980</v>
      </c>
      <c r="C141" s="24" t="s">
        <v>1951</v>
      </c>
      <c r="D141" s="24" t="s">
        <v>1952</v>
      </c>
      <c r="E141" s="24" t="s">
        <v>1953</v>
      </c>
      <c r="F141" s="24" t="s">
        <v>1954</v>
      </c>
      <c r="G141" s="24" t="s">
        <v>1102</v>
      </c>
      <c r="H141" s="24" t="s">
        <v>2004</v>
      </c>
      <c r="I141" s="24" t="s">
        <v>2005</v>
      </c>
      <c r="J141" s="24" t="s">
        <v>2005</v>
      </c>
      <c r="K141" s="24" t="s">
        <v>1102</v>
      </c>
      <c r="L141" s="24" t="s">
        <v>1102</v>
      </c>
      <c r="M141" s="24" t="s">
        <v>1988</v>
      </c>
      <c r="N141" s="24">
        <v>7588752095</v>
      </c>
      <c r="O141" s="24" t="s">
        <v>2006</v>
      </c>
      <c r="P141" s="24">
        <v>444702</v>
      </c>
      <c r="Q141" s="24" t="s">
        <v>991</v>
      </c>
      <c r="R141" s="24" t="s">
        <v>1100</v>
      </c>
      <c r="S141" s="24" t="s">
        <v>1961</v>
      </c>
      <c r="T141" s="24" t="s">
        <v>1102</v>
      </c>
      <c r="U141" s="24">
        <v>30</v>
      </c>
      <c r="V141" s="24">
        <v>50</v>
      </c>
      <c r="W141" s="24"/>
      <c r="X141" s="24">
        <v>80</v>
      </c>
      <c r="Y141" s="24">
        <v>30</v>
      </c>
      <c r="Z141" s="24">
        <v>14</v>
      </c>
      <c r="AA141" s="24">
        <v>5</v>
      </c>
      <c r="AB141" s="24">
        <v>5</v>
      </c>
      <c r="AC141" s="24">
        <v>15</v>
      </c>
      <c r="AD141" s="24">
        <v>5</v>
      </c>
      <c r="AE141" s="24">
        <v>10</v>
      </c>
      <c r="AF141" s="24">
        <v>10</v>
      </c>
      <c r="AG141" s="24">
        <v>0</v>
      </c>
      <c r="AH141" s="24">
        <v>0</v>
      </c>
      <c r="AI141" s="24">
        <v>24</v>
      </c>
      <c r="AJ141" s="24">
        <v>3</v>
      </c>
      <c r="AK141" s="24"/>
      <c r="AL141" s="24">
        <v>50</v>
      </c>
      <c r="AM141" s="24">
        <v>17</v>
      </c>
      <c r="AN141" s="24">
        <v>43</v>
      </c>
      <c r="AO141" s="24">
        <v>42</v>
      </c>
      <c r="AP141" s="24">
        <v>39</v>
      </c>
      <c r="AQ141" s="24">
        <v>42</v>
      </c>
      <c r="AR141" s="24">
        <v>44</v>
      </c>
      <c r="AS141" s="24">
        <v>40</v>
      </c>
      <c r="AT141" s="24">
        <v>40</v>
      </c>
      <c r="AU141" s="24">
        <v>45</v>
      </c>
      <c r="AV141" s="24">
        <v>42</v>
      </c>
      <c r="AW141" s="24">
        <v>40</v>
      </c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</row>
    <row r="142" spans="1:69">
      <c r="A142" s="24">
        <v>2139</v>
      </c>
      <c r="B142" s="24" t="s">
        <v>980</v>
      </c>
      <c r="C142" s="24" t="s">
        <v>1951</v>
      </c>
      <c r="D142" s="24" t="s">
        <v>1952</v>
      </c>
      <c r="E142" s="24" t="s">
        <v>1953</v>
      </c>
      <c r="F142" s="24" t="s">
        <v>1954</v>
      </c>
      <c r="G142" s="24" t="s">
        <v>1102</v>
      </c>
      <c r="H142" s="24" t="s">
        <v>2007</v>
      </c>
      <c r="I142" s="24" t="s">
        <v>2008</v>
      </c>
      <c r="J142" s="24" t="s">
        <v>2008</v>
      </c>
      <c r="K142" s="24" t="s">
        <v>1102</v>
      </c>
      <c r="L142" s="24" t="s">
        <v>2009</v>
      </c>
      <c r="M142" s="24" t="s">
        <v>2010</v>
      </c>
      <c r="N142" s="24">
        <v>9423432877</v>
      </c>
      <c r="O142" s="24" t="s">
        <v>2011</v>
      </c>
      <c r="P142" s="24">
        <v>445203</v>
      </c>
      <c r="Q142" s="24" t="s">
        <v>2012</v>
      </c>
      <c r="R142" s="24" t="s">
        <v>1100</v>
      </c>
      <c r="S142" s="24" t="s">
        <v>1961</v>
      </c>
      <c r="T142" s="24" t="s">
        <v>1102</v>
      </c>
      <c r="U142" s="24">
        <v>10</v>
      </c>
      <c r="V142" s="24">
        <v>20</v>
      </c>
      <c r="W142" s="24"/>
      <c r="X142" s="24">
        <v>30</v>
      </c>
      <c r="Y142" s="24">
        <v>10</v>
      </c>
      <c r="Z142" s="24">
        <v>0</v>
      </c>
      <c r="AA142" s="24">
        <v>0</v>
      </c>
      <c r="AB142" s="24">
        <v>0</v>
      </c>
      <c r="AC142" s="24">
        <v>0</v>
      </c>
      <c r="AD142" s="24">
        <v>0</v>
      </c>
      <c r="AE142" s="24">
        <v>0</v>
      </c>
      <c r="AF142" s="24">
        <v>0</v>
      </c>
      <c r="AG142" s="24">
        <v>0</v>
      </c>
      <c r="AH142" s="24">
        <v>0</v>
      </c>
      <c r="AI142" s="24">
        <v>0</v>
      </c>
      <c r="AJ142" s="24">
        <v>0</v>
      </c>
      <c r="AK142" s="24"/>
      <c r="AL142" s="24">
        <v>20</v>
      </c>
      <c r="AM142" s="24">
        <v>5</v>
      </c>
      <c r="AN142" s="24">
        <v>0</v>
      </c>
      <c r="AO142" s="24">
        <v>7</v>
      </c>
      <c r="AP142" s="24">
        <v>10</v>
      </c>
      <c r="AQ142" s="24">
        <v>35</v>
      </c>
      <c r="AR142" s="24">
        <v>10</v>
      </c>
      <c r="AS142" s="24">
        <v>10</v>
      </c>
      <c r="AT142" s="24">
        <v>10</v>
      </c>
      <c r="AU142" s="24">
        <v>10</v>
      </c>
      <c r="AV142" s="24">
        <v>10</v>
      </c>
      <c r="AW142" s="24">
        <v>10</v>
      </c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</row>
    <row r="143" spans="1:69">
      <c r="A143" s="24">
        <v>2140</v>
      </c>
      <c r="B143" s="24" t="s">
        <v>980</v>
      </c>
      <c r="C143" s="24" t="s">
        <v>1951</v>
      </c>
      <c r="D143" s="24" t="s">
        <v>1952</v>
      </c>
      <c r="E143" s="24" t="s">
        <v>1953</v>
      </c>
      <c r="F143" s="24" t="s">
        <v>1954</v>
      </c>
      <c r="G143" s="24" t="s">
        <v>1102</v>
      </c>
      <c r="H143" s="24" t="s">
        <v>2013</v>
      </c>
      <c r="I143" s="24" t="s">
        <v>2014</v>
      </c>
      <c r="J143" s="24" t="s">
        <v>2014</v>
      </c>
      <c r="K143" s="24" t="s">
        <v>1102</v>
      </c>
      <c r="L143" s="24" t="s">
        <v>2015</v>
      </c>
      <c r="M143" s="24" t="s">
        <v>2016</v>
      </c>
      <c r="N143" s="24">
        <v>9422154609</v>
      </c>
      <c r="O143" s="24" t="s">
        <v>2017</v>
      </c>
      <c r="P143" s="24">
        <v>442605</v>
      </c>
      <c r="Q143" s="24" t="s">
        <v>2018</v>
      </c>
      <c r="R143" s="24" t="s">
        <v>1100</v>
      </c>
      <c r="S143" s="24" t="s">
        <v>1961</v>
      </c>
      <c r="T143" s="24" t="s">
        <v>1102</v>
      </c>
      <c r="U143" s="24">
        <v>20</v>
      </c>
      <c r="V143" s="24">
        <v>30</v>
      </c>
      <c r="W143" s="24"/>
      <c r="X143" s="24">
        <v>50</v>
      </c>
      <c r="Y143" s="24">
        <v>20</v>
      </c>
      <c r="Z143" s="24">
        <v>10</v>
      </c>
      <c r="AA143" s="24">
        <v>2</v>
      </c>
      <c r="AB143" s="24">
        <v>10</v>
      </c>
      <c r="AC143" s="24">
        <v>8</v>
      </c>
      <c r="AD143" s="24">
        <v>5</v>
      </c>
      <c r="AE143" s="24">
        <v>4</v>
      </c>
      <c r="AF143" s="24">
        <v>0</v>
      </c>
      <c r="AG143" s="24">
        <v>2</v>
      </c>
      <c r="AH143" s="24">
        <v>22</v>
      </c>
      <c r="AI143" s="24">
        <v>9</v>
      </c>
      <c r="AJ143" s="24">
        <v>30</v>
      </c>
      <c r="AK143" s="24"/>
      <c r="AL143" s="24">
        <v>30</v>
      </c>
      <c r="AM143" s="24">
        <v>22</v>
      </c>
      <c r="AN143" s="24">
        <v>13</v>
      </c>
      <c r="AO143" s="24">
        <v>26</v>
      </c>
      <c r="AP143" s="24">
        <v>30</v>
      </c>
      <c r="AQ143" s="24">
        <v>38</v>
      </c>
      <c r="AR143" s="24">
        <v>29</v>
      </c>
      <c r="AS143" s="24">
        <v>15</v>
      </c>
      <c r="AT143" s="24">
        <v>30</v>
      </c>
      <c r="AU143" s="24">
        <v>32</v>
      </c>
      <c r="AV143" s="24">
        <v>47</v>
      </c>
      <c r="AW143" s="24">
        <v>31</v>
      </c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</row>
    <row r="144" spans="1:69">
      <c r="A144" s="24">
        <v>2141</v>
      </c>
      <c r="B144" s="24" t="s">
        <v>980</v>
      </c>
      <c r="C144" s="24" t="s">
        <v>1951</v>
      </c>
      <c r="D144" s="24" t="s">
        <v>1952</v>
      </c>
      <c r="E144" s="24" t="s">
        <v>1953</v>
      </c>
      <c r="F144" s="24" t="s">
        <v>1954</v>
      </c>
      <c r="G144" s="24" t="s">
        <v>1102</v>
      </c>
      <c r="H144" s="24" t="s">
        <v>2019</v>
      </c>
      <c r="I144" s="24" t="s">
        <v>2020</v>
      </c>
      <c r="J144" s="24" t="s">
        <v>2020</v>
      </c>
      <c r="K144" s="24" t="s">
        <v>1102</v>
      </c>
      <c r="L144" s="24" t="s">
        <v>1102</v>
      </c>
      <c r="M144" s="24" t="s">
        <v>2021</v>
      </c>
      <c r="N144" s="24">
        <v>9860508130</v>
      </c>
      <c r="O144" s="24" t="s">
        <v>2022</v>
      </c>
      <c r="P144" s="24">
        <v>445301</v>
      </c>
      <c r="Q144" s="24" t="s">
        <v>2023</v>
      </c>
      <c r="R144" s="24" t="s">
        <v>1100</v>
      </c>
      <c r="S144" s="24" t="s">
        <v>1961</v>
      </c>
      <c r="T144" s="24" t="s">
        <v>1102</v>
      </c>
      <c r="U144" s="24">
        <v>40</v>
      </c>
      <c r="V144" s="24">
        <v>10</v>
      </c>
      <c r="W144" s="24"/>
      <c r="X144" s="24">
        <v>50</v>
      </c>
      <c r="Y144" s="24">
        <v>40</v>
      </c>
      <c r="Z144" s="24">
        <v>24</v>
      </c>
      <c r="AA144" s="24">
        <v>20</v>
      </c>
      <c r="AB144" s="24">
        <v>11</v>
      </c>
      <c r="AC144" s="24">
        <v>26</v>
      </c>
      <c r="AD144" s="24">
        <v>10</v>
      </c>
      <c r="AE144" s="24">
        <v>44</v>
      </c>
      <c r="AF144" s="24">
        <v>12</v>
      </c>
      <c r="AG144" s="24">
        <v>5</v>
      </c>
      <c r="AH144" s="24">
        <v>20</v>
      </c>
      <c r="AI144" s="24">
        <v>24</v>
      </c>
      <c r="AJ144" s="24">
        <v>17</v>
      </c>
      <c r="AK144" s="24"/>
      <c r="AL144" s="24">
        <v>10</v>
      </c>
      <c r="AM144" s="24">
        <v>3</v>
      </c>
      <c r="AN144" s="24">
        <v>0</v>
      </c>
      <c r="AO144" s="24">
        <v>2</v>
      </c>
      <c r="AP144" s="24">
        <v>1</v>
      </c>
      <c r="AQ144" s="24">
        <v>1</v>
      </c>
      <c r="AR144" s="24">
        <v>5</v>
      </c>
      <c r="AS144" s="24">
        <v>1</v>
      </c>
      <c r="AT144" s="24">
        <v>2</v>
      </c>
      <c r="AU144" s="24">
        <v>8</v>
      </c>
      <c r="AV144" s="24">
        <v>4</v>
      </c>
      <c r="AW144" s="24">
        <v>1</v>
      </c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</row>
    <row r="145" spans="1:69">
      <c r="A145" s="24">
        <v>2142</v>
      </c>
      <c r="B145" s="24" t="s">
        <v>980</v>
      </c>
      <c r="C145" s="24" t="s">
        <v>1951</v>
      </c>
      <c r="D145" s="24" t="s">
        <v>1952</v>
      </c>
      <c r="E145" s="24" t="s">
        <v>1953</v>
      </c>
      <c r="F145" s="24" t="s">
        <v>1954</v>
      </c>
      <c r="G145" s="24" t="s">
        <v>1102</v>
      </c>
      <c r="H145" s="24" t="s">
        <v>2024</v>
      </c>
      <c r="I145" s="24" t="s">
        <v>2025</v>
      </c>
      <c r="J145" s="24" t="s">
        <v>2025</v>
      </c>
      <c r="K145" s="24" t="s">
        <v>1102</v>
      </c>
      <c r="L145" s="24" t="s">
        <v>2026</v>
      </c>
      <c r="M145" s="24" t="s">
        <v>2027</v>
      </c>
      <c r="N145" s="24" t="s">
        <v>2028</v>
      </c>
      <c r="O145" s="24" t="s">
        <v>2029</v>
      </c>
      <c r="P145" s="24">
        <v>441001</v>
      </c>
      <c r="Q145" s="24" t="s">
        <v>2030</v>
      </c>
      <c r="R145" s="24" t="s">
        <v>1100</v>
      </c>
      <c r="S145" s="24" t="s">
        <v>1961</v>
      </c>
      <c r="T145" s="24" t="s">
        <v>1102</v>
      </c>
      <c r="U145" s="24">
        <v>35</v>
      </c>
      <c r="V145" s="24">
        <v>20</v>
      </c>
      <c r="W145" s="24"/>
      <c r="X145" s="24">
        <v>55</v>
      </c>
      <c r="Y145" s="24">
        <v>35</v>
      </c>
      <c r="Z145" s="24">
        <v>3</v>
      </c>
      <c r="AA145" s="24">
        <v>13</v>
      </c>
      <c r="AB145" s="24">
        <v>13</v>
      </c>
      <c r="AC145" s="24">
        <v>11</v>
      </c>
      <c r="AD145" s="24"/>
      <c r="AE145" s="24">
        <v>13</v>
      </c>
      <c r="AF145" s="24">
        <v>4</v>
      </c>
      <c r="AG145" s="24">
        <v>4</v>
      </c>
      <c r="AH145" s="24">
        <v>8</v>
      </c>
      <c r="AI145" s="24">
        <v>16</v>
      </c>
      <c r="AJ145" s="24">
        <v>11</v>
      </c>
      <c r="AK145" s="24"/>
      <c r="AL145" s="24">
        <v>20</v>
      </c>
      <c r="AM145" s="24">
        <v>7</v>
      </c>
      <c r="AN145" s="24">
        <v>5</v>
      </c>
      <c r="AO145" s="24">
        <v>3</v>
      </c>
      <c r="AP145" s="24">
        <v>8</v>
      </c>
      <c r="AQ145" s="24">
        <v>5</v>
      </c>
      <c r="AR145" s="24">
        <v>9</v>
      </c>
      <c r="AS145" s="24">
        <v>5</v>
      </c>
      <c r="AT145" s="24">
        <v>4</v>
      </c>
      <c r="AU145" s="24">
        <v>8</v>
      </c>
      <c r="AV145" s="24">
        <v>7</v>
      </c>
      <c r="AW145" s="24">
        <v>10</v>
      </c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</row>
    <row r="146" spans="1:69">
      <c r="A146" s="24">
        <v>2143</v>
      </c>
      <c r="B146" s="24" t="s">
        <v>980</v>
      </c>
      <c r="C146" s="24" t="s">
        <v>1951</v>
      </c>
      <c r="D146" s="24" t="s">
        <v>1952</v>
      </c>
      <c r="E146" s="24" t="s">
        <v>1953</v>
      </c>
      <c r="F146" s="24" t="s">
        <v>1954</v>
      </c>
      <c r="G146" s="24" t="s">
        <v>1102</v>
      </c>
      <c r="H146" s="24" t="s">
        <v>2031</v>
      </c>
      <c r="I146" s="24" t="s">
        <v>2032</v>
      </c>
      <c r="J146" s="24" t="s">
        <v>2032</v>
      </c>
      <c r="K146" s="24" t="s">
        <v>1102</v>
      </c>
      <c r="L146" s="24" t="s">
        <v>2033</v>
      </c>
      <c r="M146" s="24" t="s">
        <v>2034</v>
      </c>
      <c r="N146" s="24">
        <v>9372797920</v>
      </c>
      <c r="O146" s="24" t="s">
        <v>2035</v>
      </c>
      <c r="P146" s="24">
        <v>441401</v>
      </c>
      <c r="Q146" s="24" t="s">
        <v>2036</v>
      </c>
      <c r="R146" s="24" t="s">
        <v>1100</v>
      </c>
      <c r="S146" s="24" t="s">
        <v>1961</v>
      </c>
      <c r="T146" s="24" t="s">
        <v>1102</v>
      </c>
      <c r="U146" s="24">
        <v>20</v>
      </c>
      <c r="V146" s="24">
        <v>10</v>
      </c>
      <c r="W146" s="24"/>
      <c r="X146" s="24">
        <v>30</v>
      </c>
      <c r="Y146" s="24">
        <v>20</v>
      </c>
      <c r="Z146" s="24">
        <v>0</v>
      </c>
      <c r="AA146" s="24">
        <v>0</v>
      </c>
      <c r="AB146" s="24">
        <v>1</v>
      </c>
      <c r="AC146" s="24">
        <v>2</v>
      </c>
      <c r="AD146" s="24">
        <v>3</v>
      </c>
      <c r="AE146" s="24">
        <v>3</v>
      </c>
      <c r="AF146" s="24">
        <v>0</v>
      </c>
      <c r="AG146" s="24">
        <v>0</v>
      </c>
      <c r="AH146" s="24">
        <v>1</v>
      </c>
      <c r="AI146" s="24">
        <v>4</v>
      </c>
      <c r="AJ146" s="24">
        <v>0</v>
      </c>
      <c r="AK146" s="24"/>
      <c r="AL146" s="24">
        <v>10</v>
      </c>
      <c r="AM146" s="24">
        <v>3</v>
      </c>
      <c r="AN146" s="24">
        <v>5</v>
      </c>
      <c r="AO146" s="24">
        <v>5</v>
      </c>
      <c r="AP146" s="24">
        <v>8</v>
      </c>
      <c r="AQ146" s="24">
        <v>8</v>
      </c>
      <c r="AR146" s="24">
        <v>8</v>
      </c>
      <c r="AS146" s="24">
        <v>7</v>
      </c>
      <c r="AT146" s="24">
        <v>8</v>
      </c>
      <c r="AU146" s="24">
        <v>8</v>
      </c>
      <c r="AV146" s="24">
        <v>7</v>
      </c>
      <c r="AW146" s="24">
        <v>6</v>
      </c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</row>
    <row r="147" spans="1:69">
      <c r="A147" s="24">
        <v>2144</v>
      </c>
      <c r="B147" s="24" t="s">
        <v>980</v>
      </c>
      <c r="C147" s="24" t="s">
        <v>1951</v>
      </c>
      <c r="D147" s="24" t="s">
        <v>1952</v>
      </c>
      <c r="E147" s="24" t="s">
        <v>1953</v>
      </c>
      <c r="F147" s="24" t="s">
        <v>1954</v>
      </c>
      <c r="G147" s="24" t="s">
        <v>1102</v>
      </c>
      <c r="H147" s="24" t="s">
        <v>2037</v>
      </c>
      <c r="I147" s="24" t="s">
        <v>2038</v>
      </c>
      <c r="J147" s="24" t="s">
        <v>2038</v>
      </c>
      <c r="K147" s="24" t="s">
        <v>1102</v>
      </c>
      <c r="L147" s="24" t="s">
        <v>2039</v>
      </c>
      <c r="M147" s="24" t="s">
        <v>2040</v>
      </c>
      <c r="N147" s="24">
        <v>9822722520</v>
      </c>
      <c r="O147" s="24" t="s">
        <v>2041</v>
      </c>
      <c r="P147" s="24">
        <v>441302</v>
      </c>
      <c r="Q147" s="24" t="s">
        <v>2042</v>
      </c>
      <c r="R147" s="24" t="s">
        <v>1100</v>
      </c>
      <c r="S147" s="24" t="s">
        <v>1961</v>
      </c>
      <c r="T147" s="24" t="s">
        <v>1102</v>
      </c>
      <c r="U147" s="24">
        <v>65</v>
      </c>
      <c r="V147" s="24">
        <v>20</v>
      </c>
      <c r="W147" s="24"/>
      <c r="X147" s="24">
        <v>85</v>
      </c>
      <c r="Y147" s="24">
        <v>65</v>
      </c>
      <c r="Z147" s="24">
        <v>25</v>
      </c>
      <c r="AA147" s="24">
        <v>29</v>
      </c>
      <c r="AB147" s="24">
        <v>49</v>
      </c>
      <c r="AC147" s="24">
        <v>45</v>
      </c>
      <c r="AD147" s="24">
        <v>19</v>
      </c>
      <c r="AE147" s="24">
        <v>40</v>
      </c>
      <c r="AF147" s="24">
        <v>33</v>
      </c>
      <c r="AG147" s="24">
        <v>12</v>
      </c>
      <c r="AH147" s="24">
        <v>41</v>
      </c>
      <c r="AI147" s="24">
        <v>55</v>
      </c>
      <c r="AJ147" s="24">
        <v>41</v>
      </c>
      <c r="AK147" s="24"/>
      <c r="AL147" s="24">
        <v>20</v>
      </c>
      <c r="AM147" s="24">
        <v>2</v>
      </c>
      <c r="AN147" s="24">
        <v>12</v>
      </c>
      <c r="AO147" s="24">
        <v>5</v>
      </c>
      <c r="AP147" s="24">
        <v>7</v>
      </c>
      <c r="AQ147" s="24">
        <v>5</v>
      </c>
      <c r="AR147" s="24">
        <v>5</v>
      </c>
      <c r="AS147" s="24">
        <v>12</v>
      </c>
      <c r="AT147" s="24">
        <v>7</v>
      </c>
      <c r="AU147" s="24">
        <v>3</v>
      </c>
      <c r="AV147" s="24">
        <v>5</v>
      </c>
      <c r="AW147" s="24">
        <v>3</v>
      </c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</row>
    <row r="148" spans="1:69">
      <c r="A148" s="24">
        <v>2145</v>
      </c>
      <c r="B148" s="24" t="s">
        <v>980</v>
      </c>
      <c r="C148" s="24" t="s">
        <v>1951</v>
      </c>
      <c r="D148" s="24" t="s">
        <v>1952</v>
      </c>
      <c r="E148" s="24" t="s">
        <v>1953</v>
      </c>
      <c r="F148" s="24" t="s">
        <v>1954</v>
      </c>
      <c r="G148" s="24" t="s">
        <v>1102</v>
      </c>
      <c r="H148" s="24" t="s">
        <v>2043</v>
      </c>
      <c r="I148" s="24" t="s">
        <v>2044</v>
      </c>
      <c r="J148" s="24" t="s">
        <v>2044</v>
      </c>
      <c r="K148" s="24" t="s">
        <v>1102</v>
      </c>
      <c r="L148" s="24" t="s">
        <v>1102</v>
      </c>
      <c r="M148" s="24" t="s">
        <v>2045</v>
      </c>
      <c r="N148" s="24">
        <v>9552204397</v>
      </c>
      <c r="O148" s="24" t="s">
        <v>2046</v>
      </c>
      <c r="P148" s="24">
        <v>441109</v>
      </c>
      <c r="Q148" s="24" t="s">
        <v>2047</v>
      </c>
      <c r="R148" s="24" t="s">
        <v>1100</v>
      </c>
      <c r="S148" s="24" t="s">
        <v>1961</v>
      </c>
      <c r="T148" s="24" t="s">
        <v>1102</v>
      </c>
      <c r="U148" s="24">
        <v>20</v>
      </c>
      <c r="V148" s="24">
        <v>3</v>
      </c>
      <c r="W148" s="24"/>
      <c r="X148" s="24">
        <v>23</v>
      </c>
      <c r="Y148" s="24">
        <v>20</v>
      </c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>
        <v>10</v>
      </c>
      <c r="AK148" s="24"/>
      <c r="AL148" s="24">
        <v>3</v>
      </c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>
        <v>4</v>
      </c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</row>
    <row r="149" spans="1:69">
      <c r="A149" s="24">
        <v>2146</v>
      </c>
      <c r="B149" s="24" t="s">
        <v>980</v>
      </c>
      <c r="C149" s="24" t="s">
        <v>1951</v>
      </c>
      <c r="D149" s="24" t="s">
        <v>1952</v>
      </c>
      <c r="E149" s="24" t="s">
        <v>1953</v>
      </c>
      <c r="F149" s="24" t="s">
        <v>1954</v>
      </c>
      <c r="G149" s="24" t="s">
        <v>1102</v>
      </c>
      <c r="H149" s="24" t="s">
        <v>2048</v>
      </c>
      <c r="I149" s="24" t="s">
        <v>2049</v>
      </c>
      <c r="J149" s="24" t="s">
        <v>2049</v>
      </c>
      <c r="K149" s="24" t="s">
        <v>1102</v>
      </c>
      <c r="L149" s="24" t="s">
        <v>1102</v>
      </c>
      <c r="M149" s="24" t="s">
        <v>2050</v>
      </c>
      <c r="N149" s="24">
        <v>99275291547</v>
      </c>
      <c r="O149" s="24" t="s">
        <v>2051</v>
      </c>
      <c r="P149" s="24">
        <v>441206</v>
      </c>
      <c r="Q149" s="24" t="s">
        <v>991</v>
      </c>
      <c r="R149" s="24" t="s">
        <v>1100</v>
      </c>
      <c r="S149" s="24" t="s">
        <v>1961</v>
      </c>
      <c r="T149" s="24" t="s">
        <v>1102</v>
      </c>
      <c r="U149" s="24">
        <v>10</v>
      </c>
      <c r="V149" s="24">
        <v>25</v>
      </c>
      <c r="W149" s="24"/>
      <c r="X149" s="24">
        <v>35</v>
      </c>
      <c r="Y149" s="24">
        <v>10</v>
      </c>
      <c r="Z149" s="24">
        <v>0</v>
      </c>
      <c r="AA149" s="24">
        <v>0</v>
      </c>
      <c r="AB149" s="24">
        <v>9</v>
      </c>
      <c r="AC149" s="24">
        <v>0</v>
      </c>
      <c r="AD149" s="24">
        <v>0</v>
      </c>
      <c r="AE149" s="24">
        <v>20</v>
      </c>
      <c r="AF149" s="24">
        <v>0</v>
      </c>
      <c r="AG149" s="24">
        <v>0</v>
      </c>
      <c r="AH149" s="24">
        <v>3</v>
      </c>
      <c r="AI149" s="24">
        <v>0</v>
      </c>
      <c r="AJ149" s="24">
        <v>0</v>
      </c>
      <c r="AK149" s="24"/>
      <c r="AL149" s="24">
        <v>25</v>
      </c>
      <c r="AM149" s="24">
        <v>31</v>
      </c>
      <c r="AN149" s="24">
        <v>0</v>
      </c>
      <c r="AO149" s="24">
        <v>5</v>
      </c>
      <c r="AP149" s="24">
        <v>41</v>
      </c>
      <c r="AQ149" s="24">
        <v>22</v>
      </c>
      <c r="AR149" s="24">
        <v>28</v>
      </c>
      <c r="AS149" s="24">
        <v>0</v>
      </c>
      <c r="AT149" s="24">
        <v>10</v>
      </c>
      <c r="AU149" s="24">
        <v>17</v>
      </c>
      <c r="AV149" s="24">
        <v>7</v>
      </c>
      <c r="AW149" s="24">
        <v>7</v>
      </c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</row>
    <row r="150" spans="1:69">
      <c r="A150" s="24">
        <v>2147</v>
      </c>
      <c r="B150" s="24" t="s">
        <v>980</v>
      </c>
      <c r="C150" s="24" t="s">
        <v>1951</v>
      </c>
      <c r="D150" s="24" t="s">
        <v>1952</v>
      </c>
      <c r="E150" s="24" t="s">
        <v>1953</v>
      </c>
      <c r="F150" s="24" t="s">
        <v>1954</v>
      </c>
      <c r="G150" s="24" t="s">
        <v>1102</v>
      </c>
      <c r="H150" s="24" t="s">
        <v>2052</v>
      </c>
      <c r="I150" s="24" t="s">
        <v>2053</v>
      </c>
      <c r="J150" s="24" t="s">
        <v>2053</v>
      </c>
      <c r="K150" s="24" t="s">
        <v>1102</v>
      </c>
      <c r="L150" s="24" t="s">
        <v>2054</v>
      </c>
      <c r="M150" s="24" t="s">
        <v>2055</v>
      </c>
      <c r="N150" s="24">
        <v>9422111793</v>
      </c>
      <c r="O150" s="24" t="s">
        <v>2056</v>
      </c>
      <c r="P150" s="24">
        <v>440021</v>
      </c>
      <c r="Q150" s="24" t="s">
        <v>2057</v>
      </c>
      <c r="R150" s="24" t="s">
        <v>1100</v>
      </c>
      <c r="S150" s="24" t="s">
        <v>1961</v>
      </c>
      <c r="T150" s="24" t="s">
        <v>1102</v>
      </c>
      <c r="U150" s="24">
        <v>70</v>
      </c>
      <c r="V150" s="24">
        <v>10</v>
      </c>
      <c r="W150" s="24"/>
      <c r="X150" s="24">
        <v>80</v>
      </c>
      <c r="Y150" s="24">
        <v>70</v>
      </c>
      <c r="Z150" s="24">
        <v>22</v>
      </c>
      <c r="AA150" s="24">
        <v>61</v>
      </c>
      <c r="AB150" s="24">
        <v>33</v>
      </c>
      <c r="AC150" s="24">
        <v>46</v>
      </c>
      <c r="AD150" s="24">
        <v>26</v>
      </c>
      <c r="AE150" s="24">
        <v>25</v>
      </c>
      <c r="AF150" s="24">
        <v>25</v>
      </c>
      <c r="AG150" s="24">
        <v>12</v>
      </c>
      <c r="AH150" s="24">
        <v>20</v>
      </c>
      <c r="AI150" s="24">
        <v>34</v>
      </c>
      <c r="AJ150" s="24">
        <v>25</v>
      </c>
      <c r="AK150" s="24"/>
      <c r="AL150" s="24">
        <v>10</v>
      </c>
      <c r="AM150" s="24">
        <v>5</v>
      </c>
      <c r="AN150" s="24">
        <v>4</v>
      </c>
      <c r="AO150" s="24">
        <v>3</v>
      </c>
      <c r="AP150" s="24">
        <v>5</v>
      </c>
      <c r="AQ150" s="24">
        <v>6</v>
      </c>
      <c r="AR150" s="24">
        <v>4</v>
      </c>
      <c r="AS150" s="24">
        <v>5</v>
      </c>
      <c r="AT150" s="24">
        <v>12</v>
      </c>
      <c r="AU150" s="24">
        <v>0</v>
      </c>
      <c r="AV150" s="24">
        <v>0</v>
      </c>
      <c r="AW150" s="24">
        <v>6</v>
      </c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</row>
    <row r="151" spans="1:69">
      <c r="A151" s="24">
        <v>2148</v>
      </c>
      <c r="B151" s="24" t="s">
        <v>980</v>
      </c>
      <c r="C151" s="24" t="s">
        <v>1951</v>
      </c>
      <c r="D151" s="24" t="s">
        <v>1952</v>
      </c>
      <c r="E151" s="24" t="s">
        <v>1953</v>
      </c>
      <c r="F151" s="24" t="s">
        <v>1954</v>
      </c>
      <c r="G151" s="24" t="s">
        <v>1102</v>
      </c>
      <c r="H151" s="24" t="s">
        <v>2058</v>
      </c>
      <c r="I151" s="24" t="s">
        <v>2053</v>
      </c>
      <c r="J151" s="24" t="s">
        <v>2053</v>
      </c>
      <c r="K151" s="24" t="s">
        <v>1102</v>
      </c>
      <c r="L151" s="24" t="s">
        <v>1102</v>
      </c>
      <c r="M151" s="24" t="s">
        <v>2059</v>
      </c>
      <c r="N151" s="24">
        <v>9730843568</v>
      </c>
      <c r="O151" s="24" t="s">
        <v>2060</v>
      </c>
      <c r="P151" s="24">
        <v>440002</v>
      </c>
      <c r="Q151" s="24" t="s">
        <v>991</v>
      </c>
      <c r="R151" s="24" t="s">
        <v>1100</v>
      </c>
      <c r="S151" s="24" t="s">
        <v>1961</v>
      </c>
      <c r="T151" s="24" t="s">
        <v>1102</v>
      </c>
      <c r="U151" s="24">
        <v>50</v>
      </c>
      <c r="V151" s="24">
        <v>5</v>
      </c>
      <c r="W151" s="24"/>
      <c r="X151" s="24">
        <v>55</v>
      </c>
      <c r="Y151" s="24">
        <v>50</v>
      </c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>
        <v>62</v>
      </c>
      <c r="AK151" s="24"/>
      <c r="AL151" s="24">
        <v>5</v>
      </c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>
        <v>8</v>
      </c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</row>
    <row r="152" spans="1:69">
      <c r="A152" s="24">
        <v>2149</v>
      </c>
      <c r="B152" s="24" t="s">
        <v>980</v>
      </c>
      <c r="C152" s="24" t="s">
        <v>1951</v>
      </c>
      <c r="D152" s="24" t="s">
        <v>1952</v>
      </c>
      <c r="E152" s="24" t="s">
        <v>1953</v>
      </c>
      <c r="F152" s="24" t="s">
        <v>1954</v>
      </c>
      <c r="G152" s="24" t="s">
        <v>1102</v>
      </c>
      <c r="H152" s="24" t="s">
        <v>2061</v>
      </c>
      <c r="I152" s="24" t="s">
        <v>2062</v>
      </c>
      <c r="J152" s="24" t="s">
        <v>2062</v>
      </c>
      <c r="K152" s="24" t="s">
        <v>1102</v>
      </c>
      <c r="L152" s="24" t="s">
        <v>1102</v>
      </c>
      <c r="M152" s="24" t="s">
        <v>2063</v>
      </c>
      <c r="N152" s="24">
        <v>982281600</v>
      </c>
      <c r="O152" s="24" t="s">
        <v>2064</v>
      </c>
      <c r="P152" s="24">
        <v>445204</v>
      </c>
      <c r="Q152" s="24" t="s">
        <v>991</v>
      </c>
      <c r="R152" s="24" t="s">
        <v>1100</v>
      </c>
      <c r="S152" s="24" t="s">
        <v>1961</v>
      </c>
      <c r="T152" s="24" t="s">
        <v>1102</v>
      </c>
      <c r="U152" s="24">
        <v>20</v>
      </c>
      <c r="V152" s="24">
        <v>20</v>
      </c>
      <c r="W152" s="24"/>
      <c r="X152" s="24">
        <v>40</v>
      </c>
      <c r="Y152" s="24">
        <v>20</v>
      </c>
      <c r="Z152" s="24">
        <v>7</v>
      </c>
      <c r="AA152" s="24">
        <v>2</v>
      </c>
      <c r="AB152" s="24">
        <v>4</v>
      </c>
      <c r="AC152" s="24">
        <v>2</v>
      </c>
      <c r="AD152" s="24">
        <v>3</v>
      </c>
      <c r="AE152" s="24">
        <v>4</v>
      </c>
      <c r="AF152" s="24">
        <v>9</v>
      </c>
      <c r="AG152" s="24">
        <v>0</v>
      </c>
      <c r="AH152" s="24">
        <v>3</v>
      </c>
      <c r="AI152" s="24">
        <v>10</v>
      </c>
      <c r="AJ152" s="24">
        <v>0</v>
      </c>
      <c r="AK152" s="24"/>
      <c r="AL152" s="24">
        <v>20</v>
      </c>
      <c r="AM152" s="24">
        <v>8</v>
      </c>
      <c r="AN152" s="24">
        <v>11</v>
      </c>
      <c r="AO152" s="24">
        <v>6</v>
      </c>
      <c r="AP152" s="24">
        <v>16</v>
      </c>
      <c r="AQ152" s="24">
        <v>8</v>
      </c>
      <c r="AR152" s="24">
        <v>8</v>
      </c>
      <c r="AS152" s="24">
        <v>16</v>
      </c>
      <c r="AT152" s="24">
        <v>10</v>
      </c>
      <c r="AU152" s="24">
        <v>8</v>
      </c>
      <c r="AV152" s="24">
        <v>15</v>
      </c>
      <c r="AW152" s="24">
        <v>0</v>
      </c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</row>
    <row r="153" spans="1:69">
      <c r="A153" s="24">
        <v>2150</v>
      </c>
      <c r="B153" s="24" t="s">
        <v>980</v>
      </c>
      <c r="C153" s="24" t="s">
        <v>1951</v>
      </c>
      <c r="D153" s="24" t="s">
        <v>1952</v>
      </c>
      <c r="E153" s="24" t="s">
        <v>1953</v>
      </c>
      <c r="F153" s="24" t="s">
        <v>1954</v>
      </c>
      <c r="G153" s="24" t="s">
        <v>1102</v>
      </c>
      <c r="H153" s="24" t="s">
        <v>2065</v>
      </c>
      <c r="I153" s="24" t="s">
        <v>2066</v>
      </c>
      <c r="J153" s="24" t="s">
        <v>2066</v>
      </c>
      <c r="K153" s="24" t="s">
        <v>1102</v>
      </c>
      <c r="L153" s="24" t="s">
        <v>1102</v>
      </c>
      <c r="M153" s="24" t="s">
        <v>1964</v>
      </c>
      <c r="N153" s="24" t="s">
        <v>2067</v>
      </c>
      <c r="O153" s="24" t="s">
        <v>2068</v>
      </c>
      <c r="P153" s="24">
        <v>441203</v>
      </c>
      <c r="Q153" s="24" t="s">
        <v>991</v>
      </c>
      <c r="R153" s="24" t="s">
        <v>1100</v>
      </c>
      <c r="S153" s="24" t="s">
        <v>1961</v>
      </c>
      <c r="T153" s="24" t="s">
        <v>1102</v>
      </c>
      <c r="U153" s="24">
        <v>80</v>
      </c>
      <c r="V153" s="24">
        <v>40</v>
      </c>
      <c r="W153" s="24"/>
      <c r="X153" s="24">
        <v>120</v>
      </c>
      <c r="Y153" s="24">
        <v>80</v>
      </c>
      <c r="Z153" s="24">
        <v>15</v>
      </c>
      <c r="AA153" s="24">
        <v>74</v>
      </c>
      <c r="AB153" s="24">
        <v>25</v>
      </c>
      <c r="AC153" s="24">
        <v>27</v>
      </c>
      <c r="AD153" s="24">
        <v>36</v>
      </c>
      <c r="AE153" s="24">
        <v>55</v>
      </c>
      <c r="AF153" s="24">
        <v>59</v>
      </c>
      <c r="AG153" s="24">
        <v>4</v>
      </c>
      <c r="AH153" s="24">
        <v>76</v>
      </c>
      <c r="AI153" s="24">
        <v>70</v>
      </c>
      <c r="AJ153" s="24">
        <v>56</v>
      </c>
      <c r="AK153" s="24"/>
      <c r="AL153" s="24">
        <v>40</v>
      </c>
      <c r="AM153" s="24">
        <v>15</v>
      </c>
      <c r="AN153" s="24">
        <v>16</v>
      </c>
      <c r="AO153" s="24">
        <v>21</v>
      </c>
      <c r="AP153" s="24">
        <v>19</v>
      </c>
      <c r="AQ153" s="24">
        <v>28</v>
      </c>
      <c r="AR153" s="24">
        <v>29</v>
      </c>
      <c r="AS153" s="24">
        <v>28</v>
      </c>
      <c r="AT153" s="24">
        <v>19</v>
      </c>
      <c r="AU153" s="24">
        <v>49</v>
      </c>
      <c r="AV153" s="24">
        <v>56</v>
      </c>
      <c r="AW153" s="24">
        <v>47</v>
      </c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</row>
    <row r="154" spans="1:69">
      <c r="A154" s="24">
        <v>2151</v>
      </c>
      <c r="B154" s="24" t="s">
        <v>980</v>
      </c>
      <c r="C154" s="24" t="s">
        <v>1951</v>
      </c>
      <c r="D154" s="24" t="s">
        <v>1952</v>
      </c>
      <c r="E154" s="24" t="s">
        <v>1953</v>
      </c>
      <c r="F154" s="24" t="s">
        <v>1954</v>
      </c>
      <c r="G154" s="24" t="s">
        <v>1102</v>
      </c>
      <c r="H154" s="24" t="s">
        <v>2069</v>
      </c>
      <c r="I154" s="24" t="s">
        <v>2070</v>
      </c>
      <c r="J154" s="24" t="s">
        <v>2070</v>
      </c>
      <c r="K154" s="24" t="s">
        <v>1102</v>
      </c>
      <c r="L154" s="24" t="s">
        <v>1102</v>
      </c>
      <c r="M154" s="24" t="s">
        <v>2016</v>
      </c>
      <c r="N154" s="24">
        <v>9604939375</v>
      </c>
      <c r="O154" s="24" t="s">
        <v>2071</v>
      </c>
      <c r="P154" s="24">
        <v>445304</v>
      </c>
      <c r="Q154" s="24" t="s">
        <v>991</v>
      </c>
      <c r="R154" s="24" t="s">
        <v>1100</v>
      </c>
      <c r="S154" s="24" t="s">
        <v>1961</v>
      </c>
      <c r="T154" s="24" t="s">
        <v>1102</v>
      </c>
      <c r="U154" s="24">
        <v>30</v>
      </c>
      <c r="V154" s="24">
        <v>30</v>
      </c>
      <c r="W154" s="24"/>
      <c r="X154" s="24">
        <v>60</v>
      </c>
      <c r="Y154" s="24">
        <v>30</v>
      </c>
      <c r="Z154" s="24">
        <v>0</v>
      </c>
      <c r="AA154" s="24">
        <v>0</v>
      </c>
      <c r="AB154" s="24">
        <v>4</v>
      </c>
      <c r="AC154" s="24">
        <v>6</v>
      </c>
      <c r="AD154" s="24">
        <v>0</v>
      </c>
      <c r="AE154" s="24">
        <v>0</v>
      </c>
      <c r="AF154" s="24">
        <v>0</v>
      </c>
      <c r="AG154" s="24">
        <v>0</v>
      </c>
      <c r="AH154" s="24">
        <v>0</v>
      </c>
      <c r="AI154" s="24">
        <v>2</v>
      </c>
      <c r="AJ154" s="24">
        <v>0</v>
      </c>
      <c r="AK154" s="24"/>
      <c r="AL154" s="24">
        <v>30</v>
      </c>
      <c r="AM154" s="24">
        <v>0</v>
      </c>
      <c r="AN154" s="24">
        <v>10</v>
      </c>
      <c r="AO154" s="24">
        <v>10</v>
      </c>
      <c r="AP154" s="24">
        <v>20</v>
      </c>
      <c r="AQ154" s="24">
        <v>10</v>
      </c>
      <c r="AR154" s="24">
        <v>10</v>
      </c>
      <c r="AS154" s="24">
        <v>25</v>
      </c>
      <c r="AT154" s="24">
        <v>10</v>
      </c>
      <c r="AU154" s="24">
        <v>10</v>
      </c>
      <c r="AV154" s="24">
        <v>20</v>
      </c>
      <c r="AW154" s="24">
        <v>10</v>
      </c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</row>
    <row r="155" spans="1:69">
      <c r="A155" s="24">
        <v>2152</v>
      </c>
      <c r="B155" s="24" t="s">
        <v>980</v>
      </c>
      <c r="C155" s="24" t="s">
        <v>1951</v>
      </c>
      <c r="D155" s="24" t="s">
        <v>1952</v>
      </c>
      <c r="E155" s="24" t="s">
        <v>1953</v>
      </c>
      <c r="F155" s="24" t="s">
        <v>1954</v>
      </c>
      <c r="G155" s="24" t="s">
        <v>1102</v>
      </c>
      <c r="H155" s="24" t="s">
        <v>2072</v>
      </c>
      <c r="I155" s="24" t="s">
        <v>2073</v>
      </c>
      <c r="J155" s="24" t="s">
        <v>2073</v>
      </c>
      <c r="K155" s="24" t="s">
        <v>1102</v>
      </c>
      <c r="L155" s="24" t="s">
        <v>1102</v>
      </c>
      <c r="M155" s="24" t="s">
        <v>2001</v>
      </c>
      <c r="N155" s="24" t="s">
        <v>2074</v>
      </c>
      <c r="O155" s="24" t="s">
        <v>2075</v>
      </c>
      <c r="P155" s="24">
        <v>445001</v>
      </c>
      <c r="Q155" s="24" t="s">
        <v>2076</v>
      </c>
      <c r="R155" s="24" t="s">
        <v>1100</v>
      </c>
      <c r="S155" s="24" t="s">
        <v>1961</v>
      </c>
      <c r="T155" s="24" t="s">
        <v>1102</v>
      </c>
      <c r="U155" s="24">
        <v>40</v>
      </c>
      <c r="V155" s="24">
        <v>10</v>
      </c>
      <c r="W155" s="24"/>
      <c r="X155" s="24">
        <v>50</v>
      </c>
      <c r="Y155" s="24">
        <v>40</v>
      </c>
      <c r="Z155" s="24">
        <v>19</v>
      </c>
      <c r="AA155" s="24">
        <v>12</v>
      </c>
      <c r="AB155" s="24">
        <v>8</v>
      </c>
      <c r="AC155" s="24">
        <v>20</v>
      </c>
      <c r="AD155" s="24">
        <v>11</v>
      </c>
      <c r="AE155" s="24">
        <v>7</v>
      </c>
      <c r="AF155" s="24">
        <v>12</v>
      </c>
      <c r="AG155" s="24">
        <v>8</v>
      </c>
      <c r="AH155" s="24">
        <v>9</v>
      </c>
      <c r="AI155" s="24">
        <v>21</v>
      </c>
      <c r="AJ155" s="24">
        <v>0</v>
      </c>
      <c r="AK155" s="24"/>
      <c r="AL155" s="24">
        <v>10</v>
      </c>
      <c r="AM155" s="24">
        <v>4</v>
      </c>
      <c r="AN155" s="24">
        <v>4</v>
      </c>
      <c r="AO155" s="24">
        <v>3</v>
      </c>
      <c r="AP155" s="24">
        <v>8</v>
      </c>
      <c r="AQ155" s="24">
        <v>6</v>
      </c>
      <c r="AR155" s="24">
        <v>8</v>
      </c>
      <c r="AS155" s="24">
        <v>7</v>
      </c>
      <c r="AT155" s="24">
        <v>6</v>
      </c>
      <c r="AU155" s="24">
        <v>3</v>
      </c>
      <c r="AV155" s="24">
        <v>4</v>
      </c>
      <c r="AW155" s="24">
        <v>3</v>
      </c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</row>
    <row r="156" spans="1:69">
      <c r="A156" s="24">
        <v>2153</v>
      </c>
      <c r="B156" s="24" t="s">
        <v>980</v>
      </c>
      <c r="C156" s="24" t="s">
        <v>1951</v>
      </c>
      <c r="D156" s="24" t="s">
        <v>953</v>
      </c>
      <c r="E156" s="24" t="s">
        <v>954</v>
      </c>
      <c r="F156" s="24" t="s">
        <v>2077</v>
      </c>
      <c r="G156" s="24" t="s">
        <v>1102</v>
      </c>
      <c r="H156" s="24" t="s">
        <v>2078</v>
      </c>
      <c r="I156" s="24" t="s">
        <v>2079</v>
      </c>
      <c r="J156" s="24" t="s">
        <v>2079</v>
      </c>
      <c r="K156" s="24" t="s">
        <v>1102</v>
      </c>
      <c r="L156" s="24" t="s">
        <v>2080</v>
      </c>
      <c r="M156" s="24" t="s">
        <v>2081</v>
      </c>
      <c r="N156" s="24">
        <v>8803583527</v>
      </c>
      <c r="O156" s="24" t="s">
        <v>2082</v>
      </c>
      <c r="P156" s="24">
        <v>441601</v>
      </c>
      <c r="Q156" s="24" t="s">
        <v>2083</v>
      </c>
      <c r="R156" s="24" t="s">
        <v>1100</v>
      </c>
      <c r="S156" s="24" t="s">
        <v>2084</v>
      </c>
      <c r="T156" s="24" t="s">
        <v>1102</v>
      </c>
      <c r="U156" s="24">
        <v>50</v>
      </c>
      <c r="V156" s="24">
        <v>150</v>
      </c>
      <c r="W156" s="24"/>
      <c r="X156" s="24">
        <v>200</v>
      </c>
      <c r="Y156" s="24">
        <v>50</v>
      </c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>
        <v>150</v>
      </c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24"/>
      <c r="BA156" s="24"/>
      <c r="BB156" s="24"/>
      <c r="BC156" s="24"/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</row>
    <row r="157" spans="1:69">
      <c r="A157" s="24">
        <v>2154</v>
      </c>
      <c r="B157" s="24" t="s">
        <v>980</v>
      </c>
      <c r="C157" s="24" t="s">
        <v>1951</v>
      </c>
      <c r="D157" s="24" t="s">
        <v>953</v>
      </c>
      <c r="E157" s="24" t="s">
        <v>954</v>
      </c>
      <c r="F157" s="24" t="s">
        <v>2077</v>
      </c>
      <c r="G157" s="24" t="s">
        <v>1102</v>
      </c>
      <c r="H157" s="24" t="s">
        <v>2085</v>
      </c>
      <c r="I157" s="24" t="s">
        <v>2079</v>
      </c>
      <c r="J157" s="24" t="s">
        <v>2086</v>
      </c>
      <c r="K157" s="24" t="s">
        <v>1102</v>
      </c>
      <c r="L157" s="24" t="s">
        <v>2087</v>
      </c>
      <c r="M157" s="24" t="s">
        <v>2088</v>
      </c>
      <c r="N157" s="24">
        <v>9923466929</v>
      </c>
      <c r="O157" s="24" t="s">
        <v>2089</v>
      </c>
      <c r="P157" s="24">
        <v>441807</v>
      </c>
      <c r="Q157" s="24" t="s">
        <v>2090</v>
      </c>
      <c r="R157" s="24" t="s">
        <v>1100</v>
      </c>
      <c r="S157" s="24" t="s">
        <v>2084</v>
      </c>
      <c r="T157" s="24" t="s">
        <v>1102</v>
      </c>
      <c r="U157" s="24">
        <v>10</v>
      </c>
      <c r="V157" s="24">
        <v>40</v>
      </c>
      <c r="W157" s="24"/>
      <c r="X157" s="24">
        <v>50</v>
      </c>
      <c r="Y157" s="24">
        <v>10</v>
      </c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>
        <v>40</v>
      </c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  <c r="BC157" s="24"/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</row>
    <row r="158" spans="1:69">
      <c r="A158" s="24">
        <v>2155</v>
      </c>
      <c r="B158" s="24" t="s">
        <v>980</v>
      </c>
      <c r="C158" s="24" t="s">
        <v>1951</v>
      </c>
      <c r="D158" s="24" t="s">
        <v>953</v>
      </c>
      <c r="E158" s="24" t="s">
        <v>954</v>
      </c>
      <c r="F158" s="24" t="s">
        <v>2077</v>
      </c>
      <c r="G158" s="24" t="s">
        <v>1102</v>
      </c>
      <c r="H158" s="24" t="s">
        <v>2091</v>
      </c>
      <c r="I158" s="24" t="s">
        <v>2079</v>
      </c>
      <c r="J158" s="24" t="s">
        <v>2092</v>
      </c>
      <c r="K158" s="24" t="s">
        <v>1102</v>
      </c>
      <c r="L158" s="24" t="s">
        <v>2093</v>
      </c>
      <c r="M158" s="24" t="s">
        <v>2094</v>
      </c>
      <c r="N158" s="24">
        <v>9326382001</v>
      </c>
      <c r="O158" s="24" t="s">
        <v>2095</v>
      </c>
      <c r="P158" s="24">
        <v>441911</v>
      </c>
      <c r="Q158" s="24" t="s">
        <v>2096</v>
      </c>
      <c r="R158" s="24" t="s">
        <v>1100</v>
      </c>
      <c r="S158" s="24" t="s">
        <v>2084</v>
      </c>
      <c r="T158" s="24" t="s">
        <v>1102</v>
      </c>
      <c r="U158" s="24">
        <v>10</v>
      </c>
      <c r="V158" s="24">
        <v>40</v>
      </c>
      <c r="W158" s="24"/>
      <c r="X158" s="24">
        <v>50</v>
      </c>
      <c r="Y158" s="24">
        <v>10</v>
      </c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>
        <v>40</v>
      </c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24"/>
      <c r="BA158" s="24"/>
      <c r="BB158" s="24"/>
      <c r="BC158" s="24"/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</row>
    <row r="159" spans="1:69">
      <c r="A159" s="24">
        <v>2156</v>
      </c>
      <c r="B159" s="24" t="s">
        <v>980</v>
      </c>
      <c r="C159" s="24" t="s">
        <v>1951</v>
      </c>
      <c r="D159" s="24" t="s">
        <v>953</v>
      </c>
      <c r="E159" s="24" t="s">
        <v>954</v>
      </c>
      <c r="F159" s="24" t="s">
        <v>2077</v>
      </c>
      <c r="G159" s="24" t="s">
        <v>1102</v>
      </c>
      <c r="H159" s="24" t="s">
        <v>2097</v>
      </c>
      <c r="I159" s="24" t="s">
        <v>2098</v>
      </c>
      <c r="J159" s="24" t="s">
        <v>2099</v>
      </c>
      <c r="K159" s="24" t="s">
        <v>1102</v>
      </c>
      <c r="L159" s="24" t="s">
        <v>2100</v>
      </c>
      <c r="M159" s="24" t="s">
        <v>2101</v>
      </c>
      <c r="N159" s="24">
        <v>8668503257</v>
      </c>
      <c r="O159" s="24" t="s">
        <v>2102</v>
      </c>
      <c r="P159" s="24">
        <v>441802</v>
      </c>
      <c r="Q159" s="24" t="s">
        <v>2103</v>
      </c>
      <c r="R159" s="24" t="s">
        <v>1100</v>
      </c>
      <c r="S159" s="24" t="s">
        <v>2084</v>
      </c>
      <c r="T159" s="24" t="s">
        <v>1102</v>
      </c>
      <c r="U159" s="24">
        <v>0</v>
      </c>
      <c r="V159" s="24">
        <v>30</v>
      </c>
      <c r="W159" s="24"/>
      <c r="X159" s="24">
        <v>30</v>
      </c>
      <c r="Y159" s="24">
        <v>0</v>
      </c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>
        <v>30</v>
      </c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  <c r="BC159" s="24"/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</row>
    <row r="160" spans="1:69">
      <c r="A160" s="24">
        <v>2157</v>
      </c>
      <c r="B160" s="24" t="s">
        <v>980</v>
      </c>
      <c r="C160" s="24" t="s">
        <v>1951</v>
      </c>
      <c r="D160" s="24" t="s">
        <v>953</v>
      </c>
      <c r="E160" s="24" t="s">
        <v>954</v>
      </c>
      <c r="F160" s="24" t="s">
        <v>2077</v>
      </c>
      <c r="G160" s="24" t="s">
        <v>1102</v>
      </c>
      <c r="H160" s="24" t="s">
        <v>2104</v>
      </c>
      <c r="I160" s="24" t="s">
        <v>2079</v>
      </c>
      <c r="J160" s="24" t="s">
        <v>2105</v>
      </c>
      <c r="K160" s="24" t="s">
        <v>1102</v>
      </c>
      <c r="L160" s="24" t="s">
        <v>2106</v>
      </c>
      <c r="M160" s="24" t="s">
        <v>2107</v>
      </c>
      <c r="N160" s="24">
        <v>8007201772</v>
      </c>
      <c r="O160" s="24" t="s">
        <v>2108</v>
      </c>
      <c r="P160" s="24">
        <v>441902</v>
      </c>
      <c r="Q160" s="24" t="s">
        <v>2109</v>
      </c>
      <c r="R160" s="24" t="s">
        <v>1100</v>
      </c>
      <c r="S160" s="24" t="s">
        <v>2084</v>
      </c>
      <c r="T160" s="24" t="s">
        <v>1102</v>
      </c>
      <c r="U160" s="24">
        <v>25</v>
      </c>
      <c r="V160" s="24">
        <v>100</v>
      </c>
      <c r="W160" s="24"/>
      <c r="X160" s="24">
        <v>125</v>
      </c>
      <c r="Y160" s="24">
        <v>25</v>
      </c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>
        <v>100</v>
      </c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/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</row>
    <row r="161" spans="1:69">
      <c r="A161" s="24">
        <v>2158</v>
      </c>
      <c r="B161" s="24" t="s">
        <v>980</v>
      </c>
      <c r="C161" s="24" t="s">
        <v>1951</v>
      </c>
      <c r="D161" s="24" t="s">
        <v>953</v>
      </c>
      <c r="E161" s="24" t="s">
        <v>954</v>
      </c>
      <c r="F161" s="24" t="s">
        <v>2077</v>
      </c>
      <c r="G161" s="24" t="s">
        <v>1102</v>
      </c>
      <c r="H161" s="24" t="s">
        <v>2110</v>
      </c>
      <c r="I161" s="24" t="s">
        <v>2079</v>
      </c>
      <c r="J161" s="24" t="s">
        <v>2111</v>
      </c>
      <c r="K161" s="24" t="s">
        <v>1102</v>
      </c>
      <c r="L161" s="24" t="s">
        <v>2112</v>
      </c>
      <c r="M161" s="24" t="s">
        <v>2113</v>
      </c>
      <c r="N161" s="24">
        <v>9403614073</v>
      </c>
      <c r="O161" s="24" t="s">
        <v>2114</v>
      </c>
      <c r="P161" s="24">
        <v>441901</v>
      </c>
      <c r="Q161" s="24" t="s">
        <v>2115</v>
      </c>
      <c r="R161" s="24" t="s">
        <v>1100</v>
      </c>
      <c r="S161" s="24" t="s">
        <v>2084</v>
      </c>
      <c r="T161" s="24" t="s">
        <v>1102</v>
      </c>
      <c r="U161" s="24">
        <v>5</v>
      </c>
      <c r="V161" s="24">
        <v>25</v>
      </c>
      <c r="W161" s="24"/>
      <c r="X161" s="24">
        <v>30</v>
      </c>
      <c r="Y161" s="24">
        <v>5</v>
      </c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>
        <v>25</v>
      </c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</row>
    <row r="162" spans="1:69">
      <c r="A162" s="24">
        <v>2159</v>
      </c>
      <c r="B162" s="24" t="s">
        <v>980</v>
      </c>
      <c r="C162" s="24" t="s">
        <v>1951</v>
      </c>
      <c r="D162" s="24" t="s">
        <v>953</v>
      </c>
      <c r="E162" s="24" t="s">
        <v>954</v>
      </c>
      <c r="F162" s="24" t="s">
        <v>2077</v>
      </c>
      <c r="G162" s="24" t="s">
        <v>1102</v>
      </c>
      <c r="H162" s="24" t="s">
        <v>2116</v>
      </c>
      <c r="I162" s="24" t="s">
        <v>2079</v>
      </c>
      <c r="J162" s="24" t="s">
        <v>2117</v>
      </c>
      <c r="K162" s="24" t="s">
        <v>1102</v>
      </c>
      <c r="L162" s="24" t="s">
        <v>2118</v>
      </c>
      <c r="M162" s="24" t="s">
        <v>2119</v>
      </c>
      <c r="N162" s="24">
        <v>9372202002</v>
      </c>
      <c r="O162" s="24" t="s">
        <v>2120</v>
      </c>
      <c r="P162" s="24">
        <v>441801</v>
      </c>
      <c r="Q162" s="24" t="s">
        <v>2121</v>
      </c>
      <c r="R162" s="24" t="s">
        <v>1100</v>
      </c>
      <c r="S162" s="24" t="s">
        <v>2084</v>
      </c>
      <c r="T162" s="24" t="s">
        <v>1102</v>
      </c>
      <c r="U162" s="24">
        <v>10</v>
      </c>
      <c r="V162" s="24">
        <v>60</v>
      </c>
      <c r="W162" s="24"/>
      <c r="X162" s="24">
        <v>70</v>
      </c>
      <c r="Y162" s="24">
        <v>10</v>
      </c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>
        <v>60</v>
      </c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</row>
    <row r="163" spans="1:69">
      <c r="A163" s="24">
        <v>2160</v>
      </c>
      <c r="B163" s="24" t="s">
        <v>980</v>
      </c>
      <c r="C163" s="24" t="s">
        <v>1101</v>
      </c>
      <c r="D163" s="24" t="s">
        <v>2122</v>
      </c>
      <c r="E163" s="24" t="s">
        <v>2123</v>
      </c>
      <c r="F163" s="24" t="s">
        <v>2124</v>
      </c>
      <c r="G163" s="24" t="s">
        <v>1102</v>
      </c>
      <c r="H163" s="24" t="s">
        <v>2125</v>
      </c>
      <c r="I163" s="24" t="s">
        <v>2124</v>
      </c>
      <c r="J163" s="24" t="s">
        <v>2126</v>
      </c>
      <c r="K163" s="24">
        <v>10</v>
      </c>
      <c r="L163" s="24" t="s">
        <v>991</v>
      </c>
      <c r="M163" s="24" t="s">
        <v>2127</v>
      </c>
      <c r="N163" s="24">
        <v>9822000770</v>
      </c>
      <c r="O163" s="24" t="s">
        <v>2128</v>
      </c>
      <c r="P163" s="24">
        <v>422401</v>
      </c>
      <c r="Q163" s="24" t="s">
        <v>991</v>
      </c>
      <c r="R163" s="24" t="s">
        <v>1100</v>
      </c>
      <c r="S163" s="24" t="s">
        <v>1101</v>
      </c>
      <c r="T163" s="24" t="s">
        <v>1102</v>
      </c>
      <c r="U163" s="24">
        <v>150</v>
      </c>
      <c r="V163" s="24">
        <v>35</v>
      </c>
      <c r="W163" s="24"/>
      <c r="X163" s="24">
        <v>185</v>
      </c>
      <c r="Y163" s="24">
        <v>150</v>
      </c>
      <c r="Z163" s="24">
        <v>99</v>
      </c>
      <c r="AA163" s="24">
        <v>244</v>
      </c>
      <c r="AB163" s="24">
        <v>87</v>
      </c>
      <c r="AC163" s="24">
        <v>193</v>
      </c>
      <c r="AD163" s="24">
        <v>189</v>
      </c>
      <c r="AE163" s="24">
        <v>107</v>
      </c>
      <c r="AF163" s="24">
        <v>148</v>
      </c>
      <c r="AG163" s="24">
        <v>64</v>
      </c>
      <c r="AH163" s="24">
        <v>107</v>
      </c>
      <c r="AI163" s="24">
        <v>94</v>
      </c>
      <c r="AJ163" s="24">
        <v>176</v>
      </c>
      <c r="AK163" s="24"/>
      <c r="AL163" s="24">
        <v>35</v>
      </c>
      <c r="AM163" s="24">
        <v>0</v>
      </c>
      <c r="AN163" s="24">
        <v>12</v>
      </c>
      <c r="AO163" s="24">
        <v>15</v>
      </c>
      <c r="AP163" s="24">
        <v>26</v>
      </c>
      <c r="AQ163" s="24">
        <v>51</v>
      </c>
      <c r="AR163" s="24">
        <v>14</v>
      </c>
      <c r="AS163" s="24">
        <v>19</v>
      </c>
      <c r="AT163" s="24">
        <v>89</v>
      </c>
      <c r="AU163" s="24">
        <v>13</v>
      </c>
      <c r="AV163" s="24">
        <v>204</v>
      </c>
      <c r="AW163" s="24">
        <v>8</v>
      </c>
      <c r="AX163" s="24"/>
      <c r="AY163" s="24"/>
      <c r="AZ163" s="24">
        <v>10</v>
      </c>
      <c r="BA163" s="24">
        <v>80</v>
      </c>
      <c r="BB163" s="24">
        <v>20</v>
      </c>
      <c r="BC163" s="24">
        <v>20</v>
      </c>
      <c r="BD163" s="24">
        <v>10</v>
      </c>
      <c r="BE163" s="24">
        <v>0</v>
      </c>
      <c r="BF163" s="24">
        <v>50</v>
      </c>
      <c r="BG163" s="24">
        <v>0</v>
      </c>
      <c r="BH163" s="24">
        <v>0</v>
      </c>
      <c r="BI163" s="24">
        <v>0</v>
      </c>
      <c r="BJ163" s="24"/>
      <c r="BK163" s="24"/>
      <c r="BL163" s="24"/>
      <c r="BM163" s="24"/>
      <c r="BN163" s="24"/>
      <c r="BO163" s="24"/>
      <c r="BP163" s="24"/>
      <c r="BQ163" s="24"/>
    </row>
    <row r="164" spans="1:69">
      <c r="A164" s="24">
        <v>2161</v>
      </c>
      <c r="B164" s="24" t="s">
        <v>980</v>
      </c>
      <c r="C164" s="24" t="s">
        <v>1101</v>
      </c>
      <c r="D164" s="24" t="s">
        <v>2122</v>
      </c>
      <c r="E164" s="24" t="s">
        <v>2123</v>
      </c>
      <c r="F164" s="24" t="s">
        <v>2124</v>
      </c>
      <c r="G164" s="24" t="s">
        <v>1102</v>
      </c>
      <c r="H164" s="24" t="s">
        <v>2129</v>
      </c>
      <c r="I164" s="24" t="s">
        <v>2124</v>
      </c>
      <c r="J164" s="24" t="s">
        <v>2130</v>
      </c>
      <c r="K164" s="24">
        <v>50</v>
      </c>
      <c r="L164" s="24" t="s">
        <v>2131</v>
      </c>
      <c r="M164" s="24" t="s">
        <v>2132</v>
      </c>
      <c r="N164" s="24">
        <v>9850467183</v>
      </c>
      <c r="O164" s="24" t="s">
        <v>2133</v>
      </c>
      <c r="P164" s="24">
        <v>422402</v>
      </c>
      <c r="Q164" s="24" t="s">
        <v>991</v>
      </c>
      <c r="R164" s="24" t="s">
        <v>1100</v>
      </c>
      <c r="S164" s="24" t="s">
        <v>1101</v>
      </c>
      <c r="T164" s="24" t="s">
        <v>1102</v>
      </c>
      <c r="U164" s="24">
        <v>180</v>
      </c>
      <c r="V164" s="24">
        <v>40</v>
      </c>
      <c r="W164" s="24"/>
      <c r="X164" s="24">
        <v>220</v>
      </c>
      <c r="Y164" s="24">
        <v>180</v>
      </c>
      <c r="Z164" s="24">
        <v>141</v>
      </c>
      <c r="AA164" s="24">
        <v>106</v>
      </c>
      <c r="AB164" s="24">
        <v>163</v>
      </c>
      <c r="AC164" s="24">
        <v>0</v>
      </c>
      <c r="AD164" s="24">
        <v>127</v>
      </c>
      <c r="AE164" s="24">
        <v>160</v>
      </c>
      <c r="AF164" s="24">
        <v>0</v>
      </c>
      <c r="AG164" s="24">
        <v>108</v>
      </c>
      <c r="AH164" s="24">
        <v>133</v>
      </c>
      <c r="AI164" s="24">
        <v>171</v>
      </c>
      <c r="AJ164" s="24">
        <v>70</v>
      </c>
      <c r="AK164" s="24"/>
      <c r="AL164" s="24">
        <v>40</v>
      </c>
      <c r="AM164" s="24">
        <v>0</v>
      </c>
      <c r="AN164" s="24">
        <v>47</v>
      </c>
      <c r="AO164" s="24">
        <v>20</v>
      </c>
      <c r="AP164" s="24">
        <v>0</v>
      </c>
      <c r="AQ164" s="24">
        <v>20</v>
      </c>
      <c r="AR164" s="24">
        <v>24</v>
      </c>
      <c r="AS164" s="24">
        <v>0</v>
      </c>
      <c r="AT164" s="24">
        <v>0</v>
      </c>
      <c r="AU164" s="24">
        <v>0</v>
      </c>
      <c r="AV164" s="24">
        <v>0</v>
      </c>
      <c r="AW164" s="24">
        <v>50</v>
      </c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</row>
    <row r="165" spans="1:69">
      <c r="A165" s="24">
        <v>2162</v>
      </c>
      <c r="B165" s="24" t="s">
        <v>980</v>
      </c>
      <c r="C165" s="24" t="s">
        <v>1101</v>
      </c>
      <c r="D165" s="24" t="s">
        <v>2122</v>
      </c>
      <c r="E165" s="24" t="s">
        <v>2123</v>
      </c>
      <c r="F165" s="24" t="s">
        <v>2124</v>
      </c>
      <c r="G165" s="24" t="s">
        <v>1102</v>
      </c>
      <c r="H165" s="24" t="s">
        <v>2134</v>
      </c>
      <c r="I165" s="24" t="s">
        <v>2124</v>
      </c>
      <c r="J165" s="24" t="s">
        <v>2135</v>
      </c>
      <c r="K165" s="24">
        <v>95</v>
      </c>
      <c r="L165" s="24" t="s">
        <v>2136</v>
      </c>
      <c r="M165" s="24" t="s">
        <v>2137</v>
      </c>
      <c r="N165" s="24">
        <v>9860404150</v>
      </c>
      <c r="O165" s="24" t="s">
        <v>2138</v>
      </c>
      <c r="P165" s="24">
        <v>423104</v>
      </c>
      <c r="Q165" s="24" t="s">
        <v>991</v>
      </c>
      <c r="R165" s="24" t="s">
        <v>1100</v>
      </c>
      <c r="S165" s="24" t="s">
        <v>1101</v>
      </c>
      <c r="T165" s="24" t="s">
        <v>1102</v>
      </c>
      <c r="U165" s="24">
        <v>100</v>
      </c>
      <c r="V165" s="24">
        <v>20</v>
      </c>
      <c r="W165" s="24"/>
      <c r="X165" s="24">
        <v>120</v>
      </c>
      <c r="Y165" s="24">
        <v>100</v>
      </c>
      <c r="Z165" s="24">
        <v>0</v>
      </c>
      <c r="AA165" s="24">
        <v>143</v>
      </c>
      <c r="AB165" s="24">
        <v>0</v>
      </c>
      <c r="AC165" s="24">
        <v>99</v>
      </c>
      <c r="AD165" s="24">
        <v>68</v>
      </c>
      <c r="AE165" s="24">
        <v>0</v>
      </c>
      <c r="AF165" s="24">
        <v>0</v>
      </c>
      <c r="AG165" s="24">
        <v>0</v>
      </c>
      <c r="AH165" s="24">
        <v>132</v>
      </c>
      <c r="AI165" s="24">
        <v>0</v>
      </c>
      <c r="AJ165" s="24"/>
      <c r="AK165" s="24"/>
      <c r="AL165" s="24">
        <v>20</v>
      </c>
      <c r="AM165" s="24">
        <v>0</v>
      </c>
      <c r="AN165" s="24">
        <v>0</v>
      </c>
      <c r="AO165" s="24">
        <v>0</v>
      </c>
      <c r="AP165" s="24">
        <v>35</v>
      </c>
      <c r="AQ165" s="24">
        <v>12</v>
      </c>
      <c r="AR165" s="24">
        <v>0</v>
      </c>
      <c r="AS165" s="24">
        <v>0</v>
      </c>
      <c r="AT165" s="24">
        <v>0</v>
      </c>
      <c r="AU165" s="24">
        <v>40</v>
      </c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</row>
    <row r="166" spans="1:69">
      <c r="A166" s="24">
        <v>2163</v>
      </c>
      <c r="B166" s="24" t="s">
        <v>980</v>
      </c>
      <c r="C166" s="24" t="s">
        <v>1101</v>
      </c>
      <c r="D166" s="24" t="s">
        <v>2122</v>
      </c>
      <c r="E166" s="24" t="s">
        <v>2123</v>
      </c>
      <c r="F166" s="24" t="s">
        <v>2124</v>
      </c>
      <c r="G166" s="24" t="s">
        <v>1102</v>
      </c>
      <c r="H166" s="24" t="s">
        <v>2139</v>
      </c>
      <c r="I166" s="24" t="s">
        <v>2124</v>
      </c>
      <c r="J166" s="24" t="s">
        <v>2140</v>
      </c>
      <c r="K166" s="24">
        <v>10</v>
      </c>
      <c r="L166" s="24" t="s">
        <v>2141</v>
      </c>
      <c r="M166" s="24" t="s">
        <v>2142</v>
      </c>
      <c r="N166" s="24">
        <v>9021342034</v>
      </c>
      <c r="O166" s="24" t="s">
        <v>2143</v>
      </c>
      <c r="P166" s="24">
        <v>422101</v>
      </c>
      <c r="Q166" s="24" t="s">
        <v>991</v>
      </c>
      <c r="R166" s="24" t="s">
        <v>1100</v>
      </c>
      <c r="S166" s="24" t="s">
        <v>1101</v>
      </c>
      <c r="T166" s="24" t="s">
        <v>1102</v>
      </c>
      <c r="U166" s="24">
        <v>40</v>
      </c>
      <c r="V166" s="24">
        <v>10</v>
      </c>
      <c r="W166" s="24"/>
      <c r="X166" s="24">
        <v>50</v>
      </c>
      <c r="Y166" s="24">
        <v>40</v>
      </c>
      <c r="Z166" s="24">
        <v>0</v>
      </c>
      <c r="AA166" s="24">
        <v>0</v>
      </c>
      <c r="AB166" s="24">
        <v>41</v>
      </c>
      <c r="AC166" s="24">
        <v>42</v>
      </c>
      <c r="AD166" s="24">
        <v>68</v>
      </c>
      <c r="AE166" s="24">
        <v>77</v>
      </c>
      <c r="AF166" s="24">
        <v>56</v>
      </c>
      <c r="AG166" s="24">
        <v>0</v>
      </c>
      <c r="AH166" s="24">
        <v>29</v>
      </c>
      <c r="AI166" s="24">
        <v>40</v>
      </c>
      <c r="AJ166" s="24"/>
      <c r="AK166" s="24"/>
      <c r="AL166" s="24">
        <v>10</v>
      </c>
      <c r="AM166" s="24">
        <v>0</v>
      </c>
      <c r="AN166" s="24">
        <v>0</v>
      </c>
      <c r="AO166" s="24">
        <v>14</v>
      </c>
      <c r="AP166" s="24">
        <v>0</v>
      </c>
      <c r="AQ166" s="24">
        <v>5</v>
      </c>
      <c r="AR166" s="24">
        <v>12</v>
      </c>
      <c r="AS166" s="24">
        <v>8</v>
      </c>
      <c r="AT166" s="24">
        <v>0</v>
      </c>
      <c r="AU166" s="24">
        <v>7</v>
      </c>
      <c r="AV166" s="24">
        <v>10</v>
      </c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</row>
    <row r="167" spans="1:69">
      <c r="A167" s="24">
        <v>2164</v>
      </c>
      <c r="B167" s="24" t="s">
        <v>980</v>
      </c>
      <c r="C167" s="24" t="s">
        <v>1101</v>
      </c>
      <c r="D167" s="24" t="s">
        <v>2144</v>
      </c>
      <c r="E167" s="24" t="s">
        <v>2145</v>
      </c>
      <c r="F167" s="24" t="s">
        <v>2146</v>
      </c>
      <c r="G167" s="24" t="s">
        <v>1102</v>
      </c>
      <c r="H167" s="24" t="s">
        <v>2147</v>
      </c>
      <c r="I167" s="24" t="s">
        <v>2148</v>
      </c>
      <c r="J167" s="24" t="s">
        <v>2148</v>
      </c>
      <c r="K167" s="24">
        <v>65</v>
      </c>
      <c r="L167" s="24" t="s">
        <v>2149</v>
      </c>
      <c r="M167" s="24" t="s">
        <v>2150</v>
      </c>
      <c r="N167" s="24">
        <v>9860683648</v>
      </c>
      <c r="O167" s="24" t="s">
        <v>2151</v>
      </c>
      <c r="P167" s="24">
        <v>431203</v>
      </c>
      <c r="Q167" s="24" t="s">
        <v>2152</v>
      </c>
      <c r="R167" s="24" t="s">
        <v>1105</v>
      </c>
      <c r="S167" s="24" t="s">
        <v>1101</v>
      </c>
      <c r="T167" s="24" t="s">
        <v>1102</v>
      </c>
      <c r="U167" s="24">
        <v>500</v>
      </c>
      <c r="V167" s="24">
        <v>80</v>
      </c>
      <c r="W167" s="24"/>
      <c r="X167" s="24">
        <v>580</v>
      </c>
      <c r="Y167" s="24">
        <v>500</v>
      </c>
      <c r="Z167" s="24">
        <v>389</v>
      </c>
      <c r="AA167" s="24">
        <v>475</v>
      </c>
      <c r="AB167" s="24">
        <v>510</v>
      </c>
      <c r="AC167" s="24">
        <v>525</v>
      </c>
      <c r="AD167" s="24">
        <v>549</v>
      </c>
      <c r="AE167" s="24">
        <v>535</v>
      </c>
      <c r="AF167" s="24">
        <v>585</v>
      </c>
      <c r="AG167" s="24">
        <v>426</v>
      </c>
      <c r="AH167" s="24">
        <v>523</v>
      </c>
      <c r="AI167" s="24">
        <v>556</v>
      </c>
      <c r="AJ167" s="24"/>
      <c r="AK167" s="24"/>
      <c r="AL167" s="24">
        <v>80</v>
      </c>
      <c r="AM167" s="24">
        <v>52</v>
      </c>
      <c r="AN167" s="24">
        <v>49</v>
      </c>
      <c r="AO167" s="24">
        <v>55</v>
      </c>
      <c r="AP167" s="24">
        <v>88</v>
      </c>
      <c r="AQ167" s="24">
        <v>68</v>
      </c>
      <c r="AR167" s="24">
        <v>73</v>
      </c>
      <c r="AS167" s="24">
        <v>69</v>
      </c>
      <c r="AT167" s="24">
        <v>65</v>
      </c>
      <c r="AU167" s="24">
        <v>87</v>
      </c>
      <c r="AV167" s="24">
        <v>74</v>
      </c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</row>
    <row r="168" spans="1:69">
      <c r="A168" s="24">
        <v>2165</v>
      </c>
      <c r="B168" s="24" t="s">
        <v>980</v>
      </c>
      <c r="C168" s="24" t="s">
        <v>1101</v>
      </c>
      <c r="D168" s="24" t="s">
        <v>2144</v>
      </c>
      <c r="E168" s="24" t="s">
        <v>2145</v>
      </c>
      <c r="F168" s="24" t="s">
        <v>2146</v>
      </c>
      <c r="G168" s="24" t="s">
        <v>1102</v>
      </c>
      <c r="H168" s="24" t="s">
        <v>2153</v>
      </c>
      <c r="I168" s="24" t="s">
        <v>2154</v>
      </c>
      <c r="J168" s="24" t="s">
        <v>2155</v>
      </c>
      <c r="K168" s="24">
        <v>8</v>
      </c>
      <c r="L168" s="24" t="s">
        <v>2156</v>
      </c>
      <c r="M168" s="24" t="s">
        <v>2157</v>
      </c>
      <c r="N168" s="24">
        <v>7385675701</v>
      </c>
      <c r="O168" s="24" t="s">
        <v>2158</v>
      </c>
      <c r="P168" s="24">
        <v>431001</v>
      </c>
      <c r="Q168" s="24" t="s">
        <v>2159</v>
      </c>
      <c r="R168" s="24" t="s">
        <v>1105</v>
      </c>
      <c r="S168" s="24" t="s">
        <v>1101</v>
      </c>
      <c r="T168" s="24" t="s">
        <v>1102</v>
      </c>
      <c r="U168" s="24">
        <v>125</v>
      </c>
      <c r="V168" s="24">
        <v>130</v>
      </c>
      <c r="W168" s="24"/>
      <c r="X168" s="24">
        <v>255</v>
      </c>
      <c r="Y168" s="24">
        <v>125</v>
      </c>
      <c r="Z168" s="24">
        <v>76</v>
      </c>
      <c r="AA168" s="24">
        <v>85</v>
      </c>
      <c r="AB168" s="24">
        <v>78</v>
      </c>
      <c r="AC168" s="24">
        <v>81</v>
      </c>
      <c r="AD168" s="24">
        <v>79</v>
      </c>
      <c r="AE168" s="24">
        <v>92</v>
      </c>
      <c r="AF168" s="24">
        <v>127</v>
      </c>
      <c r="AG168" s="24">
        <v>82</v>
      </c>
      <c r="AH168" s="24">
        <v>103</v>
      </c>
      <c r="AI168" s="24">
        <v>145</v>
      </c>
      <c r="AJ168" s="24"/>
      <c r="AK168" s="24"/>
      <c r="AL168" s="24">
        <v>130</v>
      </c>
      <c r="AM168" s="24">
        <v>78</v>
      </c>
      <c r="AN168" s="24">
        <v>71</v>
      </c>
      <c r="AO168" s="24">
        <v>115</v>
      </c>
      <c r="AP168" s="24">
        <v>173</v>
      </c>
      <c r="AQ168" s="24">
        <v>135</v>
      </c>
      <c r="AR168" s="24">
        <v>130</v>
      </c>
      <c r="AS168" s="24">
        <v>145</v>
      </c>
      <c r="AT168" s="24">
        <v>132</v>
      </c>
      <c r="AU168" s="24">
        <v>152</v>
      </c>
      <c r="AV168" s="24">
        <v>141</v>
      </c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</row>
    <row r="169" spans="1:69">
      <c r="A169" s="24">
        <v>2166</v>
      </c>
      <c r="B169" s="24" t="s">
        <v>980</v>
      </c>
      <c r="C169" s="24" t="s">
        <v>1101</v>
      </c>
      <c r="D169" s="24" t="s">
        <v>2144</v>
      </c>
      <c r="E169" s="24" t="s">
        <v>2145</v>
      </c>
      <c r="F169" s="24" t="s">
        <v>2146</v>
      </c>
      <c r="G169" s="24" t="s">
        <v>1102</v>
      </c>
      <c r="H169" s="24" t="s">
        <v>2160</v>
      </c>
      <c r="I169" s="24" t="s">
        <v>2154</v>
      </c>
      <c r="J169" s="24" t="s">
        <v>2161</v>
      </c>
      <c r="K169" s="24">
        <v>38</v>
      </c>
      <c r="L169" s="24" t="s">
        <v>2162</v>
      </c>
      <c r="M169" s="24" t="s">
        <v>2163</v>
      </c>
      <c r="N169" s="24">
        <v>9503723366</v>
      </c>
      <c r="O169" s="24" t="s">
        <v>2164</v>
      </c>
      <c r="P169" s="24">
        <v>431101</v>
      </c>
      <c r="Q169" s="24" t="s">
        <v>991</v>
      </c>
      <c r="R169" s="24" t="s">
        <v>1105</v>
      </c>
      <c r="S169" s="24" t="s">
        <v>1101</v>
      </c>
      <c r="T169" s="24" t="s">
        <v>1102</v>
      </c>
      <c r="U169" s="24">
        <v>100</v>
      </c>
      <c r="V169" s="24">
        <v>25</v>
      </c>
      <c r="W169" s="24"/>
      <c r="X169" s="24">
        <v>125</v>
      </c>
      <c r="Y169" s="24">
        <v>100</v>
      </c>
      <c r="Z169" s="24">
        <v>78</v>
      </c>
      <c r="AA169" s="24">
        <v>82</v>
      </c>
      <c r="AB169" s="24">
        <v>87</v>
      </c>
      <c r="AC169" s="24">
        <v>91</v>
      </c>
      <c r="AD169" s="24">
        <v>83</v>
      </c>
      <c r="AE169" s="24">
        <v>113</v>
      </c>
      <c r="AF169" s="24">
        <v>134</v>
      </c>
      <c r="AG169" s="24">
        <v>96</v>
      </c>
      <c r="AH169" s="24">
        <v>122</v>
      </c>
      <c r="AI169" s="24">
        <v>145</v>
      </c>
      <c r="AJ169" s="24"/>
      <c r="AK169" s="24"/>
      <c r="AL169" s="24">
        <v>25</v>
      </c>
      <c r="AM169" s="24">
        <v>15</v>
      </c>
      <c r="AN169" s="24">
        <v>12</v>
      </c>
      <c r="AO169" s="24">
        <v>16</v>
      </c>
      <c r="AP169" s="24">
        <v>22</v>
      </c>
      <c r="AQ169" s="24">
        <v>24</v>
      </c>
      <c r="AR169" s="24">
        <v>19</v>
      </c>
      <c r="AS169" s="24">
        <v>22</v>
      </c>
      <c r="AT169" s="24">
        <v>18</v>
      </c>
      <c r="AU169" s="24">
        <v>26</v>
      </c>
      <c r="AV169" s="24">
        <v>27</v>
      </c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</row>
    <row r="170" spans="1:69">
      <c r="A170" s="24">
        <v>2167</v>
      </c>
      <c r="B170" s="24" t="s">
        <v>980</v>
      </c>
      <c r="C170" s="24" t="s">
        <v>1101</v>
      </c>
      <c r="D170" s="24" t="s">
        <v>2144</v>
      </c>
      <c r="E170" s="24" t="s">
        <v>2145</v>
      </c>
      <c r="F170" s="24" t="s">
        <v>2146</v>
      </c>
      <c r="G170" s="24" t="s">
        <v>1102</v>
      </c>
      <c r="H170" s="24" t="s">
        <v>2165</v>
      </c>
      <c r="I170" s="24" t="s">
        <v>2154</v>
      </c>
      <c r="J170" s="24" t="s">
        <v>2166</v>
      </c>
      <c r="K170" s="24">
        <v>61</v>
      </c>
      <c r="L170" s="24" t="s">
        <v>2167</v>
      </c>
      <c r="M170" s="24" t="s">
        <v>2168</v>
      </c>
      <c r="N170" s="24">
        <v>9890798967</v>
      </c>
      <c r="O170" s="24" t="s">
        <v>2169</v>
      </c>
      <c r="P170" s="24">
        <v>431107</v>
      </c>
      <c r="Q170" s="24" t="s">
        <v>2170</v>
      </c>
      <c r="R170" s="24" t="s">
        <v>1105</v>
      </c>
      <c r="S170" s="24" t="s">
        <v>1101</v>
      </c>
      <c r="T170" s="24" t="s">
        <v>1102</v>
      </c>
      <c r="U170" s="24">
        <v>25</v>
      </c>
      <c r="V170" s="24">
        <v>15</v>
      </c>
      <c r="W170" s="24"/>
      <c r="X170" s="24">
        <v>40</v>
      </c>
      <c r="Y170" s="24">
        <v>25</v>
      </c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>
        <v>15</v>
      </c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</row>
    <row r="171" spans="1:69">
      <c r="A171" s="24">
        <v>2168</v>
      </c>
      <c r="B171" s="24" t="s">
        <v>980</v>
      </c>
      <c r="C171" s="24" t="s">
        <v>1101</v>
      </c>
      <c r="D171" s="24" t="s">
        <v>2144</v>
      </c>
      <c r="E171" s="24" t="s">
        <v>2145</v>
      </c>
      <c r="F171" s="24" t="s">
        <v>2146</v>
      </c>
      <c r="G171" s="24" t="s">
        <v>1102</v>
      </c>
      <c r="H171" s="24" t="s">
        <v>2171</v>
      </c>
      <c r="I171" s="24" t="s">
        <v>2154</v>
      </c>
      <c r="J171" s="24" t="s">
        <v>2172</v>
      </c>
      <c r="K171" s="24">
        <v>47</v>
      </c>
      <c r="L171" s="24" t="s">
        <v>2173</v>
      </c>
      <c r="M171" s="24" t="s">
        <v>2174</v>
      </c>
      <c r="N171" s="24">
        <v>8928497388</v>
      </c>
      <c r="O171" s="24" t="s">
        <v>2175</v>
      </c>
      <c r="P171" s="24">
        <v>431109</v>
      </c>
      <c r="Q171" s="24" t="s">
        <v>991</v>
      </c>
      <c r="R171" s="24" t="s">
        <v>1105</v>
      </c>
      <c r="S171" s="24" t="s">
        <v>1101</v>
      </c>
      <c r="T171" s="24" t="s">
        <v>1102</v>
      </c>
      <c r="U171" s="24">
        <v>75</v>
      </c>
      <c r="V171" s="24">
        <v>15</v>
      </c>
      <c r="W171" s="24"/>
      <c r="X171" s="24">
        <v>90</v>
      </c>
      <c r="Y171" s="24">
        <v>75</v>
      </c>
      <c r="Z171" s="24">
        <v>51</v>
      </c>
      <c r="AA171" s="24">
        <v>48</v>
      </c>
      <c r="AB171" s="24">
        <v>59</v>
      </c>
      <c r="AC171" s="24">
        <v>47</v>
      </c>
      <c r="AD171" s="24">
        <v>43</v>
      </c>
      <c r="AE171" s="24">
        <v>40</v>
      </c>
      <c r="AF171" s="24">
        <v>62</v>
      </c>
      <c r="AG171" s="24">
        <v>42</v>
      </c>
      <c r="AH171" s="24">
        <v>59</v>
      </c>
      <c r="AI171" s="24">
        <v>65</v>
      </c>
      <c r="AJ171" s="24"/>
      <c r="AK171" s="24"/>
      <c r="AL171" s="24">
        <v>15</v>
      </c>
      <c r="AM171" s="24">
        <v>8</v>
      </c>
      <c r="AN171" s="24">
        <v>7</v>
      </c>
      <c r="AO171" s="24">
        <v>8</v>
      </c>
      <c r="AP171" s="24">
        <v>12</v>
      </c>
      <c r="AQ171" s="24">
        <v>10</v>
      </c>
      <c r="AR171" s="24">
        <v>12</v>
      </c>
      <c r="AS171" s="24">
        <v>10</v>
      </c>
      <c r="AT171" s="24">
        <v>8</v>
      </c>
      <c r="AU171" s="24">
        <v>11</v>
      </c>
      <c r="AV171" s="24">
        <v>13</v>
      </c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</row>
    <row r="172" spans="1:69">
      <c r="A172" s="24">
        <v>2169</v>
      </c>
      <c r="B172" s="24" t="s">
        <v>980</v>
      </c>
      <c r="C172" s="24" t="s">
        <v>1101</v>
      </c>
      <c r="D172" s="24" t="s">
        <v>2176</v>
      </c>
      <c r="E172" s="24" t="s">
        <v>2177</v>
      </c>
      <c r="F172" s="24" t="s">
        <v>2178</v>
      </c>
      <c r="G172" s="24" t="s">
        <v>1102</v>
      </c>
      <c r="H172" s="24" t="s">
        <v>2179</v>
      </c>
      <c r="I172" s="24" t="s">
        <v>2180</v>
      </c>
      <c r="J172" s="24" t="s">
        <v>2181</v>
      </c>
      <c r="K172" s="24">
        <v>67</v>
      </c>
      <c r="L172" s="24" t="s">
        <v>2182</v>
      </c>
      <c r="M172" s="24" t="s">
        <v>2183</v>
      </c>
      <c r="N172" s="24">
        <v>9823969585</v>
      </c>
      <c r="O172" s="24" t="s">
        <v>2184</v>
      </c>
      <c r="P172" s="24">
        <v>413710</v>
      </c>
      <c r="Q172" s="24" t="s">
        <v>2185</v>
      </c>
      <c r="R172" s="24" t="s">
        <v>1100</v>
      </c>
      <c r="S172" s="24" t="s">
        <v>1101</v>
      </c>
      <c r="T172" s="24" t="s">
        <v>1102</v>
      </c>
      <c r="U172" s="24">
        <v>200</v>
      </c>
      <c r="V172" s="24">
        <v>20</v>
      </c>
      <c r="W172" s="24"/>
      <c r="X172" s="24">
        <v>220</v>
      </c>
      <c r="Y172" s="24">
        <v>200</v>
      </c>
      <c r="Z172" s="24">
        <v>131</v>
      </c>
      <c r="AA172" s="24">
        <v>191</v>
      </c>
      <c r="AB172" s="24">
        <v>112</v>
      </c>
      <c r="AC172" s="24">
        <v>245</v>
      </c>
      <c r="AD172" s="24"/>
      <c r="AE172" s="24">
        <v>299</v>
      </c>
      <c r="AF172" s="24">
        <v>109</v>
      </c>
      <c r="AG172" s="24"/>
      <c r="AH172" s="24">
        <v>210</v>
      </c>
      <c r="AI172" s="24">
        <v>175</v>
      </c>
      <c r="AJ172" s="24"/>
      <c r="AK172" s="24"/>
      <c r="AL172" s="24">
        <v>20</v>
      </c>
      <c r="AM172" s="24">
        <v>9</v>
      </c>
      <c r="AN172" s="24"/>
      <c r="AO172" s="24"/>
      <c r="AP172" s="24">
        <v>12</v>
      </c>
      <c r="AQ172" s="24">
        <v>10</v>
      </c>
      <c r="AR172" s="24"/>
      <c r="AS172" s="24">
        <v>9</v>
      </c>
      <c r="AT172" s="24"/>
      <c r="AU172" s="24">
        <v>18</v>
      </c>
      <c r="AV172" s="24"/>
      <c r="AW172" s="24"/>
      <c r="AX172" s="24"/>
      <c r="AY172" s="24"/>
      <c r="AZ172" s="24">
        <v>51</v>
      </c>
      <c r="BA172" s="24">
        <v>30</v>
      </c>
      <c r="BB172" s="24">
        <v>25</v>
      </c>
      <c r="BC172" s="2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</row>
    <row r="173" spans="1:69">
      <c r="A173" s="24">
        <v>2170</v>
      </c>
      <c r="B173" s="24" t="s">
        <v>980</v>
      </c>
      <c r="C173" s="24" t="s">
        <v>1101</v>
      </c>
      <c r="D173" s="24" t="s">
        <v>2176</v>
      </c>
      <c r="E173" s="24" t="s">
        <v>2177</v>
      </c>
      <c r="F173" s="24" t="s">
        <v>2178</v>
      </c>
      <c r="G173" s="24" t="s">
        <v>1102</v>
      </c>
      <c r="H173" s="24" t="s">
        <v>2186</v>
      </c>
      <c r="I173" s="24" t="s">
        <v>2180</v>
      </c>
      <c r="J173" s="24" t="s">
        <v>2187</v>
      </c>
      <c r="K173" s="24">
        <v>75</v>
      </c>
      <c r="L173" s="24" t="s">
        <v>2188</v>
      </c>
      <c r="M173" s="24" t="s">
        <v>2189</v>
      </c>
      <c r="N173" s="24">
        <v>9096653632</v>
      </c>
      <c r="O173" s="24" t="s">
        <v>2190</v>
      </c>
      <c r="P173" s="24">
        <v>413721</v>
      </c>
      <c r="Q173" s="24" t="s">
        <v>2185</v>
      </c>
      <c r="R173" s="24" t="s">
        <v>1100</v>
      </c>
      <c r="S173" s="24" t="s">
        <v>1101</v>
      </c>
      <c r="T173" s="24" t="s">
        <v>1102</v>
      </c>
      <c r="U173" s="24">
        <v>200</v>
      </c>
      <c r="V173" s="24">
        <v>15</v>
      </c>
      <c r="W173" s="24"/>
      <c r="X173" s="24">
        <v>215</v>
      </c>
      <c r="Y173" s="24">
        <v>200</v>
      </c>
      <c r="Z173" s="24">
        <v>298</v>
      </c>
      <c r="AA173" s="24">
        <v>258</v>
      </c>
      <c r="AB173" s="24">
        <v>335</v>
      </c>
      <c r="AC173" s="24">
        <v>30</v>
      </c>
      <c r="AD173" s="24">
        <v>205</v>
      </c>
      <c r="AE173" s="24">
        <v>283</v>
      </c>
      <c r="AF173" s="24">
        <v>157</v>
      </c>
      <c r="AG173" s="24"/>
      <c r="AH173" s="24">
        <v>272</v>
      </c>
      <c r="AI173" s="24">
        <v>284</v>
      </c>
      <c r="AJ173" s="24"/>
      <c r="AK173" s="24"/>
      <c r="AL173" s="24">
        <v>15</v>
      </c>
      <c r="AM173" s="24">
        <v>12</v>
      </c>
      <c r="AN173" s="24">
        <v>9</v>
      </c>
      <c r="AO173" s="24">
        <v>10</v>
      </c>
      <c r="AP173" s="24">
        <v>11</v>
      </c>
      <c r="AQ173" s="24">
        <v>4</v>
      </c>
      <c r="AR173" s="24">
        <v>7</v>
      </c>
      <c r="AS173" s="24">
        <v>12</v>
      </c>
      <c r="AT173" s="24"/>
      <c r="AU173" s="24">
        <v>15</v>
      </c>
      <c r="AV173" s="24">
        <v>8</v>
      </c>
      <c r="AW173" s="24"/>
      <c r="AX173" s="24"/>
      <c r="AY173" s="24"/>
      <c r="AZ173" s="24">
        <v>275</v>
      </c>
      <c r="BA173" s="24">
        <v>15</v>
      </c>
      <c r="BB173" s="24">
        <v>25</v>
      </c>
      <c r="BC173" s="24"/>
      <c r="BD173" s="24"/>
      <c r="BE173" s="24"/>
      <c r="BF173" s="24">
        <v>10</v>
      </c>
      <c r="BG173" s="24">
        <v>20</v>
      </c>
      <c r="BH173" s="24">
        <v>0</v>
      </c>
      <c r="BI173" s="24">
        <v>50</v>
      </c>
      <c r="BJ173" s="24"/>
      <c r="BK173" s="24"/>
      <c r="BL173" s="24"/>
      <c r="BM173" s="24"/>
      <c r="BN173" s="24"/>
      <c r="BO173" s="24"/>
      <c r="BP173" s="24"/>
      <c r="BQ173" s="24"/>
    </row>
    <row r="174" spans="1:69">
      <c r="A174" s="24">
        <v>2171</v>
      </c>
      <c r="B174" s="24" t="s">
        <v>980</v>
      </c>
      <c r="C174" s="24" t="s">
        <v>1101</v>
      </c>
      <c r="D174" s="24" t="s">
        <v>2176</v>
      </c>
      <c r="E174" s="24" t="s">
        <v>2177</v>
      </c>
      <c r="F174" s="24" t="s">
        <v>2178</v>
      </c>
      <c r="G174" s="24" t="s">
        <v>1102</v>
      </c>
      <c r="H174" s="24" t="s">
        <v>2191</v>
      </c>
      <c r="I174" s="24" t="s">
        <v>2180</v>
      </c>
      <c r="J174" s="24" t="s">
        <v>1153</v>
      </c>
      <c r="K174" s="24">
        <v>173</v>
      </c>
      <c r="L174" s="24" t="s">
        <v>2192</v>
      </c>
      <c r="M174" s="24" t="s">
        <v>2193</v>
      </c>
      <c r="N174" s="24">
        <v>9420944020</v>
      </c>
      <c r="O174" s="24" t="s">
        <v>2194</v>
      </c>
      <c r="P174" s="24">
        <v>414402</v>
      </c>
      <c r="Q174" s="24" t="s">
        <v>2185</v>
      </c>
      <c r="R174" s="24" t="s">
        <v>1100</v>
      </c>
      <c r="S174" s="24" t="s">
        <v>1101</v>
      </c>
      <c r="T174" s="24" t="s">
        <v>1102</v>
      </c>
      <c r="U174" s="24">
        <v>200</v>
      </c>
      <c r="V174" s="24">
        <v>15</v>
      </c>
      <c r="W174" s="24"/>
      <c r="X174" s="24">
        <v>215</v>
      </c>
      <c r="Y174" s="24">
        <v>200</v>
      </c>
      <c r="Z174" s="24"/>
      <c r="AA174" s="24">
        <v>12</v>
      </c>
      <c r="AB174" s="24">
        <v>33</v>
      </c>
      <c r="AC174" s="24">
        <v>17</v>
      </c>
      <c r="AD174" s="24">
        <v>21</v>
      </c>
      <c r="AE174" s="24">
        <v>57</v>
      </c>
      <c r="AF174" s="24">
        <v>5</v>
      </c>
      <c r="AG174" s="24">
        <v>38</v>
      </c>
      <c r="AH174" s="24"/>
      <c r="AI174" s="24">
        <v>30</v>
      </c>
      <c r="AJ174" s="24"/>
      <c r="AK174" s="24"/>
      <c r="AL174" s="24">
        <v>15</v>
      </c>
      <c r="AM174" s="24"/>
      <c r="AN174" s="24">
        <v>24</v>
      </c>
      <c r="AO174" s="24">
        <v>42</v>
      </c>
      <c r="AP174" s="24">
        <v>24</v>
      </c>
      <c r="AQ174" s="24">
        <v>83</v>
      </c>
      <c r="AR174" s="24">
        <v>31</v>
      </c>
      <c r="AS174" s="24">
        <v>51</v>
      </c>
      <c r="AT174" s="24">
        <v>67</v>
      </c>
      <c r="AU174" s="24">
        <v>33</v>
      </c>
      <c r="AV174" s="24">
        <v>10</v>
      </c>
      <c r="AW174" s="24"/>
      <c r="AX174" s="24"/>
      <c r="AY174" s="24"/>
      <c r="AZ174" s="24"/>
      <c r="BA174" s="24">
        <v>4</v>
      </c>
      <c r="BB174" s="24"/>
      <c r="BC174" s="24"/>
      <c r="BD174" s="24"/>
      <c r="BE174" s="24"/>
      <c r="BF174" s="24"/>
      <c r="BG174" s="24"/>
      <c r="BH174" s="24">
        <v>0</v>
      </c>
      <c r="BI174" s="24"/>
      <c r="BJ174" s="24"/>
      <c r="BK174" s="24"/>
      <c r="BL174" s="24"/>
      <c r="BM174" s="24"/>
      <c r="BN174" s="24"/>
      <c r="BO174" s="24"/>
      <c r="BP174" s="24"/>
      <c r="BQ174" s="24"/>
    </row>
    <row r="175" spans="1:69">
      <c r="A175" s="24">
        <v>2172</v>
      </c>
      <c r="B175" s="24" t="s">
        <v>980</v>
      </c>
      <c r="C175" s="24" t="s">
        <v>1101</v>
      </c>
      <c r="D175" s="24" t="s">
        <v>2176</v>
      </c>
      <c r="E175" s="24" t="s">
        <v>2177</v>
      </c>
      <c r="F175" s="24" t="s">
        <v>2178</v>
      </c>
      <c r="G175" s="24" t="s">
        <v>1102</v>
      </c>
      <c r="H175" s="24" t="s">
        <v>2195</v>
      </c>
      <c r="I175" s="24" t="s">
        <v>2180</v>
      </c>
      <c r="J175" s="24" t="s">
        <v>2196</v>
      </c>
      <c r="K175" s="24">
        <v>168</v>
      </c>
      <c r="L175" s="24" t="s">
        <v>2197</v>
      </c>
      <c r="M175" s="24" t="s">
        <v>2198</v>
      </c>
      <c r="N175" s="24">
        <v>9404976670</v>
      </c>
      <c r="O175" s="24" t="s">
        <v>2199</v>
      </c>
      <c r="P175" s="24">
        <v>413701</v>
      </c>
      <c r="Q175" s="24" t="s">
        <v>2185</v>
      </c>
      <c r="R175" s="24" t="s">
        <v>1100</v>
      </c>
      <c r="S175" s="24" t="s">
        <v>1101</v>
      </c>
      <c r="T175" s="24" t="s">
        <v>1102</v>
      </c>
      <c r="U175" s="24">
        <v>100</v>
      </c>
      <c r="V175" s="24">
        <v>23</v>
      </c>
      <c r="W175" s="24"/>
      <c r="X175" s="24">
        <v>123</v>
      </c>
      <c r="Y175" s="24">
        <v>100</v>
      </c>
      <c r="Z175" s="24"/>
      <c r="AA175" s="24"/>
      <c r="AB175" s="24">
        <v>35</v>
      </c>
      <c r="AC175" s="24"/>
      <c r="AD175" s="24"/>
      <c r="AE175" s="24">
        <v>43</v>
      </c>
      <c r="AF175" s="24"/>
      <c r="AG175" s="24"/>
      <c r="AH175" s="24">
        <v>36</v>
      </c>
      <c r="AI175" s="24">
        <v>25</v>
      </c>
      <c r="AJ175" s="24"/>
      <c r="AK175" s="24"/>
      <c r="AL175" s="24">
        <v>23</v>
      </c>
      <c r="AM175" s="24"/>
      <c r="AN175" s="24"/>
      <c r="AO175" s="24">
        <v>23</v>
      </c>
      <c r="AP175" s="24"/>
      <c r="AQ175" s="24">
        <v>14</v>
      </c>
      <c r="AR175" s="24">
        <v>11</v>
      </c>
      <c r="AS175" s="24">
        <v>5</v>
      </c>
      <c r="AT175" s="24">
        <v>11</v>
      </c>
      <c r="AU175" s="24"/>
      <c r="AV175" s="24">
        <v>13</v>
      </c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</row>
    <row r="176" spans="1:69">
      <c r="A176" s="24">
        <v>2173</v>
      </c>
      <c r="B176" s="24" t="s">
        <v>980</v>
      </c>
      <c r="C176" s="24" t="s">
        <v>1101</v>
      </c>
      <c r="D176" s="24" t="s">
        <v>2176</v>
      </c>
      <c r="E176" s="24" t="s">
        <v>2177</v>
      </c>
      <c r="F176" s="24" t="s">
        <v>2178</v>
      </c>
      <c r="G176" s="24" t="s">
        <v>1102</v>
      </c>
      <c r="H176" s="24" t="s">
        <v>2200</v>
      </c>
      <c r="I176" s="24" t="s">
        <v>2180</v>
      </c>
      <c r="J176" s="24" t="s">
        <v>2201</v>
      </c>
      <c r="K176" s="24">
        <v>135</v>
      </c>
      <c r="L176" s="24" t="s">
        <v>2202</v>
      </c>
      <c r="M176" s="24" t="s">
        <v>2203</v>
      </c>
      <c r="N176" s="24">
        <v>9834780081</v>
      </c>
      <c r="O176" s="24" t="s">
        <v>2204</v>
      </c>
      <c r="P176" s="24">
        <v>414302</v>
      </c>
      <c r="Q176" s="24" t="s">
        <v>2185</v>
      </c>
      <c r="R176" s="24" t="s">
        <v>1100</v>
      </c>
      <c r="S176" s="24" t="s">
        <v>1101</v>
      </c>
      <c r="T176" s="24" t="s">
        <v>1102</v>
      </c>
      <c r="U176" s="24">
        <v>200</v>
      </c>
      <c r="V176" s="24">
        <v>25</v>
      </c>
      <c r="W176" s="24"/>
      <c r="X176" s="24">
        <v>225</v>
      </c>
      <c r="Y176" s="24">
        <v>200</v>
      </c>
      <c r="Z176" s="24"/>
      <c r="AA176" s="24">
        <v>30</v>
      </c>
      <c r="AB176" s="24"/>
      <c r="AC176" s="24"/>
      <c r="AD176" s="24"/>
      <c r="AE176" s="24"/>
      <c r="AF176" s="24"/>
      <c r="AG176" s="24"/>
      <c r="AH176" s="24">
        <v>43</v>
      </c>
      <c r="AI176" s="24">
        <v>17</v>
      </c>
      <c r="AJ176" s="24"/>
      <c r="AK176" s="24"/>
      <c r="AL176" s="24">
        <v>25</v>
      </c>
      <c r="AM176" s="24"/>
      <c r="AN176" s="24">
        <v>20</v>
      </c>
      <c r="AO176" s="24"/>
      <c r="AP176" s="24"/>
      <c r="AQ176" s="24">
        <v>25</v>
      </c>
      <c r="AR176" s="24">
        <v>10</v>
      </c>
      <c r="AS176" s="24"/>
      <c r="AT176" s="24"/>
      <c r="AU176" s="24">
        <v>25</v>
      </c>
      <c r="AV176" s="24">
        <v>24</v>
      </c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</row>
    <row r="177" spans="1:69">
      <c r="A177" s="24">
        <v>2174</v>
      </c>
      <c r="B177" s="24" t="s">
        <v>980</v>
      </c>
      <c r="C177" s="24" t="s">
        <v>1101</v>
      </c>
      <c r="D177" s="24" t="s">
        <v>2176</v>
      </c>
      <c r="E177" s="24" t="s">
        <v>2177</v>
      </c>
      <c r="F177" s="24" t="s">
        <v>2178</v>
      </c>
      <c r="G177" s="24" t="s">
        <v>1102</v>
      </c>
      <c r="H177" s="24" t="s">
        <v>2205</v>
      </c>
      <c r="I177" s="24" t="s">
        <v>2180</v>
      </c>
      <c r="J177" s="24" t="s">
        <v>2206</v>
      </c>
      <c r="K177" s="24">
        <v>80</v>
      </c>
      <c r="L177" s="24" t="s">
        <v>991</v>
      </c>
      <c r="M177" s="24" t="s">
        <v>2207</v>
      </c>
      <c r="N177" s="24">
        <v>9423378003</v>
      </c>
      <c r="O177" s="24" t="s">
        <v>2208</v>
      </c>
      <c r="P177" s="24">
        <v>413705</v>
      </c>
      <c r="Q177" s="24" t="s">
        <v>2185</v>
      </c>
      <c r="R177" s="24" t="s">
        <v>1100</v>
      </c>
      <c r="S177" s="24" t="s">
        <v>1101</v>
      </c>
      <c r="T177" s="24" t="s">
        <v>1102</v>
      </c>
      <c r="U177" s="24">
        <v>100</v>
      </c>
      <c r="V177" s="24">
        <v>10</v>
      </c>
      <c r="W177" s="24"/>
      <c r="X177" s="24">
        <v>110</v>
      </c>
      <c r="Y177" s="24">
        <v>100</v>
      </c>
      <c r="Z177" s="24">
        <v>29</v>
      </c>
      <c r="AA177" s="24">
        <v>15</v>
      </c>
      <c r="AB177" s="24">
        <v>31</v>
      </c>
      <c r="AC177" s="24"/>
      <c r="AD177" s="24"/>
      <c r="AE177" s="24">
        <v>44</v>
      </c>
      <c r="AF177" s="24"/>
      <c r="AG177" s="24"/>
      <c r="AH177" s="24">
        <v>30</v>
      </c>
      <c r="AI177" s="24">
        <v>35</v>
      </c>
      <c r="AJ177" s="24"/>
      <c r="AK177" s="24"/>
      <c r="AL177" s="24">
        <v>10</v>
      </c>
      <c r="AM177" s="24">
        <v>15</v>
      </c>
      <c r="AN177" s="24"/>
      <c r="AO177" s="24">
        <v>7</v>
      </c>
      <c r="AP177" s="24"/>
      <c r="AQ177" s="24">
        <v>15</v>
      </c>
      <c r="AR177" s="24">
        <v>5</v>
      </c>
      <c r="AS177" s="24"/>
      <c r="AT177" s="24"/>
      <c r="AU177" s="24">
        <v>12</v>
      </c>
      <c r="AV177" s="24">
        <v>6</v>
      </c>
      <c r="AW177" s="24"/>
      <c r="AX177" s="24"/>
      <c r="AY177" s="24"/>
      <c r="AZ177" s="24">
        <v>30</v>
      </c>
      <c r="BA177" s="24">
        <v>30</v>
      </c>
      <c r="BB177" s="24">
        <v>20</v>
      </c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</row>
    <row r="178" spans="1:69">
      <c r="A178" s="24">
        <v>2175</v>
      </c>
      <c r="B178" s="24" t="s">
        <v>980</v>
      </c>
      <c r="C178" s="24" t="s">
        <v>1101</v>
      </c>
      <c r="D178" s="24" t="s">
        <v>2176</v>
      </c>
      <c r="E178" s="24" t="s">
        <v>2177</v>
      </c>
      <c r="F178" s="24" t="s">
        <v>2178</v>
      </c>
      <c r="G178" s="24" t="s">
        <v>1102</v>
      </c>
      <c r="H178" s="24" t="s">
        <v>2209</v>
      </c>
      <c r="I178" s="24" t="s">
        <v>2180</v>
      </c>
      <c r="J178" s="24" t="s">
        <v>2210</v>
      </c>
      <c r="K178" s="24">
        <v>92</v>
      </c>
      <c r="L178" s="24" t="s">
        <v>991</v>
      </c>
      <c r="M178" s="24" t="s">
        <v>2211</v>
      </c>
      <c r="N178" s="24">
        <v>9145118008</v>
      </c>
      <c r="O178" s="24" t="s">
        <v>2212</v>
      </c>
      <c r="P178" s="24">
        <v>413704</v>
      </c>
      <c r="Q178" s="24" t="s">
        <v>2185</v>
      </c>
      <c r="R178" s="24" t="s">
        <v>1100</v>
      </c>
      <c r="S178" s="24" t="s">
        <v>1101</v>
      </c>
      <c r="T178" s="24" t="s">
        <v>1102</v>
      </c>
      <c r="U178" s="24">
        <v>100</v>
      </c>
      <c r="V178" s="24">
        <v>10</v>
      </c>
      <c r="W178" s="24"/>
      <c r="X178" s="24">
        <v>110</v>
      </c>
      <c r="Y178" s="24">
        <v>100</v>
      </c>
      <c r="Z178" s="24"/>
      <c r="AA178" s="24"/>
      <c r="AB178" s="24">
        <v>55</v>
      </c>
      <c r="AC178" s="24"/>
      <c r="AD178" s="24"/>
      <c r="AE178" s="24">
        <v>57</v>
      </c>
      <c r="AF178" s="24"/>
      <c r="AG178" s="24"/>
      <c r="AH178" s="24">
        <v>86</v>
      </c>
      <c r="AI178" s="24"/>
      <c r="AJ178" s="24"/>
      <c r="AK178" s="24"/>
      <c r="AL178" s="24">
        <v>10</v>
      </c>
      <c r="AM178" s="24"/>
      <c r="AN178" s="24"/>
      <c r="AO178" s="24"/>
      <c r="AP178" s="24"/>
      <c r="AQ178" s="24"/>
      <c r="AR178" s="24">
        <v>3</v>
      </c>
      <c r="AS178" s="24"/>
      <c r="AT178" s="24"/>
      <c r="AU178" s="24">
        <v>13</v>
      </c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</row>
    <row r="179" spans="1:69">
      <c r="A179" s="24">
        <v>2176</v>
      </c>
      <c r="B179" s="24" t="s">
        <v>980</v>
      </c>
      <c r="C179" s="24" t="s">
        <v>1101</v>
      </c>
      <c r="D179" s="24" t="s">
        <v>2176</v>
      </c>
      <c r="E179" s="24" t="s">
        <v>2177</v>
      </c>
      <c r="F179" s="24" t="s">
        <v>2178</v>
      </c>
      <c r="G179" s="24" t="s">
        <v>1102</v>
      </c>
      <c r="H179" s="24" t="s">
        <v>2213</v>
      </c>
      <c r="I179" s="24" t="s">
        <v>2180</v>
      </c>
      <c r="J179" s="24" t="s">
        <v>2214</v>
      </c>
      <c r="K179" s="24">
        <v>70</v>
      </c>
      <c r="L179" s="24" t="s">
        <v>991</v>
      </c>
      <c r="M179" s="24" t="s">
        <v>2215</v>
      </c>
      <c r="N179" s="24">
        <v>9325588991</v>
      </c>
      <c r="O179" s="24" t="s">
        <v>2216</v>
      </c>
      <c r="P179" s="24">
        <v>414105</v>
      </c>
      <c r="Q179" s="24" t="s">
        <v>2185</v>
      </c>
      <c r="R179" s="24" t="s">
        <v>1100</v>
      </c>
      <c r="S179" s="24" t="s">
        <v>1101</v>
      </c>
      <c r="T179" s="24" t="s">
        <v>1102</v>
      </c>
      <c r="U179" s="24">
        <v>150</v>
      </c>
      <c r="V179" s="24">
        <v>150</v>
      </c>
      <c r="W179" s="24"/>
      <c r="X179" s="24">
        <v>300</v>
      </c>
      <c r="Y179" s="24">
        <v>150</v>
      </c>
      <c r="Z179" s="24"/>
      <c r="AA179" s="24">
        <v>159</v>
      </c>
      <c r="AB179" s="24">
        <v>72</v>
      </c>
      <c r="AC179" s="24">
        <v>88</v>
      </c>
      <c r="AD179" s="24">
        <v>96</v>
      </c>
      <c r="AE179" s="24">
        <v>112</v>
      </c>
      <c r="AF179" s="24"/>
      <c r="AG179" s="24">
        <v>137</v>
      </c>
      <c r="AH179" s="24">
        <v>180</v>
      </c>
      <c r="AI179" s="24"/>
      <c r="AJ179" s="24"/>
      <c r="AK179" s="24"/>
      <c r="AL179" s="24">
        <v>150</v>
      </c>
      <c r="AM179" s="24"/>
      <c r="AN179" s="24">
        <v>6</v>
      </c>
      <c r="AO179" s="24">
        <v>13</v>
      </c>
      <c r="AP179" s="24"/>
      <c r="AQ179" s="24">
        <v>21</v>
      </c>
      <c r="AR179" s="24">
        <v>21</v>
      </c>
      <c r="AS179" s="24"/>
      <c r="AT179" s="24"/>
      <c r="AU179" s="24">
        <v>12</v>
      </c>
      <c r="AV179" s="24"/>
      <c r="AW179" s="24"/>
      <c r="AX179" s="24"/>
      <c r="AY179" s="24"/>
      <c r="AZ179" s="24"/>
      <c r="BA179" s="24">
        <v>60</v>
      </c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</row>
    <row r="180" spans="1:69">
      <c r="A180" s="24">
        <v>2177</v>
      </c>
      <c r="B180" s="24" t="s">
        <v>980</v>
      </c>
      <c r="C180" s="24" t="s">
        <v>1306</v>
      </c>
      <c r="D180" s="24" t="s">
        <v>1307</v>
      </c>
      <c r="E180" s="24" t="s">
        <v>1155</v>
      </c>
      <c r="F180" s="24" t="s">
        <v>1308</v>
      </c>
      <c r="G180" s="24" t="s">
        <v>2217</v>
      </c>
      <c r="H180" s="24" t="s">
        <v>2218</v>
      </c>
      <c r="I180" s="24" t="s">
        <v>1310</v>
      </c>
      <c r="J180" s="24" t="s">
        <v>2219</v>
      </c>
      <c r="K180" s="24">
        <v>170</v>
      </c>
      <c r="L180" s="24" t="s">
        <v>2220</v>
      </c>
      <c r="M180" s="24" t="s">
        <v>2221</v>
      </c>
      <c r="N180" s="24">
        <v>9823971102</v>
      </c>
      <c r="O180" s="24" t="s">
        <v>2222</v>
      </c>
      <c r="P180" s="24">
        <v>416520</v>
      </c>
      <c r="Q180" s="24" t="s">
        <v>1102</v>
      </c>
      <c r="R180" s="24" t="s">
        <v>1105</v>
      </c>
      <c r="S180" s="24" t="s">
        <v>1101</v>
      </c>
      <c r="T180" s="24" t="s">
        <v>1102</v>
      </c>
      <c r="U180" s="24">
        <v>345</v>
      </c>
      <c r="V180" s="24">
        <v>35</v>
      </c>
      <c r="W180" s="24"/>
      <c r="X180" s="24">
        <v>735</v>
      </c>
      <c r="Y180" s="24">
        <v>345</v>
      </c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>
        <v>300</v>
      </c>
      <c r="AK180" s="24"/>
      <c r="AL180" s="24">
        <v>35</v>
      </c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>
        <v>2</v>
      </c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>
        <v>0</v>
      </c>
      <c r="BK180" s="24"/>
      <c r="BL180" s="24"/>
      <c r="BM180" s="24"/>
      <c r="BN180" s="24"/>
      <c r="BO180" s="24"/>
      <c r="BP180" s="24"/>
      <c r="BQ180" s="24"/>
    </row>
    <row r="181" spans="1:69">
      <c r="A181" s="24">
        <v>2178</v>
      </c>
      <c r="B181" s="24" t="s">
        <v>980</v>
      </c>
      <c r="C181" s="24" t="s">
        <v>1306</v>
      </c>
      <c r="D181" s="24" t="s">
        <v>1307</v>
      </c>
      <c r="E181" s="24" t="s">
        <v>1155</v>
      </c>
      <c r="F181" s="24" t="s">
        <v>1308</v>
      </c>
      <c r="G181" s="24" t="s">
        <v>2223</v>
      </c>
      <c r="H181" s="24" t="s">
        <v>2224</v>
      </c>
      <c r="I181" s="24" t="s">
        <v>1318</v>
      </c>
      <c r="J181" s="24" t="s">
        <v>2225</v>
      </c>
      <c r="K181" s="24">
        <v>28</v>
      </c>
      <c r="L181" s="24" t="s">
        <v>2226</v>
      </c>
      <c r="M181" s="24" t="s">
        <v>2227</v>
      </c>
      <c r="N181" s="24">
        <v>7414922499</v>
      </c>
      <c r="O181" s="24" t="s">
        <v>2228</v>
      </c>
      <c r="P181" s="24">
        <v>415804</v>
      </c>
      <c r="Q181" s="24" t="s">
        <v>2229</v>
      </c>
      <c r="R181" s="24" t="s">
        <v>1105</v>
      </c>
      <c r="S181" s="24" t="s">
        <v>1101</v>
      </c>
      <c r="T181" s="24" t="s">
        <v>1102</v>
      </c>
      <c r="U181" s="24">
        <v>220</v>
      </c>
      <c r="V181" s="24">
        <v>0</v>
      </c>
      <c r="W181" s="24"/>
      <c r="X181" s="24">
        <v>600</v>
      </c>
      <c r="Y181" s="24">
        <v>220</v>
      </c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>
        <v>192</v>
      </c>
      <c r="AK181" s="24"/>
      <c r="AL181" s="24">
        <v>0</v>
      </c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>
        <v>0</v>
      </c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>
        <v>0</v>
      </c>
      <c r="BK181" s="24"/>
      <c r="BL181" s="24"/>
      <c r="BM181" s="24"/>
      <c r="BN181" s="24"/>
      <c r="BO181" s="24"/>
      <c r="BP181" s="24"/>
      <c r="BQ181" s="24"/>
    </row>
    <row r="182" spans="1:69">
      <c r="A182" s="24">
        <v>2179</v>
      </c>
      <c r="B182" s="24" t="s">
        <v>980</v>
      </c>
      <c r="C182" s="24" t="s">
        <v>1306</v>
      </c>
      <c r="D182" s="24" t="s">
        <v>1307</v>
      </c>
      <c r="E182" s="24" t="s">
        <v>1155</v>
      </c>
      <c r="F182" s="24" t="s">
        <v>1308</v>
      </c>
      <c r="G182" s="24" t="s">
        <v>1102</v>
      </c>
      <c r="H182" s="24" t="s">
        <v>2230</v>
      </c>
      <c r="I182" s="24" t="s">
        <v>1310</v>
      </c>
      <c r="J182" s="24" t="s">
        <v>2231</v>
      </c>
      <c r="K182" s="24">
        <v>225</v>
      </c>
      <c r="L182" s="24" t="s">
        <v>2232</v>
      </c>
      <c r="M182" s="24" t="s">
        <v>2233</v>
      </c>
      <c r="N182" s="24">
        <v>9987787073</v>
      </c>
      <c r="O182" s="24" t="s">
        <v>2234</v>
      </c>
      <c r="P182" s="24">
        <v>416510</v>
      </c>
      <c r="Q182" s="24" t="s">
        <v>1102</v>
      </c>
      <c r="R182" s="24" t="s">
        <v>1105</v>
      </c>
      <c r="S182" s="24" t="s">
        <v>1101</v>
      </c>
      <c r="T182" s="24" t="s">
        <v>1102</v>
      </c>
      <c r="U182" s="24">
        <v>322</v>
      </c>
      <c r="V182" s="24">
        <v>35</v>
      </c>
      <c r="W182" s="24"/>
      <c r="X182" s="24">
        <v>635</v>
      </c>
      <c r="Y182" s="24">
        <v>322</v>
      </c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>
        <v>0</v>
      </c>
      <c r="AK182" s="24"/>
      <c r="AL182" s="24">
        <v>35</v>
      </c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>
        <v>0</v>
      </c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>
        <v>0</v>
      </c>
      <c r="BK182" s="24"/>
      <c r="BL182" s="24"/>
      <c r="BM182" s="24"/>
      <c r="BN182" s="24"/>
      <c r="BO182" s="24"/>
      <c r="BP182" s="24"/>
      <c r="BQ182" s="24"/>
    </row>
    <row r="183" spans="1:69">
      <c r="A183" s="24">
        <v>2180</v>
      </c>
      <c r="B183" s="24" t="s">
        <v>980</v>
      </c>
      <c r="C183" s="24" t="s">
        <v>1306</v>
      </c>
      <c r="D183" s="24" t="s">
        <v>1307</v>
      </c>
      <c r="E183" s="24" t="s">
        <v>1155</v>
      </c>
      <c r="F183" s="24" t="s">
        <v>1308</v>
      </c>
      <c r="G183" s="24" t="s">
        <v>2235</v>
      </c>
      <c r="H183" s="24" t="s">
        <v>2236</v>
      </c>
      <c r="I183" s="24" t="s">
        <v>1318</v>
      </c>
      <c r="J183" s="24" t="s">
        <v>2237</v>
      </c>
      <c r="K183" s="24">
        <v>85</v>
      </c>
      <c r="L183" s="24" t="s">
        <v>1102</v>
      </c>
      <c r="M183" s="24" t="s">
        <v>2238</v>
      </c>
      <c r="N183" s="24">
        <v>8237157913</v>
      </c>
      <c r="O183" s="24" t="s">
        <v>2239</v>
      </c>
      <c r="P183" s="24">
        <v>416701</v>
      </c>
      <c r="Q183" s="24" t="s">
        <v>2240</v>
      </c>
      <c r="R183" s="24" t="s">
        <v>1105</v>
      </c>
      <c r="S183" s="24" t="s">
        <v>1101</v>
      </c>
      <c r="T183" s="24" t="s">
        <v>1102</v>
      </c>
      <c r="U183" s="24">
        <v>525</v>
      </c>
      <c r="V183" s="24">
        <v>30</v>
      </c>
      <c r="W183" s="24"/>
      <c r="X183" s="24">
        <v>830</v>
      </c>
      <c r="Y183" s="24">
        <v>525</v>
      </c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>
        <v>447</v>
      </c>
      <c r="AK183" s="24"/>
      <c r="AL183" s="24">
        <v>30</v>
      </c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>
        <v>14</v>
      </c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>
        <v>100</v>
      </c>
      <c r="BK183" s="24"/>
      <c r="BL183" s="24"/>
      <c r="BM183" s="24"/>
      <c r="BN183" s="24"/>
      <c r="BO183" s="24"/>
      <c r="BP183" s="24"/>
      <c r="BQ183" s="24"/>
    </row>
    <row r="184" spans="1:69">
      <c r="A184" s="24">
        <v>2181</v>
      </c>
      <c r="B184" s="24" t="s">
        <v>980</v>
      </c>
      <c r="C184" s="24" t="s">
        <v>1306</v>
      </c>
      <c r="D184" s="24" t="s">
        <v>1307</v>
      </c>
      <c r="E184" s="24" t="s">
        <v>1155</v>
      </c>
      <c r="F184" s="24" t="s">
        <v>1308</v>
      </c>
      <c r="G184" s="24" t="s">
        <v>2241</v>
      </c>
      <c r="H184" s="24" t="s">
        <v>2242</v>
      </c>
      <c r="I184" s="24" t="s">
        <v>1318</v>
      </c>
      <c r="J184" s="24" t="s">
        <v>1318</v>
      </c>
      <c r="K184" s="24">
        <v>48</v>
      </c>
      <c r="L184" s="24" t="s">
        <v>2243</v>
      </c>
      <c r="M184" s="24" t="s">
        <v>2244</v>
      </c>
      <c r="N184" s="24">
        <v>7387513192</v>
      </c>
      <c r="O184" s="24" t="s">
        <v>2245</v>
      </c>
      <c r="P184" s="24">
        <v>415639</v>
      </c>
      <c r="Q184" s="24" t="s">
        <v>2246</v>
      </c>
      <c r="R184" s="24" t="s">
        <v>1105</v>
      </c>
      <c r="S184" s="24" t="s">
        <v>1101</v>
      </c>
      <c r="T184" s="24" t="s">
        <v>1102</v>
      </c>
      <c r="U184" s="24">
        <v>693</v>
      </c>
      <c r="V184" s="24">
        <v>30</v>
      </c>
      <c r="W184" s="24"/>
      <c r="X184" s="24">
        <v>1030</v>
      </c>
      <c r="Y184" s="24">
        <v>693</v>
      </c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>
        <v>444</v>
      </c>
      <c r="AK184" s="24"/>
      <c r="AL184" s="24">
        <v>30</v>
      </c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>
        <v>14</v>
      </c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>
        <v>100</v>
      </c>
      <c r="BK184" s="24"/>
      <c r="BL184" s="24"/>
      <c r="BM184" s="24"/>
      <c r="BN184" s="24"/>
      <c r="BO184" s="24"/>
      <c r="BP184" s="24"/>
      <c r="BQ184" s="24"/>
    </row>
    <row r="185" spans="1:69">
      <c r="A185" s="24">
        <v>2182</v>
      </c>
      <c r="B185" s="24" t="s">
        <v>980</v>
      </c>
      <c r="C185" s="24" t="s">
        <v>1101</v>
      </c>
      <c r="D185" s="24" t="s">
        <v>1330</v>
      </c>
      <c r="E185" s="24" t="s">
        <v>1331</v>
      </c>
      <c r="F185" s="24" t="s">
        <v>1332</v>
      </c>
      <c r="G185" s="24" t="s">
        <v>2247</v>
      </c>
      <c r="H185" s="24" t="s">
        <v>2248</v>
      </c>
      <c r="I185" s="24" t="s">
        <v>1342</v>
      </c>
      <c r="J185" s="24" t="s">
        <v>2249</v>
      </c>
      <c r="K185" s="24">
        <v>68</v>
      </c>
      <c r="L185" s="24" t="s">
        <v>2250</v>
      </c>
      <c r="M185" s="24" t="s">
        <v>2251</v>
      </c>
      <c r="N185" s="24">
        <v>9011328948</v>
      </c>
      <c r="O185" s="24" t="s">
        <v>2252</v>
      </c>
      <c r="P185" s="24">
        <v>416502</v>
      </c>
      <c r="Q185" s="24" t="s">
        <v>1102</v>
      </c>
      <c r="R185" s="24" t="s">
        <v>1100</v>
      </c>
      <c r="S185" s="24" t="s">
        <v>1101</v>
      </c>
      <c r="T185" s="24" t="s">
        <v>1102</v>
      </c>
      <c r="U185" s="24">
        <v>940</v>
      </c>
      <c r="V185" s="24">
        <v>80</v>
      </c>
      <c r="W185" s="24"/>
      <c r="X185" s="24">
        <v>880</v>
      </c>
      <c r="Y185" s="24">
        <v>940</v>
      </c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>
        <v>423</v>
      </c>
      <c r="AK185" s="24"/>
      <c r="AL185" s="24">
        <v>80</v>
      </c>
      <c r="AM185" s="24"/>
      <c r="AN185" s="24"/>
      <c r="AO185" s="24"/>
      <c r="AP185" s="24"/>
      <c r="AQ185" s="24"/>
      <c r="AR185" s="24"/>
      <c r="AS185" s="24"/>
      <c r="AT185" s="24"/>
      <c r="AU185" s="24"/>
      <c r="AV185" s="24">
        <v>55</v>
      </c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</row>
    <row r="186" spans="1:69">
      <c r="A186" s="24">
        <v>2219</v>
      </c>
      <c r="B186" s="24" t="s">
        <v>980</v>
      </c>
      <c r="C186" s="24" t="s">
        <v>1088</v>
      </c>
      <c r="D186" s="24" t="s">
        <v>1089</v>
      </c>
      <c r="E186" s="24" t="s">
        <v>1090</v>
      </c>
      <c r="F186" s="24" t="s">
        <v>1091</v>
      </c>
      <c r="G186" s="24" t="s">
        <v>2253</v>
      </c>
      <c r="H186" s="24" t="s">
        <v>2254</v>
      </c>
      <c r="I186" s="24" t="s">
        <v>1094</v>
      </c>
      <c r="J186" s="24" t="s">
        <v>2255</v>
      </c>
      <c r="K186" s="24">
        <v>25</v>
      </c>
      <c r="L186" s="24" t="s">
        <v>2256</v>
      </c>
      <c r="M186" s="24" t="s">
        <v>2257</v>
      </c>
      <c r="N186" s="24">
        <v>9226934354</v>
      </c>
      <c r="O186" s="24" t="s">
        <v>2258</v>
      </c>
      <c r="P186" s="24">
        <v>416312</v>
      </c>
      <c r="Q186" s="24" t="s">
        <v>2259</v>
      </c>
      <c r="R186" s="24" t="s">
        <v>1100</v>
      </c>
      <c r="S186" s="24" t="s">
        <v>1101</v>
      </c>
      <c r="T186" s="24" t="s">
        <v>1102</v>
      </c>
      <c r="U186" s="24">
        <v>96</v>
      </c>
      <c r="V186" s="24">
        <v>6</v>
      </c>
      <c r="W186" s="24"/>
      <c r="X186" s="24">
        <v>102</v>
      </c>
      <c r="Y186" s="24">
        <v>96</v>
      </c>
      <c r="Z186" s="24">
        <v>63</v>
      </c>
      <c r="AA186" s="24">
        <v>111</v>
      </c>
      <c r="AB186" s="24">
        <v>57</v>
      </c>
      <c r="AC186" s="24">
        <v>59</v>
      </c>
      <c r="AD186" s="24">
        <v>49</v>
      </c>
      <c r="AE186" s="24">
        <v>0</v>
      </c>
      <c r="AF186" s="24">
        <v>60</v>
      </c>
      <c r="AG186" s="24">
        <v>0</v>
      </c>
      <c r="AH186" s="24">
        <v>55</v>
      </c>
      <c r="AI186" s="24">
        <v>50</v>
      </c>
      <c r="AJ186" s="24">
        <v>56</v>
      </c>
      <c r="AK186" s="24"/>
      <c r="AL186" s="24">
        <v>6</v>
      </c>
      <c r="AM186" s="24">
        <v>4</v>
      </c>
      <c r="AN186" s="24">
        <v>5</v>
      </c>
      <c r="AO186" s="24">
        <v>5</v>
      </c>
      <c r="AP186" s="24">
        <v>3</v>
      </c>
      <c r="AQ186" s="24">
        <v>6</v>
      </c>
      <c r="AR186" s="24">
        <v>0</v>
      </c>
      <c r="AS186" s="24">
        <v>0</v>
      </c>
      <c r="AT186" s="24">
        <v>0</v>
      </c>
      <c r="AU186" s="24">
        <v>4</v>
      </c>
      <c r="AV186" s="24">
        <v>2</v>
      </c>
      <c r="AW186" s="24">
        <v>0</v>
      </c>
      <c r="AX186" s="24"/>
      <c r="AY186" s="24"/>
      <c r="AZ186" s="24">
        <v>20</v>
      </c>
      <c r="BA186" s="24">
        <v>0</v>
      </c>
      <c r="BB186" s="24">
        <v>0</v>
      </c>
      <c r="BC186" s="24">
        <v>0</v>
      </c>
      <c r="BD186" s="24">
        <v>0</v>
      </c>
      <c r="BE186" s="24">
        <v>0</v>
      </c>
      <c r="BF186" s="24">
        <v>0</v>
      </c>
      <c r="BG186" s="24">
        <v>0</v>
      </c>
      <c r="BH186" s="24">
        <v>0</v>
      </c>
      <c r="BI186" s="24">
        <v>0</v>
      </c>
      <c r="BJ186" s="24"/>
      <c r="BK186" s="24"/>
      <c r="BL186" s="24"/>
      <c r="BM186" s="24"/>
      <c r="BN186" s="24"/>
      <c r="BO186" s="24"/>
      <c r="BP186" s="24"/>
      <c r="BQ186" s="24"/>
    </row>
    <row r="187" spans="1:69">
      <c r="A187" s="24">
        <v>2220</v>
      </c>
      <c r="B187" s="24" t="s">
        <v>980</v>
      </c>
      <c r="C187" s="24" t="s">
        <v>1088</v>
      </c>
      <c r="D187" s="24" t="s">
        <v>1089</v>
      </c>
      <c r="E187" s="24" t="s">
        <v>1090</v>
      </c>
      <c r="F187" s="24" t="s">
        <v>1091</v>
      </c>
      <c r="G187" s="24" t="s">
        <v>2260</v>
      </c>
      <c r="H187" s="24" t="s">
        <v>2261</v>
      </c>
      <c r="I187" s="24" t="s">
        <v>1094</v>
      </c>
      <c r="J187" s="24" t="s">
        <v>1923</v>
      </c>
      <c r="K187" s="24">
        <v>80</v>
      </c>
      <c r="L187" s="24" t="s">
        <v>2262</v>
      </c>
      <c r="M187" s="24" t="s">
        <v>2263</v>
      </c>
      <c r="N187" s="24">
        <v>9422386528</v>
      </c>
      <c r="O187" s="24" t="s">
        <v>2264</v>
      </c>
      <c r="P187" s="24">
        <v>415110</v>
      </c>
      <c r="Q187" s="24" t="s">
        <v>2265</v>
      </c>
      <c r="R187" s="24" t="s">
        <v>1100</v>
      </c>
      <c r="S187" s="24" t="s">
        <v>1101</v>
      </c>
      <c r="T187" s="24" t="s">
        <v>1102</v>
      </c>
      <c r="U187" s="24">
        <v>130</v>
      </c>
      <c r="V187" s="24">
        <v>10</v>
      </c>
      <c r="W187" s="24"/>
      <c r="X187" s="24">
        <v>140</v>
      </c>
      <c r="Y187" s="24">
        <v>130</v>
      </c>
      <c r="Z187" s="24">
        <v>97</v>
      </c>
      <c r="AA187" s="24">
        <v>80</v>
      </c>
      <c r="AB187" s="24">
        <v>96</v>
      </c>
      <c r="AC187" s="24">
        <v>96</v>
      </c>
      <c r="AD187" s="24">
        <v>78</v>
      </c>
      <c r="AE187" s="24">
        <v>66</v>
      </c>
      <c r="AF187" s="24">
        <v>79</v>
      </c>
      <c r="AG187" s="24">
        <v>55</v>
      </c>
      <c r="AH187" s="24">
        <v>40</v>
      </c>
      <c r="AI187" s="24">
        <v>66</v>
      </c>
      <c r="AJ187" s="24">
        <v>98</v>
      </c>
      <c r="AK187" s="24"/>
      <c r="AL187" s="24">
        <v>10</v>
      </c>
      <c r="AM187" s="24">
        <v>3</v>
      </c>
      <c r="AN187" s="24">
        <v>3</v>
      </c>
      <c r="AO187" s="24">
        <v>4</v>
      </c>
      <c r="AP187" s="24">
        <v>4</v>
      </c>
      <c r="AQ187" s="24">
        <v>2</v>
      </c>
      <c r="AR187" s="24">
        <v>3</v>
      </c>
      <c r="AS187" s="24">
        <v>4</v>
      </c>
      <c r="AT187" s="24">
        <v>5</v>
      </c>
      <c r="AU187" s="24">
        <v>4</v>
      </c>
      <c r="AV187" s="24">
        <v>2</v>
      </c>
      <c r="AW187" s="24">
        <v>4</v>
      </c>
      <c r="AX187" s="24"/>
      <c r="AY187" s="24"/>
      <c r="AZ187" s="24">
        <v>0</v>
      </c>
      <c r="BA187" s="24">
        <v>0</v>
      </c>
      <c r="BB187" s="24">
        <v>0</v>
      </c>
      <c r="BC187" s="24">
        <v>0</v>
      </c>
      <c r="BD187" s="24">
        <v>0</v>
      </c>
      <c r="BE187" s="24">
        <v>0</v>
      </c>
      <c r="BF187" s="24">
        <v>0</v>
      </c>
      <c r="BG187" s="24">
        <v>0</v>
      </c>
      <c r="BH187" s="24">
        <v>5</v>
      </c>
      <c r="BI187" s="24">
        <v>0</v>
      </c>
      <c r="BJ187" s="24"/>
      <c r="BK187" s="24"/>
      <c r="BL187" s="24"/>
      <c r="BM187" s="24"/>
      <c r="BN187" s="24"/>
      <c r="BO187" s="24"/>
      <c r="BP187" s="24"/>
      <c r="BQ187" s="24"/>
    </row>
    <row r="188" spans="1:69">
      <c r="A188" s="24">
        <v>2221</v>
      </c>
      <c r="B188" s="24" t="s">
        <v>980</v>
      </c>
      <c r="C188" s="24" t="s">
        <v>1088</v>
      </c>
      <c r="D188" s="24" t="s">
        <v>1089</v>
      </c>
      <c r="E188" s="24" t="s">
        <v>1090</v>
      </c>
      <c r="F188" s="24" t="s">
        <v>1091</v>
      </c>
      <c r="G188" s="24" t="s">
        <v>2266</v>
      </c>
      <c r="H188" s="24" t="s">
        <v>2267</v>
      </c>
      <c r="I188" s="24" t="s">
        <v>1094</v>
      </c>
      <c r="J188" s="24" t="s">
        <v>1102</v>
      </c>
      <c r="K188" s="24" t="s">
        <v>1102</v>
      </c>
      <c r="L188" s="24" t="s">
        <v>1102</v>
      </c>
      <c r="M188" s="24" t="s">
        <v>1102</v>
      </c>
      <c r="N188" s="24" t="s">
        <v>1102</v>
      </c>
      <c r="O188" s="24" t="s">
        <v>1102</v>
      </c>
      <c r="P188" s="24"/>
      <c r="Q188" s="24" t="s">
        <v>1102</v>
      </c>
      <c r="R188" s="24" t="s">
        <v>1105</v>
      </c>
      <c r="S188" s="24" t="s">
        <v>1101</v>
      </c>
      <c r="T188" s="24" t="s">
        <v>1102</v>
      </c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>
        <v>0</v>
      </c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>
        <v>0</v>
      </c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</row>
    <row r="189" spans="1:69">
      <c r="A189" s="24">
        <v>2222</v>
      </c>
      <c r="B189" s="24" t="s">
        <v>980</v>
      </c>
      <c r="C189" s="24" t="s">
        <v>1088</v>
      </c>
      <c r="D189" s="24" t="s">
        <v>1089</v>
      </c>
      <c r="E189" s="24" t="s">
        <v>1090</v>
      </c>
      <c r="F189" s="24" t="s">
        <v>1091</v>
      </c>
      <c r="G189" s="24" t="s">
        <v>1102</v>
      </c>
      <c r="H189" s="24" t="s">
        <v>2268</v>
      </c>
      <c r="I189" s="24" t="s">
        <v>1094</v>
      </c>
      <c r="J189" s="24" t="s">
        <v>2269</v>
      </c>
      <c r="K189" s="24">
        <v>50</v>
      </c>
      <c r="L189" s="24" t="s">
        <v>2270</v>
      </c>
      <c r="M189" s="24" t="s">
        <v>2271</v>
      </c>
      <c r="N189" s="24">
        <v>7020110026</v>
      </c>
      <c r="O189" s="24" t="s">
        <v>2272</v>
      </c>
      <c r="P189" s="24">
        <v>415408</v>
      </c>
      <c r="Q189" s="24" t="s">
        <v>991</v>
      </c>
      <c r="R189" s="24" t="s">
        <v>1100</v>
      </c>
      <c r="S189" s="24" t="s">
        <v>1101</v>
      </c>
      <c r="T189" s="24" t="s">
        <v>1102</v>
      </c>
      <c r="U189" s="24">
        <v>70</v>
      </c>
      <c r="V189" s="24">
        <v>5</v>
      </c>
      <c r="W189" s="24"/>
      <c r="X189" s="24">
        <v>75</v>
      </c>
      <c r="Y189" s="24">
        <v>70</v>
      </c>
      <c r="Z189" s="24">
        <v>0</v>
      </c>
      <c r="AA189" s="24">
        <v>52</v>
      </c>
      <c r="AB189" s="24">
        <v>0</v>
      </c>
      <c r="AC189" s="24">
        <v>60</v>
      </c>
      <c r="AD189" s="24">
        <v>30</v>
      </c>
      <c r="AE189" s="24">
        <v>0</v>
      </c>
      <c r="AF189" s="24">
        <v>0</v>
      </c>
      <c r="AG189" s="24">
        <v>0</v>
      </c>
      <c r="AH189" s="24">
        <v>30</v>
      </c>
      <c r="AI189" s="24">
        <v>50</v>
      </c>
      <c r="AJ189" s="24">
        <v>31</v>
      </c>
      <c r="AK189" s="24"/>
      <c r="AL189" s="24">
        <v>5</v>
      </c>
      <c r="AM189" s="24">
        <v>0</v>
      </c>
      <c r="AN189" s="24">
        <v>2</v>
      </c>
      <c r="AO189" s="24">
        <v>0</v>
      </c>
      <c r="AP189" s="24">
        <v>3</v>
      </c>
      <c r="AQ189" s="24">
        <v>1</v>
      </c>
      <c r="AR189" s="24">
        <v>0</v>
      </c>
      <c r="AS189" s="24">
        <v>0</v>
      </c>
      <c r="AT189" s="24">
        <v>0</v>
      </c>
      <c r="AU189" s="24">
        <v>0</v>
      </c>
      <c r="AV189" s="24">
        <v>3</v>
      </c>
      <c r="AW189" s="24">
        <v>5</v>
      </c>
      <c r="AX189" s="24"/>
      <c r="AY189" s="24"/>
      <c r="AZ189" s="24">
        <v>30</v>
      </c>
      <c r="BA189" s="24">
        <v>0</v>
      </c>
      <c r="BB189" s="24">
        <v>0</v>
      </c>
      <c r="BC189" s="24">
        <v>0</v>
      </c>
      <c r="BD189" s="24">
        <v>0</v>
      </c>
      <c r="BE189" s="24">
        <v>0</v>
      </c>
      <c r="BF189" s="24">
        <v>0</v>
      </c>
      <c r="BG189" s="24">
        <v>0</v>
      </c>
      <c r="BH189" s="24">
        <v>0</v>
      </c>
      <c r="BI189" s="24">
        <v>0</v>
      </c>
      <c r="BJ189" s="24"/>
      <c r="BK189" s="24"/>
      <c r="BL189" s="24"/>
      <c r="BM189" s="24"/>
      <c r="BN189" s="24"/>
      <c r="BO189" s="24"/>
      <c r="BP189" s="24"/>
      <c r="BQ189" s="24"/>
    </row>
    <row r="190" spans="1:69">
      <c r="A190" s="24">
        <v>2223</v>
      </c>
      <c r="B190" s="24" t="s">
        <v>980</v>
      </c>
      <c r="C190" s="24" t="s">
        <v>1150</v>
      </c>
      <c r="D190" s="24" t="s">
        <v>1151</v>
      </c>
      <c r="E190" s="24" t="s">
        <v>1152</v>
      </c>
      <c r="F190" s="24" t="s">
        <v>1153</v>
      </c>
      <c r="G190" s="24" t="s">
        <v>2273</v>
      </c>
      <c r="H190" s="24" t="s">
        <v>2274</v>
      </c>
      <c r="I190" s="24" t="s">
        <v>2275</v>
      </c>
      <c r="J190" s="24" t="s">
        <v>2276</v>
      </c>
      <c r="K190" s="24" t="s">
        <v>1102</v>
      </c>
      <c r="L190" s="24" t="s">
        <v>2277</v>
      </c>
      <c r="M190" s="24" t="s">
        <v>2278</v>
      </c>
      <c r="N190" s="24">
        <v>8275271663</v>
      </c>
      <c r="O190" s="24" t="s">
        <v>2279</v>
      </c>
      <c r="P190" s="24">
        <v>415712</v>
      </c>
      <c r="Q190" s="24" t="s">
        <v>2280</v>
      </c>
      <c r="R190" s="24" t="s">
        <v>1100</v>
      </c>
      <c r="S190" s="24" t="s">
        <v>1101</v>
      </c>
      <c r="T190" s="24" t="s">
        <v>1102</v>
      </c>
      <c r="U190" s="24">
        <v>270</v>
      </c>
      <c r="V190" s="24"/>
      <c r="W190" s="24"/>
      <c r="X190" s="24">
        <v>520</v>
      </c>
      <c r="Y190" s="24">
        <v>270</v>
      </c>
      <c r="Z190" s="24">
        <v>234</v>
      </c>
      <c r="AA190" s="24">
        <v>0</v>
      </c>
      <c r="AB190" s="24">
        <v>0</v>
      </c>
      <c r="AC190" s="24">
        <v>0</v>
      </c>
      <c r="AD190" s="24">
        <v>412</v>
      </c>
      <c r="AE190" s="24">
        <v>260</v>
      </c>
      <c r="AF190" s="24">
        <v>270</v>
      </c>
      <c r="AG190" s="24">
        <v>132</v>
      </c>
      <c r="AH190" s="24">
        <v>220</v>
      </c>
      <c r="AI190" s="24">
        <v>247</v>
      </c>
      <c r="AJ190" s="24">
        <v>180</v>
      </c>
      <c r="AK190" s="24"/>
      <c r="AL190" s="24">
        <v>0</v>
      </c>
      <c r="AM190" s="24">
        <v>30</v>
      </c>
      <c r="AN190" s="24">
        <v>0</v>
      </c>
      <c r="AO190" s="24">
        <v>0</v>
      </c>
      <c r="AP190" s="24">
        <v>0</v>
      </c>
      <c r="AQ190" s="24">
        <v>41</v>
      </c>
      <c r="AR190" s="24">
        <v>16</v>
      </c>
      <c r="AS190" s="24">
        <v>23</v>
      </c>
      <c r="AT190" s="24">
        <v>22</v>
      </c>
      <c r="AU190" s="24">
        <v>17</v>
      </c>
      <c r="AV190" s="24">
        <v>30</v>
      </c>
      <c r="AW190" s="24">
        <v>12</v>
      </c>
      <c r="AX190" s="24"/>
      <c r="AY190" s="24"/>
      <c r="AZ190" s="24">
        <v>50</v>
      </c>
      <c r="BA190" s="24">
        <v>0</v>
      </c>
      <c r="BB190" s="24">
        <v>0</v>
      </c>
      <c r="BC190" s="24">
        <v>0</v>
      </c>
      <c r="BD190" s="24">
        <v>0</v>
      </c>
      <c r="BE190" s="24">
        <v>0</v>
      </c>
      <c r="BF190" s="24">
        <v>30</v>
      </c>
      <c r="BG190" s="24">
        <v>0</v>
      </c>
      <c r="BH190" s="24">
        <v>20</v>
      </c>
      <c r="BI190" s="24">
        <v>10</v>
      </c>
      <c r="BJ190" s="24"/>
      <c r="BK190" s="24"/>
      <c r="BL190" s="24"/>
      <c r="BM190" s="24"/>
      <c r="BN190" s="24"/>
      <c r="BO190" s="24"/>
      <c r="BP190" s="24"/>
      <c r="BQ190" s="24"/>
    </row>
    <row r="191" spans="1:69">
      <c r="A191" s="24">
        <v>2224</v>
      </c>
      <c r="B191" s="24" t="s">
        <v>980</v>
      </c>
      <c r="C191" s="24" t="s">
        <v>1150</v>
      </c>
      <c r="D191" s="24" t="s">
        <v>1151</v>
      </c>
      <c r="E191" s="24" t="s">
        <v>1152</v>
      </c>
      <c r="F191" s="24" t="s">
        <v>1153</v>
      </c>
      <c r="G191" s="24" t="s">
        <v>2281</v>
      </c>
      <c r="H191" s="24" t="s">
        <v>2282</v>
      </c>
      <c r="I191" s="24" t="s">
        <v>1158</v>
      </c>
      <c r="J191" s="24" t="s">
        <v>2283</v>
      </c>
      <c r="K191" s="24" t="s">
        <v>1102</v>
      </c>
      <c r="L191" s="24" t="s">
        <v>2284</v>
      </c>
      <c r="M191" s="24" t="s">
        <v>2285</v>
      </c>
      <c r="N191" s="24" t="s">
        <v>2286</v>
      </c>
      <c r="O191" s="24" t="s">
        <v>2287</v>
      </c>
      <c r="P191" s="24">
        <v>410222</v>
      </c>
      <c r="Q191" s="24" t="s">
        <v>2288</v>
      </c>
      <c r="R191" s="24" t="s">
        <v>1100</v>
      </c>
      <c r="S191" s="24" t="s">
        <v>1101</v>
      </c>
      <c r="T191" s="24" t="s">
        <v>1102</v>
      </c>
      <c r="U191" s="24">
        <v>2010</v>
      </c>
      <c r="V191" s="24"/>
      <c r="W191" s="24"/>
      <c r="X191" s="24">
        <v>2722</v>
      </c>
      <c r="Y191" s="24">
        <v>2010</v>
      </c>
      <c r="Z191" s="24">
        <v>1755</v>
      </c>
      <c r="AA191" s="24">
        <v>1883</v>
      </c>
      <c r="AB191" s="24">
        <v>1766</v>
      </c>
      <c r="AC191" s="24">
        <v>1900</v>
      </c>
      <c r="AD191" s="24">
        <v>1900</v>
      </c>
      <c r="AE191" s="24">
        <v>1718</v>
      </c>
      <c r="AF191" s="24">
        <v>2039</v>
      </c>
      <c r="AG191" s="24">
        <v>1285</v>
      </c>
      <c r="AH191" s="24">
        <v>1964</v>
      </c>
      <c r="AI191" s="24">
        <v>2200</v>
      </c>
      <c r="AJ191" s="24">
        <v>1778</v>
      </c>
      <c r="AK191" s="24"/>
      <c r="AL191" s="24">
        <v>0</v>
      </c>
      <c r="AM191" s="24">
        <v>200</v>
      </c>
      <c r="AN191" s="24">
        <v>145</v>
      </c>
      <c r="AO191" s="24">
        <v>154</v>
      </c>
      <c r="AP191" s="24">
        <v>165</v>
      </c>
      <c r="AQ191" s="24">
        <v>207</v>
      </c>
      <c r="AR191" s="24">
        <v>132</v>
      </c>
      <c r="AS191" s="24">
        <v>180</v>
      </c>
      <c r="AT191" s="24">
        <v>178</v>
      </c>
      <c r="AU191" s="24">
        <v>150</v>
      </c>
      <c r="AV191" s="24">
        <v>195</v>
      </c>
      <c r="AW191" s="24">
        <v>163</v>
      </c>
      <c r="AX191" s="24"/>
      <c r="AY191" s="24"/>
      <c r="AZ191" s="24">
        <v>10</v>
      </c>
      <c r="BA191" s="24">
        <v>10</v>
      </c>
      <c r="BB191" s="24">
        <v>10</v>
      </c>
      <c r="BC191" s="24">
        <v>0</v>
      </c>
      <c r="BD191" s="24">
        <v>10</v>
      </c>
      <c r="BE191" s="24">
        <v>0</v>
      </c>
      <c r="BF191" s="24">
        <v>10</v>
      </c>
      <c r="BG191" s="24">
        <v>0</v>
      </c>
      <c r="BH191" s="24">
        <v>10</v>
      </c>
      <c r="BI191" s="24">
        <v>0</v>
      </c>
      <c r="BJ191" s="24"/>
      <c r="BK191" s="24"/>
      <c r="BL191" s="24"/>
      <c r="BM191" s="24"/>
      <c r="BN191" s="24"/>
      <c r="BO191" s="24"/>
      <c r="BP191" s="24"/>
      <c r="BQ191" s="24"/>
    </row>
    <row r="192" spans="1:69">
      <c r="A192" s="24">
        <v>2225</v>
      </c>
      <c r="B192" s="24" t="s">
        <v>980</v>
      </c>
      <c r="C192" s="24" t="s">
        <v>1150</v>
      </c>
      <c r="D192" s="24" t="s">
        <v>1151</v>
      </c>
      <c r="E192" s="24" t="s">
        <v>1152</v>
      </c>
      <c r="F192" s="24" t="s">
        <v>1153</v>
      </c>
      <c r="G192" s="24" t="s">
        <v>2289</v>
      </c>
      <c r="H192" s="24" t="s">
        <v>2290</v>
      </c>
      <c r="I192" s="24" t="s">
        <v>2275</v>
      </c>
      <c r="J192" s="24" t="s">
        <v>2291</v>
      </c>
      <c r="K192" s="24" t="s">
        <v>1102</v>
      </c>
      <c r="L192" s="24" t="s">
        <v>2292</v>
      </c>
      <c r="M192" s="24" t="s">
        <v>2293</v>
      </c>
      <c r="N192" s="24">
        <v>9082781020</v>
      </c>
      <c r="O192" s="24" t="s">
        <v>2294</v>
      </c>
      <c r="P192" s="24">
        <v>415709</v>
      </c>
      <c r="Q192" s="24" t="s">
        <v>2295</v>
      </c>
      <c r="R192" s="24" t="s">
        <v>1100</v>
      </c>
      <c r="S192" s="24" t="s">
        <v>1101</v>
      </c>
      <c r="T192" s="24" t="s">
        <v>1102</v>
      </c>
      <c r="U192" s="24">
        <v>50</v>
      </c>
      <c r="V192" s="24"/>
      <c r="W192" s="24"/>
      <c r="X192" s="24">
        <v>1120</v>
      </c>
      <c r="Y192" s="24">
        <v>50</v>
      </c>
      <c r="Z192" s="24">
        <v>27</v>
      </c>
      <c r="AA192" s="24">
        <v>143</v>
      </c>
      <c r="AB192" s="24">
        <v>273</v>
      </c>
      <c r="AC192" s="24">
        <v>0</v>
      </c>
      <c r="AD192" s="24">
        <v>167</v>
      </c>
      <c r="AE192" s="24"/>
      <c r="AF192" s="24">
        <v>118</v>
      </c>
      <c r="AG192" s="24">
        <v>0</v>
      </c>
      <c r="AH192" s="24">
        <v>73</v>
      </c>
      <c r="AI192" s="24">
        <v>0</v>
      </c>
      <c r="AJ192" s="24">
        <v>125</v>
      </c>
      <c r="AK192" s="24"/>
      <c r="AL192" s="24">
        <v>0</v>
      </c>
      <c r="AM192" s="24">
        <v>2</v>
      </c>
      <c r="AN192" s="24">
        <v>9</v>
      </c>
      <c r="AO192" s="24">
        <v>24</v>
      </c>
      <c r="AP192" s="24">
        <v>0</v>
      </c>
      <c r="AQ192" s="24">
        <v>10</v>
      </c>
      <c r="AR192" s="24">
        <v>0</v>
      </c>
      <c r="AS192" s="24">
        <v>12</v>
      </c>
      <c r="AT192" s="24">
        <v>0</v>
      </c>
      <c r="AU192" s="24">
        <v>12</v>
      </c>
      <c r="AV192" s="24">
        <v>0</v>
      </c>
      <c r="AW192" s="24">
        <v>13</v>
      </c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</row>
    <row r="193" spans="1:69">
      <c r="A193" s="24">
        <v>2226</v>
      </c>
      <c r="B193" s="24" t="s">
        <v>980</v>
      </c>
      <c r="C193" s="24" t="s">
        <v>1101</v>
      </c>
      <c r="D193" s="24" t="s">
        <v>1232</v>
      </c>
      <c r="E193" s="24" t="s">
        <v>1233</v>
      </c>
      <c r="F193" s="24" t="s">
        <v>1234</v>
      </c>
      <c r="G193" s="24" t="s">
        <v>2296</v>
      </c>
      <c r="H193" s="24" t="s">
        <v>2297</v>
      </c>
      <c r="I193" s="24" t="s">
        <v>1237</v>
      </c>
      <c r="J193" s="24" t="s">
        <v>1102</v>
      </c>
      <c r="K193" s="24" t="s">
        <v>1102</v>
      </c>
      <c r="L193" s="24" t="s">
        <v>1102</v>
      </c>
      <c r="M193" s="24" t="s">
        <v>1102</v>
      </c>
      <c r="N193" s="24" t="s">
        <v>1102</v>
      </c>
      <c r="O193" s="24" t="s">
        <v>1102</v>
      </c>
      <c r="P193" s="24"/>
      <c r="Q193" s="24" t="s">
        <v>1102</v>
      </c>
      <c r="R193" s="24" t="s">
        <v>1105</v>
      </c>
      <c r="S193" s="24" t="s">
        <v>1101</v>
      </c>
      <c r="T193" s="24" t="s">
        <v>1102</v>
      </c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>
        <v>0</v>
      </c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</row>
    <row r="194" spans="1:69">
      <c r="A194" s="24">
        <v>2227</v>
      </c>
      <c r="B194" s="24" t="s">
        <v>980</v>
      </c>
      <c r="C194" s="24" t="s">
        <v>1101</v>
      </c>
      <c r="D194" s="24" t="s">
        <v>1232</v>
      </c>
      <c r="E194" s="24" t="s">
        <v>1233</v>
      </c>
      <c r="F194" s="24" t="s">
        <v>1234</v>
      </c>
      <c r="G194" s="24" t="s">
        <v>2298</v>
      </c>
      <c r="H194" s="24" t="s">
        <v>2299</v>
      </c>
      <c r="I194" s="24" t="s">
        <v>1237</v>
      </c>
      <c r="J194" s="24" t="s">
        <v>1102</v>
      </c>
      <c r="K194" s="24" t="s">
        <v>1102</v>
      </c>
      <c r="L194" s="24" t="s">
        <v>1102</v>
      </c>
      <c r="M194" s="24" t="s">
        <v>1102</v>
      </c>
      <c r="N194" s="24" t="s">
        <v>1102</v>
      </c>
      <c r="O194" s="24" t="s">
        <v>1102</v>
      </c>
      <c r="P194" s="24"/>
      <c r="Q194" s="24" t="s">
        <v>1102</v>
      </c>
      <c r="R194" s="24" t="s">
        <v>1105</v>
      </c>
      <c r="S194" s="24" t="s">
        <v>1101</v>
      </c>
      <c r="T194" s="24" t="s">
        <v>1102</v>
      </c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>
        <v>0</v>
      </c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</row>
    <row r="195" spans="1:69">
      <c r="A195" s="24">
        <v>2228</v>
      </c>
      <c r="B195" s="24" t="s">
        <v>980</v>
      </c>
      <c r="C195" s="24" t="s">
        <v>1101</v>
      </c>
      <c r="D195" s="24" t="s">
        <v>1232</v>
      </c>
      <c r="E195" s="24" t="s">
        <v>1233</v>
      </c>
      <c r="F195" s="24" t="s">
        <v>1234</v>
      </c>
      <c r="G195" s="24" t="s">
        <v>2300</v>
      </c>
      <c r="H195" s="24" t="s">
        <v>2301</v>
      </c>
      <c r="I195" s="24" t="s">
        <v>1237</v>
      </c>
      <c r="J195" s="24" t="s">
        <v>2302</v>
      </c>
      <c r="K195" s="24" t="s">
        <v>1102</v>
      </c>
      <c r="L195" s="24" t="s">
        <v>2303</v>
      </c>
      <c r="M195" s="24" t="s">
        <v>2304</v>
      </c>
      <c r="N195" s="24" t="s">
        <v>1102</v>
      </c>
      <c r="O195" s="24" t="s">
        <v>2305</v>
      </c>
      <c r="P195" s="24"/>
      <c r="Q195" s="24" t="s">
        <v>991</v>
      </c>
      <c r="R195" s="24" t="s">
        <v>1105</v>
      </c>
      <c r="S195" s="24" t="s">
        <v>1242</v>
      </c>
      <c r="T195" s="24" t="s">
        <v>1102</v>
      </c>
      <c r="U195" s="24">
        <v>200</v>
      </c>
      <c r="V195" s="24">
        <v>10</v>
      </c>
      <c r="W195" s="24"/>
      <c r="X195" s="24">
        <v>210</v>
      </c>
      <c r="Y195" s="24">
        <v>200</v>
      </c>
      <c r="Z195" s="24">
        <v>140</v>
      </c>
      <c r="AA195" s="24">
        <v>132</v>
      </c>
      <c r="AB195" s="24">
        <v>40</v>
      </c>
      <c r="AC195" s="24">
        <v>63</v>
      </c>
      <c r="AD195" s="24">
        <v>55</v>
      </c>
      <c r="AE195" s="24">
        <v>55</v>
      </c>
      <c r="AF195" s="24">
        <v>0</v>
      </c>
      <c r="AG195" s="24">
        <v>55</v>
      </c>
      <c r="AH195" s="24">
        <v>66</v>
      </c>
      <c r="AI195" s="24">
        <v>55</v>
      </c>
      <c r="AJ195" s="24">
        <v>58</v>
      </c>
      <c r="AK195" s="24"/>
      <c r="AL195" s="24">
        <v>10</v>
      </c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</row>
    <row r="196" spans="1:69">
      <c r="A196" s="24">
        <v>2229</v>
      </c>
      <c r="B196" s="24" t="s">
        <v>980</v>
      </c>
      <c r="C196" s="24" t="s">
        <v>1101</v>
      </c>
      <c r="D196" s="24" t="s">
        <v>1232</v>
      </c>
      <c r="E196" s="24" t="s">
        <v>1233</v>
      </c>
      <c r="F196" s="24" t="s">
        <v>1234</v>
      </c>
      <c r="G196" s="24" t="s">
        <v>2306</v>
      </c>
      <c r="H196" s="24" t="s">
        <v>2307</v>
      </c>
      <c r="I196" s="24" t="s">
        <v>1234</v>
      </c>
      <c r="J196" s="24" t="s">
        <v>2308</v>
      </c>
      <c r="K196" s="24">
        <v>20</v>
      </c>
      <c r="L196" s="24" t="s">
        <v>2309</v>
      </c>
      <c r="M196" s="24" t="s">
        <v>2310</v>
      </c>
      <c r="N196" s="24" t="s">
        <v>2311</v>
      </c>
      <c r="O196" s="24" t="s">
        <v>2312</v>
      </c>
      <c r="P196" s="24">
        <v>4112115</v>
      </c>
      <c r="Q196" s="24" t="s">
        <v>2313</v>
      </c>
      <c r="R196" s="24" t="s">
        <v>1105</v>
      </c>
      <c r="S196" s="24" t="s">
        <v>1267</v>
      </c>
      <c r="T196" s="24"/>
      <c r="U196" s="24"/>
      <c r="V196" s="24"/>
      <c r="W196" s="24"/>
      <c r="X196" s="24"/>
      <c r="Y196" s="24">
        <v>0</v>
      </c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>
        <v>0</v>
      </c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</row>
    <row r="197" spans="1:69">
      <c r="A197" s="24">
        <v>2230</v>
      </c>
      <c r="B197" s="24" t="s">
        <v>980</v>
      </c>
      <c r="C197" s="24" t="s">
        <v>1101</v>
      </c>
      <c r="D197" s="24" t="s">
        <v>1232</v>
      </c>
      <c r="E197" s="24" t="s">
        <v>1233</v>
      </c>
      <c r="F197" s="24" t="s">
        <v>1234</v>
      </c>
      <c r="G197" s="24" t="s">
        <v>2314</v>
      </c>
      <c r="H197" s="24" t="s">
        <v>2315</v>
      </c>
      <c r="I197" s="24" t="s">
        <v>1237</v>
      </c>
      <c r="J197" s="24" t="s">
        <v>2316</v>
      </c>
      <c r="K197" s="24" t="s">
        <v>1102</v>
      </c>
      <c r="L197" s="24" t="s">
        <v>2317</v>
      </c>
      <c r="M197" s="24" t="s">
        <v>2318</v>
      </c>
      <c r="N197" s="24" t="s">
        <v>1102</v>
      </c>
      <c r="O197" s="24" t="s">
        <v>2319</v>
      </c>
      <c r="P197" s="24"/>
      <c r="Q197" s="24" t="s">
        <v>991</v>
      </c>
      <c r="R197" s="24" t="s">
        <v>1105</v>
      </c>
      <c r="S197" s="24" t="s">
        <v>1242</v>
      </c>
      <c r="T197" s="24" t="s">
        <v>1102</v>
      </c>
      <c r="U197" s="24">
        <v>300</v>
      </c>
      <c r="V197" s="24">
        <v>15</v>
      </c>
      <c r="W197" s="24"/>
      <c r="X197" s="24">
        <v>315</v>
      </c>
      <c r="Y197" s="24">
        <v>300</v>
      </c>
      <c r="Z197" s="24">
        <v>108</v>
      </c>
      <c r="AA197" s="24">
        <v>128</v>
      </c>
      <c r="AB197" s="24">
        <v>109</v>
      </c>
      <c r="AC197" s="24">
        <v>167</v>
      </c>
      <c r="AD197" s="24">
        <v>66</v>
      </c>
      <c r="AE197" s="24">
        <v>0</v>
      </c>
      <c r="AF197" s="24">
        <v>70</v>
      </c>
      <c r="AG197" s="24">
        <v>86</v>
      </c>
      <c r="AH197" s="24">
        <v>62</v>
      </c>
      <c r="AI197" s="24">
        <v>62</v>
      </c>
      <c r="AJ197" s="24">
        <v>51</v>
      </c>
      <c r="AK197" s="24"/>
      <c r="AL197" s="24">
        <v>15</v>
      </c>
      <c r="AM197" s="24">
        <v>3</v>
      </c>
      <c r="AN197" s="24">
        <v>0</v>
      </c>
      <c r="AO197" s="24">
        <v>1</v>
      </c>
      <c r="AP197" s="24">
        <v>1</v>
      </c>
      <c r="AQ197" s="24"/>
      <c r="AR197" s="24">
        <v>0</v>
      </c>
      <c r="AS197" s="24">
        <v>2</v>
      </c>
      <c r="AT197" s="24">
        <v>2</v>
      </c>
      <c r="AU197" s="24">
        <v>4</v>
      </c>
      <c r="AV197" s="24">
        <v>4</v>
      </c>
      <c r="AW197" s="24">
        <v>4</v>
      </c>
      <c r="AX197" s="24"/>
      <c r="AY197" s="24"/>
      <c r="AZ197" s="24">
        <v>15</v>
      </c>
      <c r="BA197" s="24">
        <v>0</v>
      </c>
      <c r="BB197" s="24">
        <v>0</v>
      </c>
      <c r="BC197" s="24">
        <v>0</v>
      </c>
      <c r="BD197" s="24">
        <v>0</v>
      </c>
      <c r="BE197" s="24">
        <v>0</v>
      </c>
      <c r="BF197" s="24">
        <v>0</v>
      </c>
      <c r="BG197" s="24">
        <v>0</v>
      </c>
      <c r="BH197" s="24">
        <v>0</v>
      </c>
      <c r="BI197" s="24"/>
      <c r="BJ197" s="24"/>
      <c r="BK197" s="24"/>
      <c r="BL197" s="24"/>
      <c r="BM197" s="24"/>
      <c r="BN197" s="24"/>
      <c r="BO197" s="24"/>
      <c r="BP197" s="24"/>
      <c r="BQ197" s="24"/>
    </row>
    <row r="198" spans="1:69">
      <c r="A198" s="24">
        <v>2231</v>
      </c>
      <c r="B198" s="24" t="s">
        <v>980</v>
      </c>
      <c r="C198" s="24" t="s">
        <v>1101</v>
      </c>
      <c r="D198" s="24" t="s">
        <v>1232</v>
      </c>
      <c r="E198" s="24" t="s">
        <v>1233</v>
      </c>
      <c r="F198" s="24" t="s">
        <v>1234</v>
      </c>
      <c r="G198" s="24" t="s">
        <v>2320</v>
      </c>
      <c r="H198" s="24" t="s">
        <v>2321</v>
      </c>
      <c r="I198" s="24" t="s">
        <v>1237</v>
      </c>
      <c r="J198" s="24" t="s">
        <v>2322</v>
      </c>
      <c r="K198" s="24" t="s">
        <v>1102</v>
      </c>
      <c r="L198" s="24" t="s">
        <v>2323</v>
      </c>
      <c r="M198" s="24" t="s">
        <v>2324</v>
      </c>
      <c r="N198" s="24" t="s">
        <v>1102</v>
      </c>
      <c r="O198" s="24" t="s">
        <v>2325</v>
      </c>
      <c r="P198" s="24"/>
      <c r="Q198" s="24" t="s">
        <v>991</v>
      </c>
      <c r="R198" s="24" t="s">
        <v>1105</v>
      </c>
      <c r="S198" s="24" t="s">
        <v>1242</v>
      </c>
      <c r="T198" s="24" t="s">
        <v>1102</v>
      </c>
      <c r="U198" s="24"/>
      <c r="V198" s="24"/>
      <c r="W198" s="24"/>
      <c r="X198" s="24"/>
      <c r="Y198" s="24"/>
      <c r="Z198" s="24"/>
      <c r="AA198" s="24">
        <v>33</v>
      </c>
      <c r="AB198" s="24"/>
      <c r="AC198" s="24"/>
      <c r="AD198" s="24"/>
      <c r="AE198" s="24"/>
      <c r="AF198" s="24"/>
      <c r="AG198" s="24"/>
      <c r="AH198" s="24"/>
      <c r="AI198" s="24"/>
      <c r="AJ198" s="24">
        <v>0</v>
      </c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>
        <v>10</v>
      </c>
      <c r="BB198" s="24"/>
      <c r="BC198" s="24">
        <v>0</v>
      </c>
      <c r="BD198" s="24">
        <v>0</v>
      </c>
      <c r="BE198" s="24">
        <v>0</v>
      </c>
      <c r="BF198" s="24">
        <v>0</v>
      </c>
      <c r="BG198" s="24">
        <v>0</v>
      </c>
      <c r="BH198" s="24">
        <v>0</v>
      </c>
      <c r="BI198" s="24"/>
      <c r="BJ198" s="24"/>
      <c r="BK198" s="24"/>
      <c r="BL198" s="24"/>
      <c r="BM198" s="24"/>
      <c r="BN198" s="24"/>
      <c r="BO198" s="24"/>
      <c r="BP198" s="24"/>
      <c r="BQ198" s="24"/>
    </row>
    <row r="199" spans="1:69">
      <c r="A199" s="24">
        <v>2232</v>
      </c>
      <c r="B199" s="24" t="s">
        <v>980</v>
      </c>
      <c r="C199" s="24" t="s">
        <v>1101</v>
      </c>
      <c r="D199" s="24" t="s">
        <v>1232</v>
      </c>
      <c r="E199" s="24" t="s">
        <v>1233</v>
      </c>
      <c r="F199" s="24" t="s">
        <v>1234</v>
      </c>
      <c r="G199" s="24" t="s">
        <v>2326</v>
      </c>
      <c r="H199" s="24" t="s">
        <v>2327</v>
      </c>
      <c r="I199" s="24" t="s">
        <v>1237</v>
      </c>
      <c r="J199" s="24" t="s">
        <v>2316</v>
      </c>
      <c r="K199" s="24" t="s">
        <v>1102</v>
      </c>
      <c r="L199" s="24" t="s">
        <v>2328</v>
      </c>
      <c r="M199" s="24" t="s">
        <v>2329</v>
      </c>
      <c r="N199" s="24" t="s">
        <v>1102</v>
      </c>
      <c r="O199" s="24" t="s">
        <v>2330</v>
      </c>
      <c r="P199" s="24"/>
      <c r="Q199" s="24" t="s">
        <v>991</v>
      </c>
      <c r="R199" s="24" t="s">
        <v>1105</v>
      </c>
      <c r="S199" s="24" t="s">
        <v>1242</v>
      </c>
      <c r="T199" s="24" t="s">
        <v>1102</v>
      </c>
      <c r="U199" s="24">
        <v>100</v>
      </c>
      <c r="V199" s="24">
        <v>0</v>
      </c>
      <c r="W199" s="24"/>
      <c r="X199" s="24">
        <v>100</v>
      </c>
      <c r="Y199" s="24">
        <v>100</v>
      </c>
      <c r="Z199" s="24"/>
      <c r="AA199" s="24">
        <v>77</v>
      </c>
      <c r="AB199" s="24">
        <v>0</v>
      </c>
      <c r="AC199" s="24">
        <v>0</v>
      </c>
      <c r="AD199" s="24">
        <v>0</v>
      </c>
      <c r="AE199" s="24">
        <v>0</v>
      </c>
      <c r="AF199" s="24">
        <v>0</v>
      </c>
      <c r="AG199" s="24">
        <v>0</v>
      </c>
      <c r="AH199" s="24">
        <v>0</v>
      </c>
      <c r="AI199" s="24"/>
      <c r="AJ199" s="24">
        <v>0</v>
      </c>
      <c r="AK199" s="24"/>
      <c r="AL199" s="24">
        <v>0</v>
      </c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>
        <v>5</v>
      </c>
      <c r="BB199" s="24">
        <v>0</v>
      </c>
      <c r="BC199" s="24">
        <v>0</v>
      </c>
      <c r="BD199" s="24">
        <v>0</v>
      </c>
      <c r="BE199" s="24">
        <v>0</v>
      </c>
      <c r="BF199" s="24">
        <v>0</v>
      </c>
      <c r="BG199" s="24">
        <v>0</v>
      </c>
      <c r="BH199" s="24">
        <v>0</v>
      </c>
      <c r="BI199" s="24"/>
      <c r="BJ199" s="24"/>
      <c r="BK199" s="24"/>
      <c r="BL199" s="24"/>
      <c r="BM199" s="24"/>
      <c r="BN199" s="24"/>
      <c r="BO199" s="24"/>
      <c r="BP199" s="24"/>
      <c r="BQ199" s="24"/>
    </row>
    <row r="200" spans="1:69">
      <c r="A200" s="24">
        <v>2233</v>
      </c>
      <c r="B200" s="24" t="s">
        <v>980</v>
      </c>
      <c r="C200" s="24" t="s">
        <v>1101</v>
      </c>
      <c r="D200" s="24" t="s">
        <v>1232</v>
      </c>
      <c r="E200" s="24" t="s">
        <v>1233</v>
      </c>
      <c r="F200" s="24" t="s">
        <v>1234</v>
      </c>
      <c r="G200" s="24" t="s">
        <v>2331</v>
      </c>
      <c r="H200" s="24" t="s">
        <v>2332</v>
      </c>
      <c r="I200" s="24" t="s">
        <v>1237</v>
      </c>
      <c r="J200" s="24" t="s">
        <v>1102</v>
      </c>
      <c r="K200" s="24" t="s">
        <v>1102</v>
      </c>
      <c r="L200" s="24" t="s">
        <v>1102</v>
      </c>
      <c r="M200" s="24" t="s">
        <v>1102</v>
      </c>
      <c r="N200" s="24" t="s">
        <v>1102</v>
      </c>
      <c r="O200" s="24" t="s">
        <v>1102</v>
      </c>
      <c r="P200" s="24"/>
      <c r="Q200" s="24" t="s">
        <v>1102</v>
      </c>
      <c r="R200" s="24" t="s">
        <v>1105</v>
      </c>
      <c r="S200" s="24" t="s">
        <v>1101</v>
      </c>
      <c r="T200" s="24" t="s">
        <v>1102</v>
      </c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>
        <v>0</v>
      </c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>
        <v>55</v>
      </c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</row>
    <row r="201" spans="1:69">
      <c r="A201" s="24">
        <v>2234</v>
      </c>
      <c r="B201" s="24" t="s">
        <v>980</v>
      </c>
      <c r="C201" s="24" t="s">
        <v>1101</v>
      </c>
      <c r="D201" s="24" t="s">
        <v>1232</v>
      </c>
      <c r="E201" s="24" t="s">
        <v>1233</v>
      </c>
      <c r="F201" s="24" t="s">
        <v>1234</v>
      </c>
      <c r="G201" s="24" t="s">
        <v>2333</v>
      </c>
      <c r="H201" s="24" t="s">
        <v>2334</v>
      </c>
      <c r="I201" s="24" t="s">
        <v>1237</v>
      </c>
      <c r="J201" s="24" t="s">
        <v>1102</v>
      </c>
      <c r="K201" s="24" t="s">
        <v>1102</v>
      </c>
      <c r="L201" s="24" t="s">
        <v>1102</v>
      </c>
      <c r="M201" s="24" t="s">
        <v>1102</v>
      </c>
      <c r="N201" s="24" t="s">
        <v>1102</v>
      </c>
      <c r="O201" s="24" t="s">
        <v>1102</v>
      </c>
      <c r="P201" s="24"/>
      <c r="Q201" s="24" t="s">
        <v>1102</v>
      </c>
      <c r="R201" s="24" t="s">
        <v>1105</v>
      </c>
      <c r="S201" s="24" t="s">
        <v>1101</v>
      </c>
      <c r="T201" s="24" t="s">
        <v>1102</v>
      </c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>
        <v>0</v>
      </c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</row>
    <row r="202" spans="1:69">
      <c r="A202" s="24">
        <v>2235</v>
      </c>
      <c r="B202" s="24" t="s">
        <v>980</v>
      </c>
      <c r="C202" s="24" t="s">
        <v>1101</v>
      </c>
      <c r="D202" s="24" t="s">
        <v>1232</v>
      </c>
      <c r="E202" s="24" t="s">
        <v>1233</v>
      </c>
      <c r="F202" s="24" t="s">
        <v>1234</v>
      </c>
      <c r="G202" s="24" t="s">
        <v>2335</v>
      </c>
      <c r="H202" s="24" t="s">
        <v>2336</v>
      </c>
      <c r="I202" s="24" t="s">
        <v>1237</v>
      </c>
      <c r="J202" s="24" t="s">
        <v>2337</v>
      </c>
      <c r="K202" s="24" t="s">
        <v>1102</v>
      </c>
      <c r="L202" s="24" t="s">
        <v>2338</v>
      </c>
      <c r="M202" s="24" t="s">
        <v>2339</v>
      </c>
      <c r="N202" s="24" t="s">
        <v>1102</v>
      </c>
      <c r="O202" s="24" t="s">
        <v>2340</v>
      </c>
      <c r="P202" s="24"/>
      <c r="Q202" s="24" t="s">
        <v>991</v>
      </c>
      <c r="R202" s="24" t="s">
        <v>1105</v>
      </c>
      <c r="S202" s="24" t="s">
        <v>1242</v>
      </c>
      <c r="T202" s="24" t="s">
        <v>1102</v>
      </c>
      <c r="U202" s="24">
        <v>200</v>
      </c>
      <c r="V202" s="24">
        <v>10</v>
      </c>
      <c r="W202" s="24"/>
      <c r="X202" s="24">
        <v>210</v>
      </c>
      <c r="Y202" s="24">
        <v>200</v>
      </c>
      <c r="Z202" s="24">
        <v>73</v>
      </c>
      <c r="AA202" s="24">
        <v>61</v>
      </c>
      <c r="AB202" s="24">
        <v>106</v>
      </c>
      <c r="AC202" s="24">
        <v>57</v>
      </c>
      <c r="AD202" s="24">
        <v>50</v>
      </c>
      <c r="AE202" s="24">
        <v>58</v>
      </c>
      <c r="AF202" s="24">
        <v>37</v>
      </c>
      <c r="AG202" s="24">
        <v>40</v>
      </c>
      <c r="AH202" s="24">
        <v>113</v>
      </c>
      <c r="AI202" s="24">
        <v>95</v>
      </c>
      <c r="AJ202" s="24">
        <v>76</v>
      </c>
      <c r="AK202" s="24"/>
      <c r="AL202" s="24">
        <v>10</v>
      </c>
      <c r="AM202" s="24">
        <v>8</v>
      </c>
      <c r="AN202" s="24">
        <v>3</v>
      </c>
      <c r="AO202" s="24">
        <v>9</v>
      </c>
      <c r="AP202" s="24">
        <v>4</v>
      </c>
      <c r="AQ202" s="24">
        <v>6</v>
      </c>
      <c r="AR202" s="24">
        <v>6</v>
      </c>
      <c r="AS202" s="24">
        <v>7</v>
      </c>
      <c r="AT202" s="24">
        <v>8</v>
      </c>
      <c r="AU202" s="24">
        <v>10</v>
      </c>
      <c r="AV202" s="24">
        <v>9</v>
      </c>
      <c r="AW202" s="24">
        <v>12</v>
      </c>
      <c r="AX202" s="24"/>
      <c r="AY202" s="24"/>
      <c r="AZ202" s="24">
        <v>104</v>
      </c>
      <c r="BA202" s="24">
        <v>155</v>
      </c>
      <c r="BB202" s="24">
        <v>30</v>
      </c>
      <c r="BC202" s="24">
        <v>0</v>
      </c>
      <c r="BD202" s="24">
        <v>0</v>
      </c>
      <c r="BE202" s="24">
        <v>0</v>
      </c>
      <c r="BF202" s="24">
        <v>0</v>
      </c>
      <c r="BG202" s="24">
        <v>0</v>
      </c>
      <c r="BH202" s="24">
        <v>0</v>
      </c>
      <c r="BI202" s="24">
        <v>60</v>
      </c>
      <c r="BJ202" s="24"/>
      <c r="BK202" s="24"/>
      <c r="BL202" s="24"/>
      <c r="BM202" s="24"/>
      <c r="BN202" s="24"/>
      <c r="BO202" s="24"/>
      <c r="BP202" s="24"/>
      <c r="BQ202" s="24"/>
    </row>
    <row r="203" spans="1:69">
      <c r="A203" s="24">
        <v>2236</v>
      </c>
      <c r="B203" s="24" t="s">
        <v>980</v>
      </c>
      <c r="C203" s="24" t="s">
        <v>1101</v>
      </c>
      <c r="D203" s="24" t="s">
        <v>1232</v>
      </c>
      <c r="E203" s="24" t="s">
        <v>1233</v>
      </c>
      <c r="F203" s="24" t="s">
        <v>1234</v>
      </c>
      <c r="G203" s="24" t="s">
        <v>2341</v>
      </c>
      <c r="H203" s="24" t="s">
        <v>2342</v>
      </c>
      <c r="I203" s="24" t="s">
        <v>1237</v>
      </c>
      <c r="J203" s="24" t="s">
        <v>1102</v>
      </c>
      <c r="K203" s="24" t="s">
        <v>1102</v>
      </c>
      <c r="L203" s="24" t="s">
        <v>1102</v>
      </c>
      <c r="M203" s="24" t="s">
        <v>1102</v>
      </c>
      <c r="N203" s="24" t="s">
        <v>1102</v>
      </c>
      <c r="O203" s="24" t="s">
        <v>1102</v>
      </c>
      <c r="P203" s="24"/>
      <c r="Q203" s="24" t="s">
        <v>1102</v>
      </c>
      <c r="R203" s="24" t="s">
        <v>1105</v>
      </c>
      <c r="S203" s="24" t="s">
        <v>1101</v>
      </c>
      <c r="T203" s="24" t="s">
        <v>1102</v>
      </c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>
        <v>0</v>
      </c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</row>
    <row r="204" spans="1:69">
      <c r="A204" s="24">
        <v>2237</v>
      </c>
      <c r="B204" s="24" t="s">
        <v>980</v>
      </c>
      <c r="C204" s="24" t="s">
        <v>1101</v>
      </c>
      <c r="D204" s="24" t="s">
        <v>1232</v>
      </c>
      <c r="E204" s="24" t="s">
        <v>1233</v>
      </c>
      <c r="F204" s="24" t="s">
        <v>1234</v>
      </c>
      <c r="G204" s="24" t="s">
        <v>2343</v>
      </c>
      <c r="H204" s="24" t="s">
        <v>2344</v>
      </c>
      <c r="I204" s="24" t="s">
        <v>1237</v>
      </c>
      <c r="J204" s="24" t="s">
        <v>2345</v>
      </c>
      <c r="K204" s="24" t="s">
        <v>1102</v>
      </c>
      <c r="L204" s="24" t="s">
        <v>2346</v>
      </c>
      <c r="M204" s="24" t="s">
        <v>2347</v>
      </c>
      <c r="N204" s="24" t="s">
        <v>1102</v>
      </c>
      <c r="O204" s="24" t="s">
        <v>2348</v>
      </c>
      <c r="P204" s="24"/>
      <c r="Q204" s="24" t="s">
        <v>991</v>
      </c>
      <c r="R204" s="24" t="s">
        <v>1105</v>
      </c>
      <c r="S204" s="24" t="s">
        <v>1242</v>
      </c>
      <c r="T204" s="24" t="s">
        <v>1102</v>
      </c>
      <c r="U204" s="24">
        <v>200</v>
      </c>
      <c r="V204" s="24">
        <v>25</v>
      </c>
      <c r="W204" s="24"/>
      <c r="X204" s="24">
        <v>225</v>
      </c>
      <c r="Y204" s="24">
        <v>200</v>
      </c>
      <c r="Z204" s="24">
        <v>18</v>
      </c>
      <c r="AA204" s="24">
        <v>152</v>
      </c>
      <c r="AB204" s="24">
        <v>276</v>
      </c>
      <c r="AC204" s="24">
        <v>212</v>
      </c>
      <c r="AD204" s="24">
        <v>186</v>
      </c>
      <c r="AE204" s="24">
        <v>118</v>
      </c>
      <c r="AF204" s="24">
        <v>28</v>
      </c>
      <c r="AG204" s="24">
        <v>182</v>
      </c>
      <c r="AH204" s="24">
        <v>173</v>
      </c>
      <c r="AI204" s="24">
        <v>138</v>
      </c>
      <c r="AJ204" s="24">
        <v>100</v>
      </c>
      <c r="AK204" s="24"/>
      <c r="AL204" s="24">
        <v>25</v>
      </c>
      <c r="AM204" s="24">
        <v>2</v>
      </c>
      <c r="AN204" s="24">
        <v>7</v>
      </c>
      <c r="AO204" s="24">
        <v>7</v>
      </c>
      <c r="AP204" s="24">
        <v>5</v>
      </c>
      <c r="AQ204" s="24">
        <v>7</v>
      </c>
      <c r="AR204" s="24">
        <v>0</v>
      </c>
      <c r="AS204" s="24">
        <v>1</v>
      </c>
      <c r="AT204" s="24">
        <v>10</v>
      </c>
      <c r="AU204" s="24">
        <v>4</v>
      </c>
      <c r="AV204" s="24">
        <v>7</v>
      </c>
      <c r="AW204" s="24">
        <v>4</v>
      </c>
      <c r="AX204" s="24"/>
      <c r="AY204" s="24"/>
      <c r="AZ204" s="24">
        <v>261</v>
      </c>
      <c r="BA204" s="24"/>
      <c r="BB204" s="24"/>
      <c r="BC204" s="24">
        <v>0</v>
      </c>
      <c r="BD204" s="24">
        <v>0</v>
      </c>
      <c r="BE204" s="24">
        <v>0</v>
      </c>
      <c r="BF204" s="24">
        <v>0</v>
      </c>
      <c r="BG204" s="24">
        <v>0</v>
      </c>
      <c r="BH204" s="24">
        <v>0</v>
      </c>
      <c r="BI204" s="24"/>
      <c r="BJ204" s="24"/>
      <c r="BK204" s="24"/>
      <c r="BL204" s="24"/>
      <c r="BM204" s="24"/>
      <c r="BN204" s="24"/>
      <c r="BO204" s="24"/>
      <c r="BP204" s="24"/>
      <c r="BQ204" s="24"/>
    </row>
    <row r="205" spans="1:69">
      <c r="A205" s="24">
        <v>2238</v>
      </c>
      <c r="B205" s="24" t="s">
        <v>980</v>
      </c>
      <c r="C205" s="24" t="s">
        <v>1101</v>
      </c>
      <c r="D205" s="24" t="s">
        <v>1330</v>
      </c>
      <c r="E205" s="24" t="s">
        <v>1331</v>
      </c>
      <c r="F205" s="24" t="s">
        <v>1332</v>
      </c>
      <c r="G205" s="24" t="s">
        <v>2349</v>
      </c>
      <c r="H205" s="24" t="s">
        <v>2350</v>
      </c>
      <c r="I205" s="24" t="s">
        <v>1342</v>
      </c>
      <c r="J205" s="24" t="s">
        <v>2351</v>
      </c>
      <c r="K205" s="24">
        <v>23</v>
      </c>
      <c r="L205" s="24" t="s">
        <v>2352</v>
      </c>
      <c r="M205" s="24" t="s">
        <v>2353</v>
      </c>
      <c r="N205" s="24">
        <v>9970327620</v>
      </c>
      <c r="O205" s="24" t="s">
        <v>2354</v>
      </c>
      <c r="P205" s="24">
        <v>416115</v>
      </c>
      <c r="Q205" s="24" t="s">
        <v>1102</v>
      </c>
      <c r="R205" s="24" t="s">
        <v>1100</v>
      </c>
      <c r="S205" s="24" t="s">
        <v>1101</v>
      </c>
      <c r="T205" s="24" t="s">
        <v>1102</v>
      </c>
      <c r="U205" s="24">
        <v>1013</v>
      </c>
      <c r="V205" s="24">
        <v>50</v>
      </c>
      <c r="W205" s="24"/>
      <c r="X205" s="24">
        <v>1550</v>
      </c>
      <c r="Y205" s="24">
        <v>1013</v>
      </c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>
        <v>958</v>
      </c>
      <c r="AK205" s="24"/>
      <c r="AL205" s="24">
        <v>50</v>
      </c>
      <c r="AM205" s="24"/>
      <c r="AN205" s="24"/>
      <c r="AO205" s="24"/>
      <c r="AP205" s="24"/>
      <c r="AQ205" s="24"/>
      <c r="AR205" s="24"/>
      <c r="AS205" s="24"/>
      <c r="AT205" s="24"/>
      <c r="AU205" s="24"/>
      <c r="AV205" s="24">
        <v>8</v>
      </c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</row>
    <row r="206" spans="1:69">
      <c r="A206" s="24">
        <v>2239</v>
      </c>
      <c r="B206" s="24" t="s">
        <v>980</v>
      </c>
      <c r="C206" s="24" t="s">
        <v>1101</v>
      </c>
      <c r="D206" s="24" t="s">
        <v>1330</v>
      </c>
      <c r="E206" s="24" t="s">
        <v>1331</v>
      </c>
      <c r="F206" s="24" t="s">
        <v>1332</v>
      </c>
      <c r="G206" s="24" t="s">
        <v>2355</v>
      </c>
      <c r="H206" s="24" t="s">
        <v>2356</v>
      </c>
      <c r="I206" s="24" t="s">
        <v>1342</v>
      </c>
      <c r="J206" s="24" t="s">
        <v>2357</v>
      </c>
      <c r="K206" s="24">
        <v>48</v>
      </c>
      <c r="L206" s="24" t="s">
        <v>2358</v>
      </c>
      <c r="M206" s="24" t="s">
        <v>2359</v>
      </c>
      <c r="N206" s="24">
        <v>9359592066</v>
      </c>
      <c r="O206" s="24" t="s">
        <v>2360</v>
      </c>
      <c r="P206" s="24">
        <v>416209</v>
      </c>
      <c r="Q206" s="24" t="s">
        <v>1102</v>
      </c>
      <c r="R206" s="24" t="s">
        <v>1100</v>
      </c>
      <c r="S206" s="24" t="s">
        <v>1101</v>
      </c>
      <c r="T206" s="24" t="s">
        <v>1102</v>
      </c>
      <c r="U206" s="24">
        <v>74</v>
      </c>
      <c r="V206" s="24">
        <v>6</v>
      </c>
      <c r="W206" s="24"/>
      <c r="X206" s="24">
        <v>156</v>
      </c>
      <c r="Y206" s="24">
        <v>74</v>
      </c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>
        <v>83</v>
      </c>
      <c r="AK206" s="24"/>
      <c r="AL206" s="24">
        <v>6</v>
      </c>
      <c r="AM206" s="24"/>
      <c r="AN206" s="24"/>
      <c r="AO206" s="24"/>
      <c r="AP206" s="24"/>
      <c r="AQ206" s="24"/>
      <c r="AR206" s="24"/>
      <c r="AS206" s="24"/>
      <c r="AT206" s="24"/>
      <c r="AU206" s="24"/>
      <c r="AV206" s="24">
        <v>5</v>
      </c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</row>
    <row r="207" spans="1:69">
      <c r="A207" s="24">
        <v>2240</v>
      </c>
      <c r="B207" s="24" t="s">
        <v>980</v>
      </c>
      <c r="C207" s="24" t="s">
        <v>1406</v>
      </c>
      <c r="D207" s="24" t="s">
        <v>1407</v>
      </c>
      <c r="E207" s="24" t="s">
        <v>1408</v>
      </c>
      <c r="F207" s="24" t="s">
        <v>1409</v>
      </c>
      <c r="G207" s="24" t="s">
        <v>2361</v>
      </c>
      <c r="H207" s="24" t="s">
        <v>2362</v>
      </c>
      <c r="I207" s="24" t="s">
        <v>1167</v>
      </c>
      <c r="J207" s="24" t="s">
        <v>2363</v>
      </c>
      <c r="K207" s="24">
        <v>34</v>
      </c>
      <c r="L207" s="24" t="s">
        <v>2364</v>
      </c>
      <c r="M207" s="24" t="s">
        <v>2365</v>
      </c>
      <c r="N207" s="24">
        <v>9913971376</v>
      </c>
      <c r="O207" s="24" t="s">
        <v>2366</v>
      </c>
      <c r="P207" s="24">
        <v>400601</v>
      </c>
      <c r="Q207" s="24" t="s">
        <v>2367</v>
      </c>
      <c r="R207" s="24" t="s">
        <v>1105</v>
      </c>
      <c r="S207" s="24" t="s">
        <v>1101</v>
      </c>
      <c r="T207" s="24" t="s">
        <v>1418</v>
      </c>
      <c r="U207" s="24">
        <v>1341</v>
      </c>
      <c r="V207" s="24">
        <v>163</v>
      </c>
      <c r="W207" s="24"/>
      <c r="X207" s="24">
        <v>6135</v>
      </c>
      <c r="Y207" s="24">
        <v>1341</v>
      </c>
      <c r="Z207" s="24">
        <v>1166</v>
      </c>
      <c r="AA207" s="24">
        <v>1117</v>
      </c>
      <c r="AB207" s="24">
        <v>758</v>
      </c>
      <c r="AC207" s="24">
        <v>452</v>
      </c>
      <c r="AD207" s="24">
        <v>715</v>
      </c>
      <c r="AE207" s="24">
        <v>1195</v>
      </c>
      <c r="AF207" s="24">
        <v>1033</v>
      </c>
      <c r="AG207" s="24">
        <v>1102</v>
      </c>
      <c r="AH207" s="24">
        <v>1158</v>
      </c>
      <c r="AI207" s="24">
        <v>517</v>
      </c>
      <c r="AJ207" s="24">
        <v>1029</v>
      </c>
      <c r="AK207" s="24"/>
      <c r="AL207" s="24">
        <v>163</v>
      </c>
      <c r="AM207" s="24">
        <v>142</v>
      </c>
      <c r="AN207" s="24">
        <v>135</v>
      </c>
      <c r="AO207" s="24">
        <v>62</v>
      </c>
      <c r="AP207" s="24">
        <v>59</v>
      </c>
      <c r="AQ207" s="24">
        <v>118</v>
      </c>
      <c r="AR207" s="24">
        <v>188</v>
      </c>
      <c r="AS207" s="24">
        <v>163</v>
      </c>
      <c r="AT207" s="24">
        <v>166</v>
      </c>
      <c r="AU207" s="24">
        <v>182</v>
      </c>
      <c r="AV207" s="24">
        <v>95</v>
      </c>
      <c r="AW207" s="24">
        <v>152</v>
      </c>
      <c r="AX207" s="24"/>
      <c r="AY207" s="24"/>
      <c r="AZ207" s="24">
        <v>11</v>
      </c>
      <c r="BA207" s="24">
        <v>24</v>
      </c>
      <c r="BB207" s="24">
        <v>0</v>
      </c>
      <c r="BC207" s="24">
        <v>-6</v>
      </c>
      <c r="BD207" s="24">
        <v>0</v>
      </c>
      <c r="BE207" s="24">
        <v>12</v>
      </c>
      <c r="BF207" s="24">
        <v>33</v>
      </c>
      <c r="BG207" s="24"/>
      <c r="BH207" s="24">
        <v>22</v>
      </c>
      <c r="BI207" s="24">
        <v>0</v>
      </c>
      <c r="BJ207" s="24">
        <v>0</v>
      </c>
      <c r="BK207" s="24"/>
      <c r="BL207" s="24"/>
      <c r="BM207" s="24"/>
      <c r="BN207" s="24"/>
      <c r="BO207" s="24"/>
      <c r="BP207" s="24"/>
      <c r="BQ207" s="24"/>
    </row>
    <row r="208" spans="1:69">
      <c r="A208" s="24">
        <v>2241</v>
      </c>
      <c r="B208" s="24" t="s">
        <v>980</v>
      </c>
      <c r="C208" s="24" t="s">
        <v>1406</v>
      </c>
      <c r="D208" s="24" t="s">
        <v>1407</v>
      </c>
      <c r="E208" s="24" t="s">
        <v>1408</v>
      </c>
      <c r="F208" s="24" t="s">
        <v>1409</v>
      </c>
      <c r="G208" s="24" t="s">
        <v>2368</v>
      </c>
      <c r="H208" s="24" t="s">
        <v>2369</v>
      </c>
      <c r="I208" s="24" t="s">
        <v>1167</v>
      </c>
      <c r="J208" s="24" t="s">
        <v>1482</v>
      </c>
      <c r="K208" s="24">
        <v>35</v>
      </c>
      <c r="L208" s="24" t="s">
        <v>2370</v>
      </c>
      <c r="M208" s="24" t="s">
        <v>2371</v>
      </c>
      <c r="N208" s="24">
        <v>9890098785</v>
      </c>
      <c r="O208" s="24" t="s">
        <v>2372</v>
      </c>
      <c r="P208" s="24">
        <v>421302</v>
      </c>
      <c r="Q208" s="24" t="s">
        <v>2373</v>
      </c>
      <c r="R208" s="24" t="s">
        <v>1105</v>
      </c>
      <c r="S208" s="24" t="s">
        <v>2374</v>
      </c>
      <c r="T208" s="24" t="s">
        <v>1418</v>
      </c>
      <c r="U208" s="24">
        <v>1092</v>
      </c>
      <c r="V208" s="24">
        <v>60</v>
      </c>
      <c r="W208" s="24"/>
      <c r="X208" s="24">
        <v>1950</v>
      </c>
      <c r="Y208" s="24">
        <v>1092</v>
      </c>
      <c r="Z208" s="24">
        <v>704</v>
      </c>
      <c r="AA208" s="24">
        <v>925</v>
      </c>
      <c r="AB208" s="24">
        <v>1105</v>
      </c>
      <c r="AC208" s="24">
        <v>1204</v>
      </c>
      <c r="AD208" s="24">
        <v>1032</v>
      </c>
      <c r="AE208" s="24">
        <v>1118</v>
      </c>
      <c r="AF208" s="24">
        <v>1231</v>
      </c>
      <c r="AG208" s="24">
        <v>1009</v>
      </c>
      <c r="AH208" s="24">
        <v>1109</v>
      </c>
      <c r="AI208" s="24">
        <v>1220</v>
      </c>
      <c r="AJ208" s="24">
        <v>1002</v>
      </c>
      <c r="AK208" s="24"/>
      <c r="AL208" s="24">
        <v>60</v>
      </c>
      <c r="AM208" s="24">
        <v>351</v>
      </c>
      <c r="AN208" s="24">
        <v>352</v>
      </c>
      <c r="AO208" s="24">
        <v>350</v>
      </c>
      <c r="AP208" s="24">
        <v>352</v>
      </c>
      <c r="AQ208" s="24">
        <v>351</v>
      </c>
      <c r="AR208" s="24">
        <v>352</v>
      </c>
      <c r="AS208" s="24">
        <v>353</v>
      </c>
      <c r="AT208" s="24">
        <v>355</v>
      </c>
      <c r="AU208" s="24">
        <v>354</v>
      </c>
      <c r="AV208" s="24">
        <v>357</v>
      </c>
      <c r="AW208" s="24">
        <v>358</v>
      </c>
      <c r="AX208" s="24"/>
      <c r="AY208" s="24"/>
      <c r="AZ208" s="24">
        <v>65</v>
      </c>
      <c r="BA208" s="24">
        <v>33</v>
      </c>
      <c r="BB208" s="24">
        <v>16</v>
      </c>
      <c r="BC208" s="24">
        <v>0</v>
      </c>
      <c r="BD208" s="24">
        <v>11</v>
      </c>
      <c r="BE208" s="24">
        <v>11</v>
      </c>
      <c r="BF208" s="24">
        <v>0</v>
      </c>
      <c r="BG208" s="24"/>
      <c r="BH208" s="24">
        <v>11</v>
      </c>
      <c r="BI208" s="24">
        <v>0</v>
      </c>
      <c r="BJ208" s="24">
        <v>55</v>
      </c>
      <c r="BK208" s="24"/>
      <c r="BL208" s="24"/>
      <c r="BM208" s="24"/>
      <c r="BN208" s="24"/>
      <c r="BO208" s="24"/>
      <c r="BP208" s="24"/>
      <c r="BQ208" s="24"/>
    </row>
    <row r="209" spans="1:69">
      <c r="A209" s="24">
        <v>2242</v>
      </c>
      <c r="B209" s="24" t="s">
        <v>980</v>
      </c>
      <c r="C209" s="24" t="s">
        <v>1726</v>
      </c>
      <c r="D209" s="24" t="s">
        <v>1727</v>
      </c>
      <c r="E209" s="24" t="s">
        <v>1728</v>
      </c>
      <c r="F209" s="24" t="s">
        <v>1729</v>
      </c>
      <c r="G209" s="24" t="s">
        <v>2375</v>
      </c>
      <c r="H209" s="24" t="s">
        <v>2376</v>
      </c>
      <c r="I209" s="24" t="s">
        <v>1732</v>
      </c>
      <c r="J209" s="24" t="s">
        <v>1102</v>
      </c>
      <c r="K209" s="24" t="s">
        <v>1102</v>
      </c>
      <c r="L209" s="24" t="s">
        <v>1102</v>
      </c>
      <c r="M209" s="24" t="s">
        <v>1102</v>
      </c>
      <c r="N209" s="24" t="s">
        <v>1102</v>
      </c>
      <c r="O209" s="24" t="s">
        <v>1102</v>
      </c>
      <c r="P209" s="24"/>
      <c r="Q209" s="24" t="s">
        <v>1102</v>
      </c>
      <c r="R209" s="24" t="s">
        <v>1105</v>
      </c>
      <c r="S209" s="24" t="s">
        <v>1101</v>
      </c>
      <c r="T209" s="24" t="s">
        <v>1102</v>
      </c>
      <c r="U209" s="24">
        <v>673</v>
      </c>
      <c r="V209" s="24">
        <v>104</v>
      </c>
      <c r="W209" s="24"/>
      <c r="X209" s="24"/>
      <c r="Y209" s="24">
        <v>673</v>
      </c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>
        <v>404</v>
      </c>
      <c r="AK209" s="24"/>
      <c r="AL209" s="24">
        <v>104</v>
      </c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>
        <v>40</v>
      </c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>
        <v>0</v>
      </c>
      <c r="BK209" s="24"/>
      <c r="BL209" s="24"/>
      <c r="BM209" s="24"/>
      <c r="BN209" s="24"/>
      <c r="BO209" s="24"/>
      <c r="BP209" s="24"/>
      <c r="BQ209" s="24"/>
    </row>
    <row r="210" spans="1:69">
      <c r="A210" s="24">
        <v>2243</v>
      </c>
      <c r="B210" s="24" t="s">
        <v>980</v>
      </c>
      <c r="C210" s="24" t="s">
        <v>1726</v>
      </c>
      <c r="D210" s="24" t="s">
        <v>1829</v>
      </c>
      <c r="E210" s="24" t="s">
        <v>1830</v>
      </c>
      <c r="F210" s="24" t="s">
        <v>1831</v>
      </c>
      <c r="G210" s="24" t="s">
        <v>2377</v>
      </c>
      <c r="H210" s="24" t="s">
        <v>2378</v>
      </c>
      <c r="I210" s="24" t="s">
        <v>1102</v>
      </c>
      <c r="J210" s="24" t="s">
        <v>1102</v>
      </c>
      <c r="K210" s="24" t="s">
        <v>1102</v>
      </c>
      <c r="L210" s="24" t="s">
        <v>1102</v>
      </c>
      <c r="M210" s="24" t="s">
        <v>1102</v>
      </c>
      <c r="N210" s="24" t="s">
        <v>1102</v>
      </c>
      <c r="O210" s="24" t="s">
        <v>1102</v>
      </c>
      <c r="P210" s="24"/>
      <c r="Q210" s="24" t="s">
        <v>1102</v>
      </c>
      <c r="R210" s="24" t="s">
        <v>1105</v>
      </c>
      <c r="S210" s="24" t="s">
        <v>1101</v>
      </c>
      <c r="T210" s="24" t="s">
        <v>1102</v>
      </c>
      <c r="U210" s="24">
        <v>107</v>
      </c>
      <c r="V210" s="24"/>
      <c r="W210" s="24"/>
      <c r="X210" s="24"/>
      <c r="Y210" s="24">
        <v>107</v>
      </c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>
        <v>323</v>
      </c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>
        <v>0</v>
      </c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>
        <v>0</v>
      </c>
      <c r="BK210" s="24"/>
      <c r="BL210" s="24"/>
      <c r="BM210" s="24"/>
      <c r="BN210" s="24"/>
      <c r="BO210" s="24"/>
      <c r="BP210" s="24"/>
      <c r="BQ210" s="24"/>
    </row>
    <row r="211" spans="1:69">
      <c r="A211" s="24">
        <v>2244</v>
      </c>
      <c r="B211" s="24" t="s">
        <v>980</v>
      </c>
      <c r="C211" s="24" t="s">
        <v>1726</v>
      </c>
      <c r="D211" s="24" t="s">
        <v>1829</v>
      </c>
      <c r="E211" s="24" t="s">
        <v>1830</v>
      </c>
      <c r="F211" s="24" t="s">
        <v>1831</v>
      </c>
      <c r="G211" s="24" t="s">
        <v>2379</v>
      </c>
      <c r="H211" s="24" t="s">
        <v>2380</v>
      </c>
      <c r="I211" s="24" t="s">
        <v>1102</v>
      </c>
      <c r="J211" s="24" t="s">
        <v>1102</v>
      </c>
      <c r="K211" s="24" t="s">
        <v>1102</v>
      </c>
      <c r="L211" s="24" t="s">
        <v>1102</v>
      </c>
      <c r="M211" s="24" t="s">
        <v>1102</v>
      </c>
      <c r="N211" s="24" t="s">
        <v>1102</v>
      </c>
      <c r="O211" s="24" t="s">
        <v>1102</v>
      </c>
      <c r="P211" s="24"/>
      <c r="Q211" s="24" t="s">
        <v>1102</v>
      </c>
      <c r="R211" s="24" t="s">
        <v>1105</v>
      </c>
      <c r="S211" s="24" t="s">
        <v>1101</v>
      </c>
      <c r="T211" s="24" t="s">
        <v>1102</v>
      </c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>
        <v>0</v>
      </c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>
        <v>0</v>
      </c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>
        <v>0</v>
      </c>
      <c r="BK211" s="24"/>
      <c r="BL211" s="24"/>
      <c r="BM211" s="24"/>
      <c r="BN211" s="24"/>
      <c r="BO211" s="24"/>
      <c r="BP211" s="24"/>
      <c r="BQ211" s="2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3A46040-CD58-478F-B72F-F650140A4B5D}">
  <ds:schemaRefs/>
</ds:datastoreItem>
</file>

<file path=customXml/itemProps2.xml><?xml version="1.0" encoding="utf-8"?>
<ds:datastoreItem xmlns:ds="http://schemas.openxmlformats.org/officeDocument/2006/customXml" ds:itemID="{384CB679-5476-4D0E-9952-8CAB497337B9}">
  <ds:schemaRefs/>
</ds:datastoreItem>
</file>

<file path=customXml/itemProps3.xml><?xml version="1.0" encoding="utf-8"?>
<ds:datastoreItem xmlns:ds="http://schemas.openxmlformats.org/officeDocument/2006/customXml" ds:itemID="{D01DF6C5-6DA6-4466-B500-B728D1A6F42B}">
  <ds:schemaRefs/>
</ds:datastoreItem>
</file>

<file path=customXml/itemProps4.xml><?xml version="1.0" encoding="utf-8"?>
<ds:datastoreItem xmlns:ds="http://schemas.openxmlformats.org/officeDocument/2006/customXml" ds:itemID="{EA3B7FDC-4082-4CD7-8A65-75658EF11653}">
  <ds:schemaRefs/>
</ds:datastoreItem>
</file>

<file path=customXml/itemProps5.xml><?xml version="1.0" encoding="utf-8"?>
<ds:datastoreItem xmlns:ds="http://schemas.openxmlformats.org/officeDocument/2006/customXml" ds:itemID="{A7F6E667-7E58-40AA-A6C7-7B6D3D9166D8}">
  <ds:schemaRefs/>
</ds:datastoreItem>
</file>

<file path=customXml/itemProps6.xml><?xml version="1.0" encoding="utf-8"?>
<ds:datastoreItem xmlns:ds="http://schemas.openxmlformats.org/officeDocument/2006/customXml" ds:itemID="{1BD0A9B5-07EF-4E56-814E-396F67016F35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6E3AD25E-7B08-47AA-BD58-C6BC92F5CE00}">
  <ds:schemaRefs/>
</ds:datastoreItem>
</file>

<file path=customXml/itemProps8.xml><?xml version="1.0" encoding="utf-8"?>
<ds:datastoreItem xmlns:ds="http://schemas.openxmlformats.org/officeDocument/2006/customXml" ds:itemID="{81AE74F9-C9C1-4671-9D24-D2B6497F9F29}">
  <ds:schemaRefs/>
</ds:datastoreItem>
</file>

<file path=customXml/itemProps9.xml><?xml version="1.0" encoding="utf-8"?>
<ds:datastoreItem xmlns:ds="http://schemas.openxmlformats.org/officeDocument/2006/customXml" ds:itemID="{BC00CF7A-9020-4541-A078-59F8462BA47E}">
  <ds:schemaRefs/>
</ds:datastoreItem>
</file>

<file path=customXml/itemProps10.xml><?xml version="1.0" encoding="utf-8"?>
<ds:datastoreItem xmlns:ds="http://schemas.openxmlformats.org/officeDocument/2006/customXml" ds:itemID="{4A440CB5-6E55-434C-88F4-B41023BF0AB2}">
  <ds:schemaRefs/>
</ds:datastoreItem>
</file>

<file path=customXml/itemProps11.xml><?xml version="1.0" encoding="utf-8"?>
<ds:datastoreItem xmlns:ds="http://schemas.openxmlformats.org/officeDocument/2006/customXml" ds:itemID="{B0F8158D-6FE7-4E33-B718-CF9659DA328A}">
  <ds:schemaRefs/>
</ds:datastoreItem>
</file>

<file path=customXml/itemProps12.xml><?xml version="1.0" encoding="utf-8"?>
<ds:datastoreItem xmlns:ds="http://schemas.openxmlformats.org/officeDocument/2006/customXml" ds:itemID="{649E8AFD-5123-4D11-8BBF-A9DD2F16DD52}">
  <ds:schemaRefs/>
</ds:datastoreItem>
</file>

<file path=customXml/itemProps13.xml><?xml version="1.0" encoding="utf-8"?>
<ds:datastoreItem xmlns:ds="http://schemas.openxmlformats.org/officeDocument/2006/customXml" ds:itemID="{B03D8243-92FD-4FA3-A8B4-D3FCC455DE23}">
  <ds:schemaRefs/>
</ds:datastoreItem>
</file>

<file path=customXml/itemProps14.xml><?xml version="1.0" encoding="utf-8"?>
<ds:datastoreItem xmlns:ds="http://schemas.openxmlformats.org/officeDocument/2006/customXml" ds:itemID="{877B4A41-098D-4F3C-A542-82791810EEB3}">
  <ds:schemaRefs/>
</ds:datastoreItem>
</file>

<file path=customXml/itemProps15.xml><?xml version="1.0" encoding="utf-8"?>
<ds:datastoreItem xmlns:ds="http://schemas.openxmlformats.org/officeDocument/2006/customXml" ds:itemID="{D3D3E647-13DE-43A0-A37E-2126FEEC5650}">
  <ds:schemaRefs/>
</ds:datastoreItem>
</file>

<file path=customXml/itemProps16.xml><?xml version="1.0" encoding="utf-8"?>
<ds:datastoreItem xmlns:ds="http://schemas.openxmlformats.org/officeDocument/2006/customXml" ds:itemID="{C7DD0ACE-63F0-48E2-991D-8633CACDC2D5}">
  <ds:schemaRefs/>
</ds:datastoreItem>
</file>

<file path=customXml/itemProps17.xml><?xml version="1.0" encoding="utf-8"?>
<ds:datastoreItem xmlns:ds="http://schemas.openxmlformats.org/officeDocument/2006/customXml" ds:itemID="{EB475D90-F9D9-4BD5-AD15-382903CAD3A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Biscuit</vt:lpstr>
      <vt:lpstr>Juice</vt:lpstr>
      <vt:lpstr>Database</vt:lpstr>
      <vt:lpstr>Target</vt:lpstr>
      <vt:lpstr>Unique</vt:lpstr>
      <vt:lpstr>Item_Master</vt:lpstr>
      <vt:lpstr>Dist_Detail_Master</vt:lpstr>
      <vt:lpstr>Biscuit!Print_Area</vt:lpstr>
      <vt:lpstr>Juice!Print_Area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2025-06-24T05:12:49Z</dcterms:modified>
  <cp:category/>
  <cp:contentStatus/>
</cp:coreProperties>
</file>